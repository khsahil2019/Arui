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 xmlns:r="http://schemas.openxmlformats.org/officeDocument/2006/relationships" name="P0-3_Scoring_Architecture" sheetId="155" state="visible" r:id="rId155"/>
    <sheet xmlns:r="http://schemas.openxmlformats.org/officeDocument/2006/relationships" name="P0-3_Metric_Rules" sheetId="156" state="visible" r:id="rId156"/>
    <sheet xmlns:r="http://schemas.openxmlformats.org/officeDocument/2006/relationships" name="P0-3_Scorecard" sheetId="157" state="visible" r:id="rId157"/>
    <sheet xmlns:r="http://schemas.openxmlformats.org/officeDocument/2006/relationships" name="P0-3_Domain_Weights" sheetId="158" state="visible" r:id="rId158"/>
    <sheet xmlns:r="http://schemas.openxmlformats.org/officeDocument/2006/relationships" name="P0-3_Domain_Aggregation" sheetId="159" state="visible" r:id="rId159"/>
    <sheet xmlns:r="http://schemas.openxmlformats.org/officeDocument/2006/relationships" name="P0-3_Overall_Index" sheetId="160" state="visible" r:id="rId160"/>
    <sheet xmlns:r="http://schemas.openxmlformats.org/officeDocument/2006/relationships" name="P0-3_Context_Calibration" sheetId="161" state="visible" r:id="rId161"/>
    <sheet xmlns:r="http://schemas.openxmlformats.org/officeDocument/2006/relationships" name="P0-3_Evidence_Confidence" sheetId="162" state="visible" r:id="rId162"/>
    <sheet xmlns:r="http://schemas.openxmlformats.org/officeDocument/2006/relationships" name="P0-3_CrossDomain_Exec" sheetId="163" state="visible" r:id="rId163"/>
    <sheet xmlns:r="http://schemas.openxmlformats.org/officeDocument/2006/relationships" name="P0-3_Sensitivity" sheetId="164" state="visible" r:id="rId164"/>
    <sheet xmlns:r="http://schemas.openxmlformats.org/officeDocument/2006/relationships" name="P0-3_Validation_Plan" sheetId="165" state="visible" r:id="rId165"/>
    <sheet xmlns:r="http://schemas.openxmlformats.org/officeDocument/2006/relationships" name="P0-3_Acceptance_Gates" sheetId="166" state="visible" r:id="rId166"/>
    <sheet xmlns:r="http://schemas.openxmlformats.org/officeDocument/2006/relationships" name="P0-3_Change_Log" sheetId="167" state="visible" r:id="rId167"/>
    <sheet xmlns:r="http://schemas.openxmlformats.org/officeDocument/2006/relationships" name="P0-4_Context_Profile" sheetId="168" state="visible" r:id="rId168"/>
    <sheet xmlns:r="http://schemas.openxmlformats.org/officeDocument/2006/relationships" name="P0-4_Context_Factors" sheetId="169" state="visible" r:id="rId169"/>
    <sheet xmlns:r="http://schemas.openxmlformats.org/officeDocument/2006/relationships" name="P0-4_Domain_Sensitivity" sheetId="170" state="visible" r:id="rId170"/>
    <sheet xmlns:r="http://schemas.openxmlformats.org/officeDocument/2006/relationships" name="P0-4_Required_Maturity" sheetId="171" state="visible" r:id="rId171"/>
    <sheet xmlns:r="http://schemas.openxmlformats.org/officeDocument/2006/relationships" name="P0-4_Context_Rationale" sheetId="172" state="visible" r:id="rId172"/>
    <sheet xmlns:r="http://schemas.openxmlformats.org/officeDocument/2006/relationships" name="P0-4_Transformation_Distance" sheetId="173" state="visible" r:id="rId173"/>
    <sheet xmlns:r="http://schemas.openxmlformats.org/officeDocument/2006/relationships" name="P0-4_Evidence_Burden" sheetId="174" state="visible" r:id="rId174"/>
    <sheet xmlns:r="http://schemas.openxmlformats.org/officeDocument/2006/relationships" name="P0-4_Applicability_Rules" sheetId="175" state="visible" r:id="rId175"/>
    <sheet xmlns:r="http://schemas.openxmlformats.org/officeDocument/2006/relationships" name="P0-4_Sensitivity" sheetId="176" state="visible" r:id="rId176"/>
    <sheet xmlns:r="http://schemas.openxmlformats.org/officeDocument/2006/relationships" name="P0-4_Acceptance_Gates" sheetId="177" state="visible" r:id="rId177"/>
    <sheet xmlns:r="http://schemas.openxmlformats.org/officeDocument/2006/relationships" name="P0-4_Methodology" sheetId="178" state="visible" r:id="rId178"/>
    <sheet xmlns:r="http://schemas.openxmlformats.org/officeDocument/2006/relationships" name="P0-4_Change_Log" sheetId="179" state="visible" r:id="rId179"/>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 name="_xlnm._FilterDatabase" localSheetId="168" hidden="1">'P0-4_Context_Factors'!$A$1:$E$18</definedName>
    <definedName name="_xlnm._FilterDatabase" localSheetId="169" hidden="1">'P0-4_Domain_Sensitivity'!$A$1:$J$12</definedName>
    <definedName name="_xlnm._FilterDatabase" localSheetId="170" hidden="1">'P0-4_Required_Maturity'!$A$1:$K$12</definedName>
    <definedName name="_xlnm._FilterDatabase" localSheetId="171" hidden="1">'P0-4_Context_Rationale'!$A$1:$E$11</definedName>
    <definedName name="_xlnm._FilterDatabase" localSheetId="172" hidden="1">'P0-4_Transformation_Distance'!$A$1:$G$12</definedName>
    <definedName name="_xlnm._FilterDatabase" localSheetId="173" hidden="1">'P0-4_Evidence_Burden'!$A$1:$F$12</definedName>
    <definedName name="_xlnm._FilterDatabase" localSheetId="174" hidden="1">'P0-4_Applicability_Rules'!$A$1:$B$9</definedName>
    <definedName name="_xlnm._FilterDatabase" localSheetId="175" hidden="1">'P0-4_Sensitivity'!$A$1:$E$7</definedName>
    <definedName name="_xlnm._FilterDatabase" localSheetId="176" hidden="1">'P0-4_Acceptance_Gates'!$A$1:$E$11</definedName>
    <definedName name="_xlnm._FilterDatabase" localSheetId="178" hidden="1">'P0-4_Change_Log'!$A$1:$E$6</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theme="1"/>
      <sz val="14"/>
      <scheme val="minor"/>
    </font>
    <font>
      <name val="Calibri"/>
      <family val="2"/>
      <b val="1"/>
      <color rgb="FFFFFFFF"/>
      <sz val="11"/>
      <scheme val="minor"/>
    </font>
    <font>
      <b val="1"/>
      <color rgb="00FFFFFF"/>
      <sz val="14"/>
    </font>
    <font>
      <b val="1"/>
    </font>
    <font>
      <b val="1"/>
      <color rgb="00FFFFFF"/>
    </font>
  </fonts>
  <fills count="6">
    <fill>
      <patternFill/>
    </fill>
    <fill>
      <patternFill patternType="gray125"/>
    </fill>
    <fill>
      <patternFill patternType="solid">
        <fgColor rgb="FFD9EAD3"/>
        <bgColor indexed="64"/>
      </patternFill>
    </fill>
    <fill>
      <patternFill patternType="solid">
        <fgColor rgb="FF1F4E78"/>
        <bgColor indexed="64"/>
      </patternFill>
    </fill>
    <fill>
      <patternFill patternType="solid">
        <fgColor rgb="0017365D"/>
      </patternFill>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2"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wrapText="1"/>
    </xf>
    <xf numFmtId="0" fontId="3" fillId="3" borderId="1" applyAlignment="1" pivotButton="0" quotePrefix="0" xfId="0">
      <alignment horizontal="center" wrapText="1"/>
    </xf>
    <xf numFmtId="0" fontId="4" fillId="0" borderId="0" applyAlignment="1" pivotButton="0" quotePrefix="0" xfId="0">
      <alignment vertical="top" wrapText="1"/>
    </xf>
    <xf numFmtId="0" fontId="2" fillId="0" borderId="0" pivotButton="0" quotePrefix="0" xfId="0"/>
    <xf numFmtId="0" fontId="5" fillId="3" borderId="0" applyAlignment="1" pivotButton="0" quotePrefix="0" xfId="0">
      <alignment horizontal="center" wrapText="1"/>
    </xf>
    <xf numFmtId="0" fontId="2" fillId="0" borderId="0" applyAlignment="1" pivotButton="0" quotePrefix="0" xfId="0">
      <alignment horizontal="center" wrapText="1"/>
    </xf>
    <xf numFmtId="164" fontId="2" fillId="0" borderId="0" applyAlignment="1" pivotButton="0" quotePrefix="0" xfId="0">
      <alignment horizontal="center" wrapText="1"/>
    </xf>
    <xf numFmtId="2" fontId="2" fillId="0" borderId="0" applyAlignment="1" pivotButton="0" quotePrefix="0" xfId="0">
      <alignment horizontal="center" wrapText="1"/>
    </xf>
    <xf numFmtId="2" fontId="2" fillId="0" borderId="0" applyAlignment="1" pivotButton="0" quotePrefix="0" xfId="0">
      <alignment horizontal="center" wrapText="1"/>
    </xf>
    <xf numFmtId="0" fontId="6" fillId="4" borderId="0" pivotButton="0" quotePrefix="0" xfId="0"/>
    <xf numFmtId="0" fontId="7" fillId="5" borderId="0" pivotButton="0" quotePrefix="0" xfId="0"/>
    <xf numFmtId="0" fontId="7" fillId="0" borderId="0" pivotButton="0" quotePrefix="0" xfId="0"/>
    <xf numFmtId="0" fontId="8" fillId="4" borderId="2" applyAlignment="1" pivotButton="0" quotePrefix="0" xfId="0">
      <alignment horizontal="center" vertical="center" wrapText="1"/>
    </xf>
    <xf numFmtId="1"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styles" Target="styles.xml" Id="rId180"/><Relationship Type="http://schemas.openxmlformats.org/officeDocument/2006/relationships/theme" Target="theme/theme1.xml" Id="rId1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tabSelected="1" workbookViewId="0">
      <pane ySplit="1" topLeftCell="A2" activePane="bottomLeft" state="frozen"/>
      <selection pane="bottomLeft" activeCell="A1" sqref="A1"/>
    </sheetView>
  </sheetViews>
  <sheetFormatPr baseColWidth="8" defaultRowHeight="15"/>
  <cols>
    <col width="20.7109375" customWidth="1" min="1" max="1"/>
    <col width="48.7109375" customWidth="1" min="2" max="2"/>
  </cols>
  <sheetData>
    <row r="1">
      <c r="A1" s="1" t="inlineStr">
        <is>
          <t>Item</t>
        </is>
      </c>
      <c r="B1" s="1"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5"/>
    <col width="15.7109375" customWidth="1" min="6" max="6"/>
    <col width="19.7109375" customWidth="1" min="7" max="7"/>
    <col width="48.7109375" customWidth="1" min="8" max="9"/>
    <col width="34.7109375" customWidth="1" min="10" max="10"/>
    <col width="48.7109375" customWidth="1" min="11" max="21"/>
    <col width="32.7109375" customWidth="1" min="22" max="22"/>
    <col width="48.7109375" customWidth="1" min="23" max="23"/>
  </cols>
  <sheetData>
    <row r="1">
      <c r="A1" s="1" t="inlineStr">
        <is>
          <t>Domain</t>
        </is>
      </c>
      <c r="B1" s="1" t="inlineStr">
        <is>
          <t>Metric ID</t>
        </is>
      </c>
      <c r="C1" s="1" t="inlineStr">
        <is>
          <t>Metric</t>
        </is>
      </c>
      <c r="D1" s="1" t="inlineStr">
        <is>
          <t>Definition</t>
        </is>
      </c>
      <c r="E1" s="1" t="inlineStr">
        <is>
          <t>Primary Construct Owner</t>
        </is>
      </c>
      <c r="F1" s="1" t="inlineStr">
        <is>
          <t>Existing Card</t>
        </is>
      </c>
      <c r="G1" s="1" t="inlineStr">
        <is>
          <t>Existing Question</t>
        </is>
      </c>
      <c r="H1" s="1" t="inlineStr">
        <is>
          <t>Remediation Instrument</t>
        </is>
      </c>
      <c r="I1" s="1" t="inlineStr">
        <is>
          <t>Measurement Type</t>
        </is>
      </c>
      <c r="J1" s="1" t="inlineStr">
        <is>
          <t>Unit / Scale</t>
        </is>
      </c>
      <c r="K1" s="1" t="inlineStr">
        <is>
          <t>Measurement / Calculation Rule</t>
        </is>
      </c>
      <c r="L1" s="1" t="inlineStr">
        <is>
          <t>Observation Period</t>
        </is>
      </c>
      <c r="M1" s="1" t="inlineStr">
        <is>
          <t>Maturity Rule</t>
        </is>
      </c>
      <c r="N1" s="1" t="inlineStr">
        <is>
          <t>Implementation Depth Rule</t>
        </is>
      </c>
      <c r="O1" s="1" t="inlineStr">
        <is>
          <t>Outcome Eligibility</t>
        </is>
      </c>
      <c r="P1" s="1" t="inlineStr">
        <is>
          <t>Evidence Rule</t>
        </is>
      </c>
      <c r="Q1" s="1" t="inlineStr">
        <is>
          <t>Evidence Confidence Rule</t>
        </is>
      </c>
      <c r="R1" s="1" t="inlineStr">
        <is>
          <t>N/A Rule</t>
        </is>
      </c>
      <c r="S1" s="1" t="inlineStr">
        <is>
          <t>Anti-Gaming Check</t>
        </is>
      </c>
      <c r="T1" s="1" t="inlineStr">
        <is>
          <t>Cross-Domain Validation</t>
        </is>
      </c>
      <c r="U1" s="1" t="inlineStr">
        <is>
          <t>Scoring Owner</t>
        </is>
      </c>
      <c r="V1" s="1" t="inlineStr">
        <is>
          <t>Status</t>
        </is>
      </c>
      <c r="W1" s="1"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60.7109375" customWidth="1" min="4" max="4"/>
    <col width="25.7109375" customWidth="1" min="5" max="6"/>
    <col width="28.7109375" customWidth="1" min="7" max="9"/>
    <col width="42.7109375" customWidth="1" min="10" max="10"/>
    <col width="12.7109375" customWidth="1" min="11" max="11"/>
    <col width="60.7109375" customWidth="1" min="12" max="12"/>
  </cols>
  <sheetData>
    <row r="1">
      <c r="A1" s="3" t="inlineStr">
        <is>
          <t>Domain</t>
        </is>
      </c>
      <c r="B1" s="3" t="inlineStr">
        <is>
          <t>Metric ID</t>
        </is>
      </c>
      <c r="C1" s="3" t="inlineStr">
        <is>
          <t>Metric</t>
        </is>
      </c>
      <c r="D1" s="3" t="inlineStr">
        <is>
          <t>Definition</t>
        </is>
      </c>
      <c r="E1" s="3" t="inlineStr">
        <is>
          <t>Assessment Card(s)</t>
        </is>
      </c>
      <c r="F1" s="3" t="inlineStr">
        <is>
          <t>Question Bank Item(s)</t>
        </is>
      </c>
      <c r="G1" s="3" t="inlineStr">
        <is>
          <t>Evidence Requirement Match</t>
        </is>
      </c>
      <c r="H1" s="3" t="inlineStr">
        <is>
          <t>Institutional Data Match</t>
        </is>
      </c>
      <c r="I1" s="3" t="inlineStr">
        <is>
          <t>Measurement Inputs</t>
        </is>
      </c>
      <c r="J1" s="3" t="inlineStr">
        <is>
          <t>Recommended Measurement Type</t>
        </is>
      </c>
      <c r="K1" s="3" t="inlineStr">
        <is>
          <t>Status</t>
        </is>
      </c>
      <c r="L1" s="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7109375" customWidth="1" min="1" max="5"/>
    <col width="18.7109375" customWidth="1" min="6" max="6"/>
    <col width="14.7109375" customWidth="1" min="7" max="7"/>
  </cols>
  <sheetData>
    <row r="1">
      <c r="A1" s="3" t="inlineStr">
        <is>
          <t>Domain</t>
        </is>
      </c>
      <c r="B1" s="3" t="inlineStr">
        <is>
          <t>Metrics</t>
        </is>
      </c>
      <c r="C1" s="3" t="inlineStr">
        <is>
          <t>Green</t>
        </is>
      </c>
      <c r="D1" s="3" t="inlineStr">
        <is>
          <t>Amber</t>
        </is>
      </c>
      <c r="E1" s="3" t="inlineStr">
        <is>
          <t>Red</t>
        </is>
      </c>
      <c r="F1" s="3" t="inlineStr">
        <is>
          <t>Assessment Cards</t>
        </is>
      </c>
      <c r="G1" s="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48.7109375" customWidth="1" min="4" max="4"/>
    <col width="22.7109375" customWidth="1" min="5" max="5"/>
    <col width="30.7109375" customWidth="1" min="6" max="6"/>
    <col width="24.7109375" customWidth="1" min="7" max="7"/>
    <col width="45.7109375" customWidth="1" min="8" max="9"/>
    <col width="30.7109375" customWidth="1" min="10" max="10"/>
    <col width="38.7109375" customWidth="1" min="11" max="11"/>
    <col width="30.7109375" customWidth="1" min="12" max="12"/>
    <col width="45.7109375" customWidth="1" min="13" max="13"/>
    <col width="25.7109375" customWidth="1" min="14" max="14"/>
    <col width="50.7109375" customWidth="1" min="15" max="15"/>
    <col width="18.7109375" customWidth="1" min="16" max="16"/>
  </cols>
  <sheetData>
    <row r="1">
      <c r="A1" s="3" t="inlineStr">
        <is>
          <t>Domain</t>
        </is>
      </c>
      <c r="B1" s="3" t="inlineStr">
        <is>
          <t>Metric ID</t>
        </is>
      </c>
      <c r="C1" s="3" t="inlineStr">
        <is>
          <t>Metric</t>
        </is>
      </c>
      <c r="D1" s="3" t="inlineStr">
        <is>
          <t>Measurement Question</t>
        </is>
      </c>
      <c r="E1" s="3" t="inlineStr">
        <is>
          <t>Unit/Scale</t>
        </is>
      </c>
      <c r="F1" s="3" t="inlineStr">
        <is>
          <t>Population/Sample</t>
        </is>
      </c>
      <c r="G1" s="3" t="inlineStr">
        <is>
          <t>Observation Period</t>
        </is>
      </c>
      <c r="H1" s="3" t="inlineStr">
        <is>
          <t>Minimum Evidence</t>
        </is>
      </c>
      <c r="I1" s="3" t="inlineStr">
        <is>
          <t>Strong Evidence</t>
        </is>
      </c>
      <c r="J1" s="3" t="inlineStr">
        <is>
          <t>Maturity Anchor Link</t>
        </is>
      </c>
      <c r="K1" s="3" t="inlineStr">
        <is>
          <t>Independence Rule</t>
        </is>
      </c>
      <c r="L1" s="3" t="inlineStr">
        <is>
          <t>N/A Rule</t>
        </is>
      </c>
      <c r="M1" s="3" t="inlineStr">
        <is>
          <t>Anti-Gaming Check</t>
        </is>
      </c>
      <c r="N1" s="3" t="inlineStr">
        <is>
          <t>Primary Scoring Owner</t>
        </is>
      </c>
      <c r="O1" s="3" t="inlineStr">
        <is>
          <t>Cross-Domain Validation</t>
        </is>
      </c>
      <c r="P1" s="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28.7109375" customWidth="1" min="2" max="2"/>
    <col width="60.7109375" customWidth="1" min="3" max="3"/>
  </cols>
  <sheetData>
    <row r="1">
      <c r="A1" s="3" t="inlineStr">
        <is>
          <t>Rule ID</t>
        </is>
      </c>
      <c r="B1" s="3" t="inlineStr">
        <is>
          <t>Rule</t>
        </is>
      </c>
      <c r="C1" s="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55.7109375" customWidth="1" min="2" max="2"/>
    <col width="15.7109375" customWidth="1" min="3" max="3"/>
    <col width="60.7109375" customWidth="1" min="4" max="4"/>
  </cols>
  <sheetData>
    <row r="1">
      <c r="A1" s="3" t="inlineStr">
        <is>
          <t>Gate</t>
        </is>
      </c>
      <c r="B1" s="3" t="inlineStr">
        <is>
          <t>Requirement</t>
        </is>
      </c>
      <c r="C1" s="3" t="inlineStr">
        <is>
          <t>Status</t>
        </is>
      </c>
      <c r="D1" s="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7109375" customWidth="1" min="1" max="4"/>
  </cols>
  <sheetData>
    <row r="1">
      <c r="A1" s="3" t="inlineStr">
        <is>
          <t>Level</t>
        </is>
      </c>
      <c r="B1" s="3" t="inlineStr">
        <is>
          <t>Label</t>
        </is>
      </c>
      <c r="C1" s="3" t="inlineStr">
        <is>
          <t>Global definition</t>
        </is>
      </c>
      <c r="D1" s="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7109375" customWidth="1" min="1" max="2"/>
  </cols>
  <sheetData>
    <row r="1">
      <c r="A1" s="3" t="inlineStr">
        <is>
          <t>Rule</t>
        </is>
      </c>
      <c r="B1" s="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7109375" customWidth="1" min="1" max="6"/>
  </cols>
  <sheetData>
    <row r="1">
      <c r="A1" s="3" t="inlineStr">
        <is>
          <t>Domain</t>
        </is>
      </c>
      <c r="B1" s="3" t="inlineStr">
        <is>
          <t>Level</t>
        </is>
      </c>
      <c r="C1" s="3" t="inlineStr">
        <is>
          <t>Anchor source</t>
        </is>
      </c>
      <c r="D1" s="3" t="inlineStr">
        <is>
          <t>Source workbook/sheet</t>
        </is>
      </c>
      <c r="E1" s="3" t="inlineStr">
        <is>
          <t>Status</t>
        </is>
      </c>
      <c r="F1" s="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Dimension</t>
        </is>
      </c>
      <c r="C1" s="4" t="inlineStr">
        <is>
          <t>Purpose</t>
        </is>
      </c>
      <c r="D1" s="4" t="inlineStr">
        <is>
          <t>Weight</t>
        </is>
      </c>
      <c r="E1" s="4" t="inlineStr">
        <is>
          <t>Status</t>
        </is>
      </c>
      <c r="F1" s="4" t="inlineStr">
        <is>
          <t>Architecture Standard</t>
        </is>
      </c>
    </row>
    <row r="2">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60.7109375" customWidth="1" min="1" max="1"/>
    <col width="13.7109375" customWidth="1" min="2" max="2"/>
  </cols>
  <sheetData>
    <row r="1">
      <c r="A1" s="5" t="inlineStr">
        <is>
          <t>P0-1 METHODOLOGY UPDATE</t>
        </is>
      </c>
      <c r="B1" s="6" t="n"/>
    </row>
    <row r="2">
      <c r="A2" s="2" t="inlineStr">
        <is>
          <t>Domain-specific maturity anchors for D01–D11 have been added as a controlled methodology layer.</t>
        </is>
      </c>
      <c r="B2" s="6" t="n"/>
    </row>
    <row r="3">
      <c r="A3" s="2" t="inlineStr">
        <is>
          <t>D01–D06 anchors are restored from the earlier canonical architecture; D07–D11 anchors are explicit methodology synthesis pending expert/pilot validation.</t>
        </is>
      </c>
      <c r="B3" s="6" t="n"/>
    </row>
    <row r="4">
      <c r="A4" s="2" t="inlineStr">
        <is>
          <t>Do not freeze public scoring bands until P0-1 through P0-5 validation gates are completed.</t>
        </is>
      </c>
      <c r="B4" s="6" t="n"/>
    </row>
    <row r="5">
      <c r="A5" s="4" t="inlineStr">
        <is>
          <t>Item</t>
        </is>
      </c>
      <c r="B5" s="4"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ID</t>
        </is>
      </c>
      <c r="B1" s="4" t="inlineStr">
        <is>
          <t>Domain</t>
        </is>
      </c>
      <c r="C1" s="4" t="inlineStr">
        <is>
          <t>Purpose</t>
        </is>
      </c>
    </row>
    <row r="2">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ID</t>
        </is>
      </c>
      <c r="B1" s="4" t="inlineStr">
        <is>
          <t>Field</t>
        </is>
      </c>
      <c r="C1" s="4" t="inlineStr">
        <is>
          <t>Input</t>
        </is>
      </c>
      <c r="D1" s="4" t="inlineStr">
        <is>
          <t>Requirement</t>
        </is>
      </c>
      <c r="E1" s="4" t="inlineStr">
        <is>
          <t>Use</t>
        </is>
      </c>
    </row>
    <row r="2">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Domain</t>
        </is>
      </c>
      <c r="B1" s="4" t="inlineStr">
        <is>
          <t>ID</t>
        </is>
      </c>
      <c r="C1" s="4" t="inlineStr">
        <is>
          <t>Data item</t>
        </is>
      </c>
      <c r="D1" s="4" t="inlineStr">
        <is>
          <t>Input</t>
        </is>
      </c>
      <c r="E1" s="4" t="inlineStr">
        <is>
          <t>Requirement</t>
        </is>
      </c>
    </row>
    <row r="2">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144"/>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Domain</t>
        </is>
      </c>
      <c r="B1" s="4" t="inlineStr">
        <is>
          <t>ID</t>
        </is>
      </c>
      <c r="C1" s="4" t="inlineStr">
        <is>
          <t>Capability</t>
        </is>
      </c>
    </row>
    <row r="2">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44"/>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Metric</t>
        </is>
      </c>
      <c r="D1" s="4" t="inlineStr">
        <is>
          <t>What measured</t>
        </is>
      </c>
      <c r="E1" s="4" t="inlineStr">
        <is>
          <t>Measurement method</t>
        </is>
      </c>
      <c r="F1" s="4" t="inlineStr">
        <is>
          <t>Exposure</t>
        </is>
      </c>
    </row>
    <row r="2">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70"/>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Card</t>
        </is>
      </c>
      <c r="C1" s="4" t="inlineStr">
        <is>
          <t>Name</t>
        </is>
      </c>
      <c r="D1" s="4" t="inlineStr">
        <is>
          <t>Input Format</t>
        </is>
      </c>
      <c r="E1" s="4" t="inlineStr">
        <is>
          <t>Respondent does</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Domain</t>
        </is>
      </c>
      <c r="B1" s="4" t="inlineStr">
        <is>
          <t>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36"/>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Discipline</t>
        </is>
      </c>
      <c r="B1" s="4" t="inlineStr">
        <is>
          <t>Capability focus</t>
        </is>
      </c>
      <c r="C1" s="4" t="inlineStr">
        <is>
          <t>Representative assessment/evidence</t>
        </is>
      </c>
    </row>
    <row r="2">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Discipline ID</t>
        </is>
      </c>
      <c r="B1" s="4" t="inlineStr">
        <is>
          <t>Discipline Family</t>
        </is>
      </c>
      <c r="C1" s="4" t="inlineStr">
        <is>
          <t>Discipline / Subject</t>
        </is>
      </c>
      <c r="D1" s="4" t="inlineStr">
        <is>
          <t>AI Transformation Signal</t>
        </is>
      </c>
      <c r="E1" s="4" t="inlineStr">
        <is>
          <t>Human Capability Emphasis</t>
        </is>
      </c>
      <c r="F1" s="4" t="inlineStr">
        <is>
          <t>Typical Student Demonstration</t>
        </is>
      </c>
      <c r="G1" s="4" t="inlineStr">
        <is>
          <t>Activation Logic</t>
        </is>
      </c>
    </row>
    <row r="2">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D5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Scope</t>
        </is>
      </c>
      <c r="B1" s="4" t="inlineStr">
        <is>
          <t>Level</t>
        </is>
      </c>
      <c r="C1" s="4" t="inlineStr">
        <is>
          <t>Label</t>
        </is>
      </c>
      <c r="D1" s="4" t="inlineStr">
        <is>
          <t>Anchor</t>
        </is>
      </c>
    </row>
    <row r="2">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Domain</t>
        </is>
      </c>
      <c r="B1" s="4" t="inlineStr">
        <is>
          <t>Output</t>
        </is>
      </c>
      <c r="C1" s="4" t="inlineStr">
        <is>
          <t>Meaning</t>
        </is>
      </c>
      <c r="D1" s="4" t="inlineStr">
        <is>
          <t>Scale</t>
        </is>
      </c>
    </row>
    <row r="2">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Type</t>
        </is>
      </c>
      <c r="B1" s="4" t="inlineStr">
        <is>
          <t>Code</t>
        </is>
      </c>
      <c r="C1" s="4" t="inlineStr">
        <is>
          <t>Element</t>
        </is>
      </c>
      <c r="D1" s="4" t="inlineStr">
        <is>
          <t>Definition</t>
        </is>
      </c>
      <c r="E1" s="4" t="inlineStr">
        <is>
          <t>Rule</t>
        </is>
      </c>
    </row>
    <row r="2">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Evidence</t>
        </is>
      </c>
      <c r="D1" s="4" t="inlineStr">
        <is>
          <t>Quantity</t>
        </is>
      </c>
      <c r="E1" s="4" t="inlineStr">
        <is>
          <t>Requirement</t>
        </is>
      </c>
      <c r="F1" s="4" t="inlineStr">
        <is>
          <t>Metric</t>
        </is>
      </c>
    </row>
    <row r="2">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ID</t>
        </is>
      </c>
      <c r="B1" s="4" t="inlineStr">
        <is>
          <t>Check</t>
        </is>
      </c>
      <c r="C1" s="4" t="inlineStr">
        <is>
          <t>Rule</t>
        </is>
      </c>
      <c r="D1" s="4" t="inlineStr">
        <is>
          <t>Type</t>
        </is>
      </c>
    </row>
    <row r="2">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Level</t>
        </is>
      </c>
      <c r="B1" s="4" t="inlineStr">
        <is>
          <t>Institutional Reality State</t>
        </is>
      </c>
      <c r="C1" s="4" t="inlineStr">
        <is>
          <t>Meaning</t>
        </is>
      </c>
      <c r="D1" s="4" t="inlineStr">
        <is>
          <t>Assessment Treatment</t>
        </is>
      </c>
    </row>
    <row r="2">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Context Variable</t>
        </is>
      </c>
      <c r="B1" s="4" t="inlineStr">
        <is>
          <t>Why It Matters</t>
        </is>
      </c>
      <c r="C1" s="4" t="inlineStr">
        <is>
          <t>Examples of Context Values</t>
        </is>
      </c>
      <c r="D1" s="4" t="inlineStr">
        <is>
          <t>How It Changes Assessment</t>
        </is>
      </c>
    </row>
    <row r="2">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Input Layer</t>
        </is>
      </c>
      <c r="B1" s="4" t="inlineStr">
        <is>
          <t>What Captured</t>
        </is>
      </c>
      <c r="C1" s="4" t="inlineStr">
        <is>
          <t>Purpose</t>
        </is>
      </c>
      <c r="D1" s="4" t="inlineStr">
        <is>
          <t>Used For</t>
        </is>
      </c>
    </row>
    <row r="2">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18.7109375" customWidth="1" min="2" max="2"/>
    <col width="55.7109375" customWidth="1" min="3" max="4"/>
    <col width="42.7109375" customWidth="1" min="5" max="6"/>
  </cols>
  <sheetData>
    <row r="1">
      <c r="A1" s="4" t="inlineStr">
        <is>
          <t>Metric Layer</t>
        </is>
      </c>
      <c r="B1" s="4" t="inlineStr">
        <is>
          <t>Scale</t>
        </is>
      </c>
      <c r="C1" s="4" t="inlineStr">
        <is>
          <t>Anchor</t>
        </is>
      </c>
      <c r="D1" s="4" t="inlineStr">
        <is>
          <t>Purpose</t>
        </is>
      </c>
      <c r="E1" s="4" t="inlineStr">
        <is>
          <t>Scoring Role</t>
        </is>
      </c>
      <c r="F1" s="4" t="inlineStr">
        <is>
          <t>Validation Status</t>
        </is>
      </c>
    </row>
    <row r="2">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5.7109375" customWidth="1" min="1" max="2"/>
    <col width="60.7109375" customWidth="1" min="3" max="4"/>
  </cols>
  <sheetData>
    <row r="1">
      <c r="A1" s="4" t="inlineStr">
        <is>
          <t>From Domain</t>
        </is>
      </c>
      <c r="B1" s="4" t="inlineStr">
        <is>
          <t>To Domain</t>
        </is>
      </c>
      <c r="C1" s="4" t="inlineStr">
        <is>
          <t>Strategic Relationship</t>
        </is>
      </c>
      <c r="D1" s="4" t="inlineStr">
        <is>
          <t>Engine Action</t>
        </is>
      </c>
    </row>
    <row r="2">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20.7109375" customWidth="1" min="3" max="3"/>
    <col width="60.7109375" customWidth="1" min="4" max="4"/>
  </cols>
  <sheetData>
    <row r="1">
      <c r="A1" s="4" t="inlineStr">
        <is>
          <t>Domain</t>
        </is>
      </c>
      <c r="B1" s="4" t="inlineStr">
        <is>
          <t>Name</t>
        </is>
      </c>
      <c r="C1" s="4" t="inlineStr">
        <is>
          <t>Proposed Weight %</t>
        </is>
      </c>
      <c r="D1" s="4" t="inlineStr">
        <is>
          <t>Rationale / Caution</t>
        </is>
      </c>
    </row>
    <row r="2">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n"/>
      <c r="C13" s="2" t="n">
        <v>100</v>
      </c>
      <c r="D13" s="2" t="inlineStr">
        <is>
          <t>Provisional; weights must be validated through sensitivity analysis and pilot data before public benchmarking.</t>
        </is>
      </c>
    </row>
  </sheetData>
  <autoFilter ref="A1:D13"/>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30.7109375" customWidth="1" min="2" max="2"/>
    <col width="35.7109375" customWidth="1" min="3" max="3"/>
    <col width="20.7109375" customWidth="1" min="4" max="4"/>
    <col width="60.7109375" customWidth="1" min="5" max="5"/>
  </cols>
  <sheetData>
    <row r="1">
      <c r="A1" s="4" t="inlineStr">
        <is>
          <t>ID</t>
        </is>
      </c>
      <c r="B1" s="4" t="inlineStr">
        <is>
          <t>Principle</t>
        </is>
      </c>
      <c r="C1" s="4" t="inlineStr">
        <is>
          <t>Scope</t>
        </is>
      </c>
      <c r="D1" s="4" t="inlineStr">
        <is>
          <t>Status</t>
        </is>
      </c>
      <c r="E1" s="4" t="inlineStr">
        <is>
          <t>Design Rule</t>
        </is>
      </c>
    </row>
    <row r="2">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2.7109375" customWidth="1" min="1" max="1"/>
    <col width="18.7109375" customWidth="1" min="2" max="2"/>
    <col width="60.7109375" customWidth="1" min="3" max="3"/>
    <col width="55.7109375" customWidth="1" min="4" max="4"/>
  </cols>
  <sheetData>
    <row r="1">
      <c r="A1" s="4" t="inlineStr">
        <is>
          <t>Component</t>
        </is>
      </c>
      <c r="B1" s="4" t="inlineStr">
        <is>
          <t>Scale</t>
        </is>
      </c>
      <c r="C1" s="4" t="inlineStr">
        <is>
          <t>Definition</t>
        </is>
      </c>
      <c r="D1" s="4" t="inlineStr">
        <is>
          <t>Use</t>
        </is>
      </c>
    </row>
    <row r="2">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60.7109375" customWidth="1" min="2" max="3"/>
    <col width="28.7109375" customWidth="1" min="4" max="4"/>
  </cols>
  <sheetData>
    <row r="1">
      <c r="A1" s="4" t="inlineStr">
        <is>
          <t>Component</t>
        </is>
      </c>
      <c r="B1" s="4" t="inlineStr">
        <is>
          <t>Provisional Specification</t>
        </is>
      </c>
      <c r="C1" s="4" t="inlineStr">
        <is>
          <t>Reason</t>
        </is>
      </c>
      <c r="D1" s="4" t="inlineStr">
        <is>
          <t>Status</t>
        </is>
      </c>
    </row>
    <row r="2">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8.7109375" customWidth="1" min="1" max="1"/>
    <col width="60.7109375" customWidth="1" min="2" max="4"/>
  </cols>
  <sheetData>
    <row r="1">
      <c r="A1" s="4" t="inlineStr">
        <is>
          <t>Framework / Source</t>
        </is>
      </c>
      <c r="B1" s="4" t="inlineStr">
        <is>
          <t>Current public scope</t>
        </is>
      </c>
      <c r="C1" s="4" t="inlineStr">
        <is>
          <t>What it contributes to design</t>
        </is>
      </c>
      <c r="D1" s="4" t="inlineStr">
        <is>
          <t>What this engine should NOT claim</t>
        </is>
      </c>
    </row>
    <row r="2">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4.7109375" customWidth="1" min="1" max="1"/>
    <col width="60.7109375" customWidth="1" min="2" max="4"/>
  </cols>
  <sheetData>
    <row r="1">
      <c r="A1" s="4" t="inlineStr">
        <is>
          <t>Content Block</t>
        </is>
      </c>
      <c r="B1" s="4" t="inlineStr">
        <is>
          <t>Primary Source File</t>
        </is>
      </c>
      <c r="C1" s="4" t="inlineStr">
        <is>
          <t>Treatment in v3</t>
        </is>
      </c>
      <c r="D1" s="4" t="inlineStr">
        <is>
          <t>Notes</t>
        </is>
      </c>
    </row>
    <row r="2">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55.7109375" customWidth="1" min="2" max="2"/>
    <col width="35.7109375" customWidth="1" min="3" max="3"/>
    <col width="16.7109375" customWidth="1" min="4" max="4"/>
    <col width="60.7109375" customWidth="1" min="5" max="5"/>
  </cols>
  <sheetData>
    <row r="1">
      <c r="A1" s="4" t="inlineStr">
        <is>
          <t>Check</t>
        </is>
      </c>
      <c r="B1" s="4" t="inlineStr">
        <is>
          <t>Expected</t>
        </is>
      </c>
      <c r="C1" s="4" t="inlineStr">
        <is>
          <t>Actual</t>
        </is>
      </c>
      <c r="D1" s="4" t="inlineStr">
        <is>
          <t>Status</t>
        </is>
      </c>
      <c r="E1" s="4" t="inlineStr">
        <is>
          <t>Notes</t>
        </is>
      </c>
    </row>
    <row r="2">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339"/>
  <sheetViews>
    <sheetView showGridLines="0" workbookViewId="0">
      <selection activeCell="A1" sqref="A1"/>
    </sheetView>
  </sheetViews>
  <sheetFormatPr baseColWidth="8" defaultRowHeight="15"/>
  <cols>
    <col width="60.7109375" customWidth="1" min="1" max="1"/>
  </cols>
  <sheetData>
    <row r="1">
      <c r="A1" s="2" t="inlineStr">
        <is>
          <t>MASTER DEVELOPMENT PROMPT — R&amp;R AI RESILIENT UNIVERSITY INDEX</t>
        </is>
      </c>
    </row>
    <row r="2">
      <c r="A2" s="2" t="inlineStr">
        <is>
          <t>Version: v3 architecture build prompt</t>
        </is>
      </c>
    </row>
    <row r="3">
      <c r="A3" s="2" t="n"/>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n"/>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n"/>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n"/>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n"/>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n"/>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n"/>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n"/>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n"/>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n"/>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n"/>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n"/>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n"/>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n"/>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n"/>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n"/>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n"/>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n"/>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n"/>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n"/>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n"/>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n"/>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n"/>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n"/>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n"/>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n"/>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n"/>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n"/>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n"/>
    </row>
    <row r="339">
      <c r="A339" s="2" t="inlineStr">
        <is>
          <t>Build the system so that this chain can be measured, evidenced, cross-validated and transformed into action.</t>
        </is>
      </c>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20.7109375" customWidth="1" min="2" max="2"/>
    <col width="60.7109375" customWidth="1" min="3" max="3"/>
  </cols>
  <sheetData>
    <row r="1">
      <c r="A1" s="4" t="inlineStr">
        <is>
          <t>Build Item</t>
        </is>
      </c>
      <c r="B1" s="4" t="inlineStr">
        <is>
          <t>Status</t>
        </is>
      </c>
      <c r="C1" s="4" t="inlineStr">
        <is>
          <t>Notes</t>
        </is>
      </c>
    </row>
    <row r="2">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14.7109375" customWidth="1" min="3" max="3"/>
    <col width="13.7109375" customWidth="1" min="4" max="4"/>
    <col width="17.7109375" customWidth="1" min="5" max="5"/>
    <col width="39.7109375" customWidth="1" min="6" max="6"/>
    <col width="48.7109375" customWidth="1" min="7" max="7"/>
    <col width="42.7109375" customWidth="1" min="8" max="8"/>
    <col width="13.7109375" customWidth="1" min="9" max="9"/>
    <col width="48.7109375" customWidth="1" min="10" max="10"/>
  </cols>
  <sheetData>
    <row r="1">
      <c r="A1" s="1" t="inlineStr">
        <is>
          <t>Domain</t>
        </is>
      </c>
      <c r="B1" s="1" t="inlineStr">
        <is>
          <t>Metric ID</t>
        </is>
      </c>
      <c r="C1" s="1" t="inlineStr">
        <is>
          <t>Prior Status</t>
        </is>
      </c>
      <c r="D1" s="1" t="inlineStr">
        <is>
          <t>New Card ID</t>
        </is>
      </c>
      <c r="E1" s="1" t="inlineStr">
        <is>
          <t>New Question ID</t>
        </is>
      </c>
      <c r="F1" s="1" t="inlineStr">
        <is>
          <t>Assessment Card</t>
        </is>
      </c>
      <c r="G1" s="1" t="inlineStr">
        <is>
          <t>Prompt</t>
        </is>
      </c>
      <c r="H1" s="1" t="inlineStr">
        <is>
          <t>Input / Response Format</t>
        </is>
      </c>
      <c r="I1" s="1" t="inlineStr">
        <is>
          <t>Metric Link</t>
        </is>
      </c>
      <c r="J1" s="1"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9.7109375" customWidth="1" min="3" max="3"/>
    <col width="35.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5.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3.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3.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3.7109375" customWidth="1" min="3" max="3"/>
    <col width="39.7109375" customWidth="1" min="4"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9.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4.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27.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2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7.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6.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8"/>
  </cols>
  <sheetData>
    <row r="1">
      <c r="A1" s="1" t="inlineStr">
        <is>
          <t>Domain</t>
        </is>
      </c>
      <c r="B1" s="1" t="inlineStr">
        <is>
          <t>Metric ID</t>
        </is>
      </c>
      <c r="C1" s="1" t="inlineStr">
        <is>
          <t>Metric</t>
        </is>
      </c>
      <c r="D1" s="1" t="inlineStr">
        <is>
          <t>Minimum Evidence</t>
        </is>
      </c>
      <c r="E1" s="1" t="inlineStr">
        <is>
          <t>High-Maturity Requirement</t>
        </is>
      </c>
      <c r="F1" s="1" t="inlineStr">
        <is>
          <t>Independence</t>
        </is>
      </c>
      <c r="G1" s="1" t="inlineStr">
        <is>
          <t>Outcome Rule</t>
        </is>
      </c>
      <c r="H1" s="1"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7109375" customWidth="1" min="1" max="3"/>
    <col width="48.7109375" customWidth="1" min="4" max="4"/>
    <col width="33.7109375" customWidth="1" min="5" max="5"/>
    <col width="48.7109375" customWidth="1" min="6" max="6"/>
  </cols>
  <sheetData>
    <row r="1">
      <c r="A1" s="1" t="inlineStr">
        <is>
          <t>Rule ID</t>
        </is>
      </c>
      <c r="B1" s="1" t="inlineStr">
        <is>
          <t>From</t>
        </is>
      </c>
      <c r="C1" s="1" t="inlineStr">
        <is>
          <t>To</t>
        </is>
      </c>
      <c r="D1" s="1" t="inlineStr">
        <is>
          <t>Executable Check</t>
        </is>
      </c>
      <c r="E1" s="1" t="inlineStr">
        <is>
          <t>Action</t>
        </is>
      </c>
      <c r="F1" s="1"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7109375" customWidth="1" min="1" max="1"/>
    <col width="48.7109375" customWidth="1" min="2" max="2"/>
  </cols>
  <sheetData>
    <row r="1">
      <c r="A1" s="1" t="inlineStr">
        <is>
          <t>Rule</t>
        </is>
      </c>
      <c r="B1" s="1"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12.7109375" customWidth="1" min="3" max="3"/>
    <col width="48.7109375" customWidth="1" min="4" max="4"/>
  </cols>
  <sheetData>
    <row r="1">
      <c r="A1" s="1" t="inlineStr">
        <is>
          <t>Gate</t>
        </is>
      </c>
      <c r="B1" s="1" t="inlineStr">
        <is>
          <t>Requirement</t>
        </is>
      </c>
      <c r="C1" s="1" t="inlineStr">
        <is>
          <t>Status</t>
        </is>
      </c>
      <c r="D1" s="1"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0.140625" customWidth="1" min="1" max="1"/>
    <col width="60.7109375" customWidth="1" min="2" max="2"/>
  </cols>
  <sheetData>
    <row r="1">
      <c r="A1" s="7" t="inlineStr">
        <is>
          <t>P0-3 SCORING ARCHITECTURE</t>
        </is>
      </c>
      <c r="B1" s="6" t="n"/>
    </row>
    <row r="2">
      <c r="A2" s="8" t="inlineStr">
        <is>
          <t>Purpose</t>
        </is>
      </c>
      <c r="B2" s="8" t="inlineStr">
        <is>
          <t>Operational scoring model for the 143-metric AI Resilient University Index. Provisional until pilot validation.</t>
        </is>
      </c>
    </row>
    <row r="3">
      <c r="A3" s="8" t="inlineStr">
        <is>
          <t>Core principle</t>
        </is>
      </c>
      <c r="B3" s="8" t="inlineStr">
        <is>
          <t>Capability maturity is not multiplied by evidence confidence. Capability and confidence are reported separately.</t>
        </is>
      </c>
    </row>
    <row r="4">
      <c r="A4" s="8" t="inlineStr">
        <is>
          <t>Metric capability score</t>
        </is>
      </c>
      <c r="B4" s="8" t="inlineStr">
        <is>
          <t>If Outcome exists: 100 × (0.45M + 0.30I + 0.25O) / 5. If Outcome is legitimate N/A: 100 × (0.60M + 0.40I) / 5.</t>
        </is>
      </c>
    </row>
    <row r="5">
      <c r="A5" s="8" t="inlineStr">
        <is>
          <t>M</t>
        </is>
      </c>
      <c r="B5" s="8" t="inlineStr">
        <is>
          <t>Current maturity, 0–5, anchored to the domain-specific maturity anchors.</t>
        </is>
      </c>
    </row>
    <row r="6">
      <c r="A6" s="8" t="inlineStr">
        <is>
          <t>I</t>
        </is>
      </c>
      <c r="B6" s="8" t="inlineStr">
        <is>
          <t>Implementation depth, 0–5, measuring breadth, consistency, repeatability and operating penetration.</t>
        </is>
      </c>
    </row>
    <row r="7">
      <c r="A7" s="8" t="inlineStr">
        <is>
          <t>O</t>
        </is>
      </c>
      <c r="B7" s="8" t="inlineStr">
        <is>
          <t>Outcome strength, 0–5, only where a legitimate measurable outcome exists; otherwise N/A.</t>
        </is>
      </c>
    </row>
    <row r="8">
      <c r="A8" s="8" t="inlineStr">
        <is>
          <t>Confidence</t>
        </is>
      </c>
      <c r="B8" s="8" t="inlineStr">
        <is>
          <t>Separate 0–1 confidence indicator derived from evidence level, corroboration and independence. It does not mechanically reduce capability score.</t>
        </is>
      </c>
    </row>
    <row r="9">
      <c r="A9" s="8" t="inlineStr">
        <is>
          <t>Metric aggregation</t>
        </is>
      </c>
      <c r="B9" s="8" t="inlineStr">
        <is>
          <t>Mean of validated applicable metric scores within each domain, after N/A exclusion and applicability checks.</t>
        </is>
      </c>
    </row>
    <row r="10">
      <c r="A10" s="8" t="inlineStr">
        <is>
          <t>Domain aggregation</t>
        </is>
      </c>
      <c r="B10" s="8" t="inlineStr">
        <is>
          <t>Domain score × validated domain weight. Current weights are provisional.</t>
        </is>
      </c>
    </row>
    <row r="11">
      <c r="A11" s="8" t="inlineStr">
        <is>
          <t>Overall ARUI</t>
        </is>
      </c>
      <c r="B11" s="8" t="inlineStr">
        <is>
          <t>Σ(domain score × domain weight), expressed on 0–100 scale.</t>
        </is>
      </c>
    </row>
    <row r="12">
      <c r="A12" s="8" t="inlineStr">
        <is>
          <t>Required maturity</t>
        </is>
      </c>
      <c r="B12" s="8" t="inlineStr">
        <is>
          <t>R = f(mandate, AI exposure, disciplinary consequence, trajectory). Resources affect proportionality/evidence burden, not the target score.</t>
        </is>
      </c>
    </row>
    <row r="13">
      <c r="A13" s="8" t="inlineStr">
        <is>
          <t>Transformation distance</t>
        </is>
      </c>
      <c r="B13" s="8" t="inlineStr">
        <is>
          <t>T = R − M, reported at metric/domain level.</t>
        </is>
      </c>
    </row>
    <row r="14">
      <c r="A14" s="8" t="inlineStr">
        <is>
          <t>Scoring status</t>
        </is>
      </c>
      <c r="B14" s="8" t="inlineStr">
        <is>
          <t>PROVISIONAL / DIAGNOSTIC. Public benchmark, ranking, certification or recognition remains blocked until validation gates pass.</t>
        </is>
      </c>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O144"/>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34.140625" customWidth="1" min="3" max="3"/>
    <col width="50.140625" customWidth="1" min="4" max="4"/>
    <col width="60.140625" customWidth="1" min="5" max="5"/>
    <col width="60.7109375" customWidth="1" min="6" max="6"/>
    <col width="57.140625" customWidth="1" min="7" max="7"/>
    <col width="54.140625" customWidth="1" min="8" max="8"/>
    <col width="60.7109375" customWidth="1" min="9" max="9"/>
    <col width="57.140625" customWidth="1" min="10" max="10"/>
    <col width="60.7109375" customWidth="1" min="11" max="11"/>
    <col width="60.140625" customWidth="1" min="12" max="12"/>
    <col width="60.7109375" customWidth="1" min="13" max="13"/>
    <col width="30.140625" customWidth="1" min="14" max="14"/>
    <col width="36.140625" customWidth="1" min="15" max="15"/>
  </cols>
  <sheetData>
    <row r="1">
      <c r="A1" s="7" t="inlineStr">
        <is>
          <t>Domain</t>
        </is>
      </c>
      <c r="B1" s="7" t="inlineStr">
        <is>
          <t>Metric ID</t>
        </is>
      </c>
      <c r="C1" s="7" t="inlineStr">
        <is>
          <t>Metric</t>
        </is>
      </c>
      <c r="D1" s="7" t="inlineStr">
        <is>
          <t>Primary Construct</t>
        </is>
      </c>
      <c r="E1" s="7" t="inlineStr">
        <is>
          <t>M Rule</t>
        </is>
      </c>
      <c r="F1" s="7" t="inlineStr">
        <is>
          <t>I Rule</t>
        </is>
      </c>
      <c r="G1" s="7" t="inlineStr">
        <is>
          <t>O Rule</t>
        </is>
      </c>
      <c r="H1" s="7" t="inlineStr">
        <is>
          <t>N/A Rule</t>
        </is>
      </c>
      <c r="I1" s="7" t="inlineStr">
        <is>
          <t>Evidence Gate</t>
        </is>
      </c>
      <c r="J1" s="7" t="inlineStr">
        <is>
          <t>Confidence Rule</t>
        </is>
      </c>
      <c r="K1" s="7" t="inlineStr">
        <is>
          <t>Anti-Gaming</t>
        </is>
      </c>
      <c r="L1" s="7" t="inlineStr">
        <is>
          <t>Cross-Domain Protection</t>
        </is>
      </c>
      <c r="M1" s="7" t="inlineStr">
        <is>
          <t>Metric Formula</t>
        </is>
      </c>
      <c r="N1" s="7" t="inlineStr">
        <is>
          <t>Owner</t>
        </is>
      </c>
      <c r="O1" s="7" t="inlineStr">
        <is>
          <t>Validation Status</t>
        </is>
      </c>
    </row>
    <row r="2">
      <c r="A2" s="8" t="inlineStr">
        <is>
          <t>D01</t>
        </is>
      </c>
      <c r="B2" s="8" t="inlineStr">
        <is>
          <t>I01</t>
        </is>
      </c>
      <c r="C2" s="8" t="inlineStr">
        <is>
          <t>Strategic AI Integration</t>
        </is>
      </c>
      <c r="D2" s="8" t="inlineStr">
        <is>
          <t>Actual AI/future influence on institutional decisions</t>
        </is>
      </c>
      <c r="E2" s="8" t="inlineStr">
        <is>
          <t>Anchor 0–5 from domain-specific maturity anchor using direct sampled practice/work evidence; do not infer maturity from policy statements alone.</t>
        </is>
      </c>
      <c r="F2" s="8" t="inlineStr">
        <is>
          <t>0–5: 0 absent; 1 isolated/person-dependent; 2 repeatable in limited areas; 3 institutionally structured; 4 broad/cross-functional and consistently operating; 5 continuously improved/scaled.</t>
        </is>
      </c>
      <c r="G2" s="8" t="inlineStr">
        <is>
          <t>Use outcome only when a legitimate measurable result exists; otherwise N/A.</t>
        </is>
      </c>
      <c r="H2" s="8" t="inlineStr">
        <is>
          <t>Only genuine mandate/context inapplicability with documented assessor approval; missing evidence is never N/A.</t>
        </is>
      </c>
      <c r="I2" s="8" t="inlineStr">
        <is>
          <t>D01</t>
        </is>
      </c>
      <c r="J2" s="8" t="inlineStr">
        <is>
          <t>E0=0.20; E1=0.40; E2=0.65; E3=0.85; E4=1.00, subject to corroboration/independence adjustment. Report separately.</t>
        </is>
      </c>
      <c r="K2" s="8" t="inlineStr">
        <is>
          <t>No score uplift from claims alone; lock denominator/exclusions before results; sample verification; cross-check with adjacent domains; high scores require corroboration.</t>
        </is>
      </c>
      <c r="L2" s="8" t="inlineStr">
        <is>
          <t>Use primary-owner rule; shared evidence may validate multiple metrics but the same activity cannot be scored twice across domains.</t>
        </is>
      </c>
      <c r="M2" s="8" t="inlineStr">
        <is>
          <t>100*((0.45*M)+(0.30*I)+(0.25*O))/5 when O exists; otherwise 100*((0.60*M)+(0.40*I))/5.</t>
        </is>
      </c>
      <c r="N2" s="8" t="inlineStr">
        <is>
          <t>D01 methodology/data owner</t>
        </is>
      </c>
      <c r="O2" s="8" t="inlineStr">
        <is>
          <t>PROVISIONAL—pilot validation required</t>
        </is>
      </c>
    </row>
    <row r="3">
      <c r="A3" s="8" t="inlineStr">
        <is>
          <t>D01</t>
        </is>
      </c>
      <c r="B3" s="8" t="inlineStr">
        <is>
          <t>I02</t>
        </is>
      </c>
      <c r="C3" s="8" t="inlineStr">
        <is>
          <t>Future Foresight Maturity</t>
        </is>
      </c>
      <c r="D3" s="8" t="inlineStr">
        <is>
          <t>Ability to test assumptions and detect change early</t>
        </is>
      </c>
      <c r="E3" s="8" t="inlineStr">
        <is>
          <t>Anchor 0–5 from domain-specific maturity anchor using direct sampled practice/work evidence; do not infer maturity from policy statements alone.</t>
        </is>
      </c>
      <c r="F3" s="8" t="inlineStr">
        <is>
          <t>0–5: 0 absent; 1 isolated/person-dependent; 2 repeatable in limited areas; 3 institutionally structured; 4 broad/cross-functional and consistently operating; 5 continuously improved/scaled.</t>
        </is>
      </c>
      <c r="G3" s="8" t="inlineStr">
        <is>
          <t>Use outcome only when a legitimate measurable result exists; otherwise N/A.</t>
        </is>
      </c>
      <c r="H3" s="8" t="inlineStr">
        <is>
          <t>Only genuine mandate/context inapplicability with documented assessor approval; missing evidence is never N/A.</t>
        </is>
      </c>
      <c r="I3" s="8" t="inlineStr">
        <is>
          <t>D01; D01</t>
        </is>
      </c>
      <c r="J3" s="8" t="inlineStr">
        <is>
          <t>E0=0.20; E1=0.40; E2=0.65; E3=0.85; E4=1.00, subject to corroboration/independence adjustment. Report separately.</t>
        </is>
      </c>
      <c r="K3" s="8" t="inlineStr">
        <is>
          <t>No score uplift from claims alone; lock denominator/exclusions before results; sample verification; cross-check with adjacent domains; high scores require corroboration.</t>
        </is>
      </c>
      <c r="L3" s="8" t="inlineStr">
        <is>
          <t>Use primary-owner rule; shared evidence may validate multiple metrics but the same activity cannot be scored twice across domains.</t>
        </is>
      </c>
      <c r="M3" s="8" t="inlineStr">
        <is>
          <t>100*((0.45*M)+(0.30*I)+(0.25*O))/5 when O exists; otherwise 100*((0.60*M)+(0.40*I))/5.</t>
        </is>
      </c>
      <c r="N3" s="8" t="inlineStr">
        <is>
          <t>D01 methodology/data owner</t>
        </is>
      </c>
      <c r="O3" s="8" t="inlineStr">
        <is>
          <t>PROVISIONAL—pilot validation required</t>
        </is>
      </c>
    </row>
    <row r="4">
      <c r="A4" s="8" t="inlineStr">
        <is>
          <t>D01</t>
        </is>
      </c>
      <c r="B4" s="8" t="inlineStr">
        <is>
          <t>I03</t>
        </is>
      </c>
      <c r="C4" s="8" t="inlineStr">
        <is>
          <t>Strategic Translation Rate</t>
        </is>
      </c>
      <c r="D4" s="8" t="inlineStr">
        <is>
          <t>Identified issues translated into actual decisions</t>
        </is>
      </c>
      <c r="E4" s="8" t="inlineStr">
        <is>
          <t>Anchor 0–5 from domain-specific maturity anchor using direct sampled practice/work evidence; do not infer maturity from policy statements alone.</t>
        </is>
      </c>
      <c r="F4" s="8" t="inlineStr">
        <is>
          <t>0–5: 0 absent; 1 isolated/person-dependent; 2 repeatable in limited areas; 3 institutionally structured; 4 broad/cross-functional and consistently operating; 5 continuously improved/scaled.</t>
        </is>
      </c>
      <c r="G4" s="8" t="inlineStr">
        <is>
          <t>Use outcome only when a legitimate measurable result exists; otherwise N/A.</t>
        </is>
      </c>
      <c r="H4" s="8" t="inlineStr">
        <is>
          <t>Only genuine mandate/context inapplicability with documented assessor approval; missing evidence is never N/A.</t>
        </is>
      </c>
      <c r="I4" s="8" t="inlineStr">
        <is>
          <t>D01</t>
        </is>
      </c>
      <c r="J4" s="8" t="inlineStr">
        <is>
          <t>E0=0.20; E1=0.40; E2=0.65; E3=0.85; E4=1.00, subject to corroboration/independence adjustment. Report separately.</t>
        </is>
      </c>
      <c r="K4" s="8" t="inlineStr">
        <is>
          <t>No score uplift from claims alone; lock denominator/exclusions before results; sample verification; cross-check with adjacent domains; high scores require corroboration.</t>
        </is>
      </c>
      <c r="L4" s="8" t="inlineStr">
        <is>
          <t>Use primary-owner rule; shared evidence may validate multiple metrics but the same activity cannot be scored twice across domains.</t>
        </is>
      </c>
      <c r="M4" s="8" t="inlineStr">
        <is>
          <t>100*((0.45*M)+(0.30*I)+(0.25*O))/5 when O exists; otherwise 100*((0.60*M)+(0.40*I))/5.</t>
        </is>
      </c>
      <c r="N4" s="8" t="inlineStr">
        <is>
          <t>D01 methodology/data owner</t>
        </is>
      </c>
      <c r="O4" s="8" t="inlineStr">
        <is>
          <t>PROVISIONAL—pilot validation required</t>
        </is>
      </c>
    </row>
    <row r="5">
      <c r="A5" s="8" t="inlineStr">
        <is>
          <t>D01</t>
        </is>
      </c>
      <c r="B5" s="8" t="inlineStr">
        <is>
          <t>I04</t>
        </is>
      </c>
      <c r="C5" s="8" t="inlineStr">
        <is>
          <t>Programme Future-Review Coverage</t>
        </is>
      </c>
      <c r="D5" s="8" t="inlineStr">
        <is>
          <t>Programme reviews considering AI/future-of-work</t>
        </is>
      </c>
      <c r="E5" s="8" t="inlineStr">
        <is>
          <t>Anchor 0–5 from domain-specific maturity anchor using direct sampled practice/work evidence; do not infer maturity from policy statements alone.</t>
        </is>
      </c>
      <c r="F5" s="8" t="inlineStr">
        <is>
          <t>0–5: 0 absent; 1 isolated/person-dependent; 2 repeatable in limited areas; 3 institutionally structured; 4 broad/cross-functional and consistently operating; 5 continuously improved/scaled.</t>
        </is>
      </c>
      <c r="G5" s="8" t="inlineStr">
        <is>
          <t>Use outcome only when a legitimate measurable result exists; otherwise N/A.</t>
        </is>
      </c>
      <c r="H5" s="8" t="inlineStr">
        <is>
          <t>Only genuine mandate/context inapplicability with documented assessor approval; missing evidence is never N/A.</t>
        </is>
      </c>
      <c r="I5" s="8" t="inlineStr">
        <is>
          <t>D01</t>
        </is>
      </c>
      <c r="J5" s="8" t="inlineStr">
        <is>
          <t>E0=0.20; E1=0.40; E2=0.65; E3=0.85; E4=1.00, subject to corroboration/independence adjustment. Report separately.</t>
        </is>
      </c>
      <c r="K5" s="8" t="inlineStr">
        <is>
          <t>No score uplift from claims alone; lock denominator/exclusions before results; sample verification; cross-check with adjacent domains; high scores require corroboration.</t>
        </is>
      </c>
      <c r="L5" s="8" t="inlineStr">
        <is>
          <t>Use primary-owner rule; shared evidence may validate multiple metrics but the same activity cannot be scored twice across domains.</t>
        </is>
      </c>
      <c r="M5" s="8" t="inlineStr">
        <is>
          <t>100*((0.45*M)+(0.30*I)+(0.25*O))/5 when O exists; otherwise 100*((0.60*M)+(0.40*I))/5.</t>
        </is>
      </c>
      <c r="N5" s="8" t="inlineStr">
        <is>
          <t>D01 methodology/data owner</t>
        </is>
      </c>
      <c r="O5" s="8" t="inlineStr">
        <is>
          <t>PROVISIONAL—pilot validation required</t>
        </is>
      </c>
    </row>
    <row r="6">
      <c r="A6" s="8" t="inlineStr">
        <is>
          <t>D01</t>
        </is>
      </c>
      <c r="B6" s="8" t="inlineStr">
        <is>
          <t>I05</t>
        </is>
      </c>
      <c r="C6" s="8" t="inlineStr">
        <is>
          <t>Strategic Differentiation Clarity</t>
        </is>
      </c>
      <c r="D6" s="8" t="inlineStr">
        <is>
          <t>Evidence-backed future value proposition</t>
        </is>
      </c>
      <c r="E6" s="8" t="inlineStr">
        <is>
          <t>Anchor 0–5 from domain-specific maturity anchor using direct sampled practice/work evidence; do not infer maturity from policy statements alone.</t>
        </is>
      </c>
      <c r="F6" s="8" t="inlineStr">
        <is>
          <t>0–5: 0 absent; 1 isolated/person-dependent; 2 repeatable in limited areas; 3 institutionally structured; 4 broad/cross-functional and consistently operating; 5 continuously improved/scaled.</t>
        </is>
      </c>
      <c r="G6" s="8" t="inlineStr">
        <is>
          <t>Use outcome only when a legitimate measurable result exists; otherwise N/A.</t>
        </is>
      </c>
      <c r="H6" s="8" t="inlineStr">
        <is>
          <t>Only genuine mandate/context inapplicability with documented assessor approval; missing evidence is never N/A.</t>
        </is>
      </c>
      <c r="I6" s="8" t="inlineStr">
        <is>
          <t>—</t>
        </is>
      </c>
      <c r="J6" s="8" t="inlineStr">
        <is>
          <t>E0=0.20; E1=0.40; E2=0.65; E3=0.85; E4=1.00, subject to corroboration/independence adjustment. Report separately.</t>
        </is>
      </c>
      <c r="K6" s="8" t="inlineStr">
        <is>
          <t>No score uplift from claims alone; lock denominator/exclusions before results; sample verification; cross-check with adjacent domains; high scores require corroboration.</t>
        </is>
      </c>
      <c r="L6" s="8" t="inlineStr">
        <is>
          <t>Use primary-owner rule; shared evidence may validate multiple metrics but the same activity cannot be scored twice across domains.</t>
        </is>
      </c>
      <c r="M6" s="8" t="inlineStr">
        <is>
          <t>100*((0.45*M)+(0.30*I)+(0.25*O))/5 when O exists; otherwise 100*((0.60*M)+(0.40*I))/5.</t>
        </is>
      </c>
      <c r="N6" s="8" t="inlineStr">
        <is>
          <t>D01 methodology/data owner</t>
        </is>
      </c>
      <c r="O6" s="8" t="inlineStr">
        <is>
          <t>PROVISIONAL—pilot validation required</t>
        </is>
      </c>
    </row>
    <row r="7">
      <c r="A7" s="8" t="inlineStr">
        <is>
          <t>D01</t>
        </is>
      </c>
      <c r="B7" s="8" t="inlineStr">
        <is>
          <t>I06</t>
        </is>
      </c>
      <c r="C7" s="8" t="inlineStr">
        <is>
          <t>Foresight Response Architecture</t>
        </is>
      </c>
      <c r="D7" s="8" t="inlineStr">
        <is>
          <t>Detect→interpret→decide→act→learn mechanism</t>
        </is>
      </c>
      <c r="E7" s="8" t="inlineStr">
        <is>
          <t>Anchor 0–5 from domain-specific maturity anchor using direct sampled practice/work evidence; do not infer maturity from policy statements alone.</t>
        </is>
      </c>
      <c r="F7" s="8" t="inlineStr">
        <is>
          <t>0–5: 0 absent; 1 isolated/person-dependent; 2 repeatable in limited areas; 3 institutionally structured; 4 broad/cross-functional and consistently operating; 5 continuously improved/scaled.</t>
        </is>
      </c>
      <c r="G7" s="8" t="inlineStr">
        <is>
          <t>Use outcome only when a legitimate measurable result exists; otherwise N/A.</t>
        </is>
      </c>
      <c r="H7" s="8" t="inlineStr">
        <is>
          <t>Only genuine mandate/context inapplicability with documented assessor approval; missing evidence is never N/A.</t>
        </is>
      </c>
      <c r="I7" s="8" t="inlineStr">
        <is>
          <t>D01</t>
        </is>
      </c>
      <c r="J7" s="8" t="inlineStr">
        <is>
          <t>E0=0.20; E1=0.40; E2=0.65; E3=0.85; E4=1.00, subject to corroboration/independence adjustment. Report separately.</t>
        </is>
      </c>
      <c r="K7" s="8" t="inlineStr">
        <is>
          <t>No score uplift from claims alone; lock denominator/exclusions before results; sample verification; cross-check with adjacent domains; high scores require corroboration.</t>
        </is>
      </c>
      <c r="L7" s="8" t="inlineStr">
        <is>
          <t>Use primary-owner rule; shared evidence may validate multiple metrics but the same activity cannot be scored twice across domains.</t>
        </is>
      </c>
      <c r="M7" s="8" t="inlineStr">
        <is>
          <t>100*((0.45*M)+(0.30*I)+(0.25*O))/5 when O exists; otherwise 100*((0.60*M)+(0.40*I))/5.</t>
        </is>
      </c>
      <c r="N7" s="8" t="inlineStr">
        <is>
          <t>D01 methodology/data owner</t>
        </is>
      </c>
      <c r="O7" s="8" t="inlineStr">
        <is>
          <t>PROVISIONAL—pilot validation required</t>
        </is>
      </c>
    </row>
    <row r="8">
      <c r="A8" s="8" t="inlineStr">
        <is>
          <t>D01</t>
        </is>
      </c>
      <c r="B8" s="8" t="inlineStr">
        <is>
          <t>I07</t>
        </is>
      </c>
      <c r="C8" s="8" t="inlineStr">
        <is>
          <t>Resource Alignment</t>
        </is>
      </c>
      <c r="D8" s="8" t="inlineStr">
        <is>
          <t>Strategic priority vs resource movement</t>
        </is>
      </c>
      <c r="E8" s="8" t="inlineStr">
        <is>
          <t>Anchor 0–5 from domain-specific maturity anchor using direct sampled practice/work evidence; do not infer maturity from policy statements alone.</t>
        </is>
      </c>
      <c r="F8" s="8" t="inlineStr">
        <is>
          <t>0–5: 0 absent; 1 isolated/person-dependent; 2 repeatable in limited areas; 3 institutionally structured; 4 broad/cross-functional and consistently operating; 5 continuously improved/scaled.</t>
        </is>
      </c>
      <c r="G8" s="8" t="inlineStr">
        <is>
          <t>Use outcome only when a legitimate measurable result exists; otherwise N/A.</t>
        </is>
      </c>
      <c r="H8" s="8" t="inlineStr">
        <is>
          <t>Only genuine mandate/context inapplicability with documented assessor approval; missing evidence is never N/A.</t>
        </is>
      </c>
      <c r="I8" s="8" t="inlineStr">
        <is>
          <t>—</t>
        </is>
      </c>
      <c r="J8" s="8" t="inlineStr">
        <is>
          <t>E0=0.20; E1=0.40; E2=0.65; E3=0.85; E4=1.00, subject to corroboration/independence adjustment. Report separately.</t>
        </is>
      </c>
      <c r="K8" s="8" t="inlineStr">
        <is>
          <t>No score uplift from claims alone; lock denominator/exclusions before results; sample verification; cross-check with adjacent domains; high scores require corroboration.</t>
        </is>
      </c>
      <c r="L8" s="8" t="inlineStr">
        <is>
          <t>Use primary-owner rule; shared evidence may validate multiple metrics but the same activity cannot be scored twice across domains.</t>
        </is>
      </c>
      <c r="M8" s="8" t="inlineStr">
        <is>
          <t>100*((0.45*M)+(0.30*I)+(0.25*O))/5 when O exists; otherwise 100*((0.60*M)+(0.40*I))/5.</t>
        </is>
      </c>
      <c r="N8" s="8" t="inlineStr">
        <is>
          <t>D01 methodology/data owner</t>
        </is>
      </c>
      <c r="O8" s="8" t="inlineStr">
        <is>
          <t>PROVISIONAL—pilot validation required</t>
        </is>
      </c>
    </row>
    <row r="9">
      <c r="A9" s="8" t="inlineStr">
        <is>
          <t>D01</t>
        </is>
      </c>
      <c r="B9" s="8" t="inlineStr">
        <is>
          <t>I08</t>
        </is>
      </c>
      <c r="C9" s="8" t="inlineStr">
        <is>
          <t>Leadership Alignment</t>
        </is>
      </c>
      <c r="D9" s="8" t="inlineStr">
        <is>
          <t>Cross-functional strategic ownership</t>
        </is>
      </c>
      <c r="E9" s="8" t="inlineStr">
        <is>
          <t>Anchor 0–5 from domain-specific maturity anchor using direct sampled practice/work evidence; do not infer maturity from policy statements alone.</t>
        </is>
      </c>
      <c r="F9" s="8" t="inlineStr">
        <is>
          <t>0–5: 0 absent; 1 isolated/person-dependent; 2 repeatable in limited areas; 3 institutionally structured; 4 broad/cross-functional and consistently operating; 5 continuously improved/scaled.</t>
        </is>
      </c>
      <c r="G9" s="8" t="inlineStr">
        <is>
          <t>Use outcome only when a legitimate measurable result exists; otherwise N/A.</t>
        </is>
      </c>
      <c r="H9" s="8" t="inlineStr">
        <is>
          <t>Only genuine mandate/context inapplicability with documented assessor approval; missing evidence is never N/A.</t>
        </is>
      </c>
      <c r="I9" s="8" t="inlineStr">
        <is>
          <t>—</t>
        </is>
      </c>
      <c r="J9" s="8" t="inlineStr">
        <is>
          <t>E0=0.20; E1=0.40; E2=0.65; E3=0.85; E4=1.00, subject to corroboration/independence adjustment. Report separately.</t>
        </is>
      </c>
      <c r="K9" s="8" t="inlineStr">
        <is>
          <t>No score uplift from claims alone; lock denominator/exclusions before results; sample verification; cross-check with adjacent domains; high scores require corroboration.</t>
        </is>
      </c>
      <c r="L9" s="8" t="inlineStr">
        <is>
          <t>Use primary-owner rule; shared evidence may validate multiple metrics but the same activity cannot be scored twice across domains.</t>
        </is>
      </c>
      <c r="M9" s="8" t="inlineStr">
        <is>
          <t>100*((0.45*M)+(0.30*I)+(0.25*O))/5 when O exists; otherwise 100*((0.60*M)+(0.40*I))/5.</t>
        </is>
      </c>
      <c r="N9" s="8" t="inlineStr">
        <is>
          <t>D01 methodology/data owner</t>
        </is>
      </c>
      <c r="O9" s="8" t="inlineStr">
        <is>
          <t>PROVISIONAL—pilot validation required</t>
        </is>
      </c>
    </row>
    <row r="10">
      <c r="A10" s="8" t="inlineStr">
        <is>
          <t>D01</t>
        </is>
      </c>
      <c r="B10" s="8" t="inlineStr">
        <is>
          <t>I09</t>
        </is>
      </c>
      <c r="C10" s="8" t="inlineStr">
        <is>
          <t>Experimentation Effectiveness</t>
        </is>
      </c>
      <c r="D10" s="8" t="inlineStr">
        <is>
          <t>Pilot evaluation, scaling/stopping and learning</t>
        </is>
      </c>
      <c r="E10" s="8" t="inlineStr">
        <is>
          <t>Anchor 0–5 from domain-specific maturity anchor using direct sampled practice/work evidence; do not infer maturity from policy statements alone.</t>
        </is>
      </c>
      <c r="F10" s="8" t="inlineStr">
        <is>
          <t>0–5: 0 absent; 1 isolated/person-dependent; 2 repeatable in limited areas; 3 institutionally structured; 4 broad/cross-functional and consistently operating; 5 continuously improved/scaled.</t>
        </is>
      </c>
      <c r="G10" s="8" t="inlineStr">
        <is>
          <t>Use outcome only when a legitimate measurable result exists; otherwise N/A.</t>
        </is>
      </c>
      <c r="H10" s="8" t="inlineStr">
        <is>
          <t>Only genuine mandate/context inapplicability with documented assessor approval; missing evidence is never N/A.</t>
        </is>
      </c>
      <c r="I10" s="8" t="inlineStr">
        <is>
          <t>D01</t>
        </is>
      </c>
      <c r="J10" s="8" t="inlineStr">
        <is>
          <t>E0=0.20; E1=0.40; E2=0.65; E3=0.85; E4=1.00, subject to corroboration/independence adjustment. Report separately.</t>
        </is>
      </c>
      <c r="K10" s="8" t="inlineStr">
        <is>
          <t>No score uplift from claims alone; lock denominator/exclusions before results; sample verification; cross-check with adjacent domains; high scores require corroboration.</t>
        </is>
      </c>
      <c r="L10" s="8" t="inlineStr">
        <is>
          <t>Use primary-owner rule; shared evidence may validate multiple metrics but the same activity cannot be scored twice across domains.</t>
        </is>
      </c>
      <c r="M10" s="8" t="inlineStr">
        <is>
          <t>100*((0.45*M)+(0.30*I)+(0.25*O))/5 when O exists; otherwise 100*((0.60*M)+(0.40*I))/5.</t>
        </is>
      </c>
      <c r="N10" s="8" t="inlineStr">
        <is>
          <t>D01 methodology/data owner</t>
        </is>
      </c>
      <c r="O10" s="8" t="inlineStr">
        <is>
          <t>PROVISIONAL—pilot validation required</t>
        </is>
      </c>
    </row>
    <row r="11">
      <c r="A11" s="8" t="inlineStr">
        <is>
          <t>D01</t>
        </is>
      </c>
      <c r="B11" s="8" t="inlineStr">
        <is>
          <t>I10</t>
        </is>
      </c>
      <c r="C11" s="8" t="inlineStr">
        <is>
          <t>Strategic Learning Rate</t>
        </is>
      </c>
      <c r="D11" s="8" t="inlineStr">
        <is>
          <t>Strategy changes after evidence/review</t>
        </is>
      </c>
      <c r="E11" s="8" t="inlineStr">
        <is>
          <t>Anchor 0–5 from domain-specific maturity anchor using direct sampled practice/work evidence; do not infer maturity from policy statements alone.</t>
        </is>
      </c>
      <c r="F11" s="8" t="inlineStr">
        <is>
          <t>0–5: 0 absent; 1 isolated/person-dependent; 2 repeatable in limited areas; 3 institutionally structured; 4 broad/cross-functional and consistently operating; 5 continuously improved/scaled.</t>
        </is>
      </c>
      <c r="G11" s="8" t="inlineStr">
        <is>
          <t>Use outcome only when a legitimate measurable result exists; otherwise N/A.</t>
        </is>
      </c>
      <c r="H11" s="8" t="inlineStr">
        <is>
          <t>Only genuine mandate/context inapplicability with documented assessor approval; missing evidence is never N/A.</t>
        </is>
      </c>
      <c r="I11" s="8" t="inlineStr">
        <is>
          <t>—</t>
        </is>
      </c>
      <c r="J11" s="8" t="inlineStr">
        <is>
          <t>E0=0.20; E1=0.40; E2=0.65; E3=0.85; E4=1.00, subject to corroboration/independence adjustment. Report separately.</t>
        </is>
      </c>
      <c r="K11" s="8" t="inlineStr">
        <is>
          <t>No score uplift from claims alone; lock denominator/exclusions before results; sample verification; cross-check with adjacent domains; high scores require corroboration.</t>
        </is>
      </c>
      <c r="L11" s="8" t="inlineStr">
        <is>
          <t>Use primary-owner rule; shared evidence may validate multiple metrics but the same activity cannot be scored twice across domains.</t>
        </is>
      </c>
      <c r="M11" s="8" t="inlineStr">
        <is>
          <t>100*((0.45*M)+(0.30*I)+(0.25*O))/5 when O exists; otherwise 100*((0.60*M)+(0.40*I))/5.</t>
        </is>
      </c>
      <c r="N11" s="8" t="inlineStr">
        <is>
          <t>D01 methodology/data owner</t>
        </is>
      </c>
      <c r="O11" s="8" t="inlineStr">
        <is>
          <t>PROVISIONAL—pilot validation required</t>
        </is>
      </c>
    </row>
    <row r="12">
      <c r="A12" s="8" t="inlineStr">
        <is>
          <t>D02</t>
        </is>
      </c>
      <c r="B12" s="8" t="inlineStr">
        <is>
          <t>I01</t>
        </is>
      </c>
      <c r="C12" s="8" t="inlineStr">
        <is>
          <t>Governance Ownership</t>
        </is>
      </c>
      <c r="D12" s="8" t="inlineStr">
        <is>
          <t>Decision rights for consequential AI</t>
        </is>
      </c>
      <c r="E12" s="8" t="inlineStr">
        <is>
          <t>Anchor 0–5 from domain-specific maturity anchor using direct sampled practice/work evidence; do not infer maturity from policy statements alone.</t>
        </is>
      </c>
      <c r="F12" s="8" t="inlineStr">
        <is>
          <t>0–5: 0 absent; 1 isolated/person-dependent; 2 repeatable in limited areas; 3 institutionally structured; 4 broad/cross-functional and consistently operating; 5 continuously improved/scaled.</t>
        </is>
      </c>
      <c r="G12" s="8" t="inlineStr">
        <is>
          <t>Use outcome only when a legitimate measurable result exists; otherwise N/A.</t>
        </is>
      </c>
      <c r="H12" s="8" t="inlineStr">
        <is>
          <t>Only genuine mandate/context inapplicability with documented assessor approval; missing evidence is never N/A.</t>
        </is>
      </c>
      <c r="I12" s="8" t="inlineStr">
        <is>
          <t>D02</t>
        </is>
      </c>
      <c r="J12" s="8" t="inlineStr">
        <is>
          <t>E0=0.20; E1=0.40; E2=0.65; E3=0.85; E4=1.00, subject to corroboration/independence adjustment. Report separately.</t>
        </is>
      </c>
      <c r="K12" s="8" t="inlineStr">
        <is>
          <t>No score uplift from claims alone; lock denominator/exclusions before results; sample verification; cross-check with adjacent domains; high scores require corroboration.</t>
        </is>
      </c>
      <c r="L12" s="8" t="inlineStr">
        <is>
          <t>Use primary-owner rule; shared evidence may validate multiple metrics but the same activity cannot be scored twice across domains.</t>
        </is>
      </c>
      <c r="M12" s="8" t="inlineStr">
        <is>
          <t>100*((0.45*M)+(0.30*I)+(0.25*O))/5 when O exists; otherwise 100*((0.60*M)+(0.40*I))/5.</t>
        </is>
      </c>
      <c r="N12" s="8" t="inlineStr">
        <is>
          <t>D02 methodology/data owner</t>
        </is>
      </c>
      <c r="O12" s="8" t="inlineStr">
        <is>
          <t>PROVISIONAL—pilot validation required</t>
        </is>
      </c>
    </row>
    <row r="13">
      <c r="A13" s="8" t="inlineStr">
        <is>
          <t>D02</t>
        </is>
      </c>
      <c r="B13" s="8" t="inlineStr">
        <is>
          <t>I02</t>
        </is>
      </c>
      <c r="C13" s="8" t="inlineStr">
        <is>
          <t>Decision Architecture</t>
        </is>
      </c>
      <c r="D13" s="8" t="inlineStr">
        <is>
          <t>Approval/review/escalation workflow</t>
        </is>
      </c>
      <c r="E13" s="8" t="inlineStr">
        <is>
          <t>Anchor 0–5 from domain-specific maturity anchor using direct sampled practice/work evidence; do not infer maturity from policy statements alone.</t>
        </is>
      </c>
      <c r="F13" s="8" t="inlineStr">
        <is>
          <t>0–5: 0 absent; 1 isolated/person-dependent; 2 repeatable in limited areas; 3 institutionally structured; 4 broad/cross-functional and consistently operating; 5 continuously improved/scaled.</t>
        </is>
      </c>
      <c r="G13" s="8" t="inlineStr">
        <is>
          <t>Use outcome only when a legitimate measurable result exists; otherwise N/A.</t>
        </is>
      </c>
      <c r="H13" s="8" t="inlineStr">
        <is>
          <t>Only genuine mandate/context inapplicability with documented assessor approval; missing evidence is never N/A.</t>
        </is>
      </c>
      <c r="I13" s="8" t="inlineStr">
        <is>
          <t>D02</t>
        </is>
      </c>
      <c r="J13" s="8" t="inlineStr">
        <is>
          <t>E0=0.20; E1=0.40; E2=0.65; E3=0.85; E4=1.00, subject to corroboration/independence adjustment. Report separately.</t>
        </is>
      </c>
      <c r="K13" s="8" t="inlineStr">
        <is>
          <t>No score uplift from claims alone; lock denominator/exclusions before results; sample verification; cross-check with adjacent domains; high scores require corroboration.</t>
        </is>
      </c>
      <c r="L13" s="8" t="inlineStr">
        <is>
          <t>Use primary-owner rule; shared evidence may validate multiple metrics but the same activity cannot be scored twice across domains.</t>
        </is>
      </c>
      <c r="M13" s="8" t="inlineStr">
        <is>
          <t>100*((0.45*M)+(0.30*I)+(0.25*O))/5 when O exists; otherwise 100*((0.60*M)+(0.40*I))/5.</t>
        </is>
      </c>
      <c r="N13" s="8" t="inlineStr">
        <is>
          <t>D02 methodology/data owner</t>
        </is>
      </c>
      <c r="O13" s="8" t="inlineStr">
        <is>
          <t>PROVISIONAL—pilot validation required</t>
        </is>
      </c>
    </row>
    <row r="14">
      <c r="A14" s="8" t="inlineStr">
        <is>
          <t>D02</t>
        </is>
      </c>
      <c r="B14" s="8" t="inlineStr">
        <is>
          <t>I03</t>
        </is>
      </c>
      <c r="C14" s="8" t="inlineStr">
        <is>
          <t>Responsible AI Maturity</t>
        </is>
      </c>
      <c r="D14" s="8" t="inlineStr">
        <is>
          <t>Operational ethics, fairness, transparency, accountability</t>
        </is>
      </c>
      <c r="E14" s="8" t="inlineStr">
        <is>
          <t>Anchor 0–5 from domain-specific maturity anchor using direct sampled practice/work evidence; do not infer maturity from policy statements alone.</t>
        </is>
      </c>
      <c r="F14" s="8" t="inlineStr">
        <is>
          <t>0–5: 0 absent; 1 isolated/person-dependent; 2 repeatable in limited areas; 3 institutionally structured; 4 broad/cross-functional and consistently operating; 5 continuously improved/scaled.</t>
        </is>
      </c>
      <c r="G14" s="8" t="inlineStr">
        <is>
          <t>Use outcome only when a legitimate measurable result exists; otherwise N/A.</t>
        </is>
      </c>
      <c r="H14" s="8" t="inlineStr">
        <is>
          <t>Only genuine mandate/context inapplicability with documented assessor approval; missing evidence is never N/A.</t>
        </is>
      </c>
      <c r="I14" s="8" t="inlineStr">
        <is>
          <t>D02</t>
        </is>
      </c>
      <c r="J14" s="8" t="inlineStr">
        <is>
          <t>E0=0.20; E1=0.40; E2=0.65; E3=0.85; E4=1.00, subject to corroboration/independence adjustment. Report separately.</t>
        </is>
      </c>
      <c r="K14" s="8" t="inlineStr">
        <is>
          <t>No score uplift from claims alone; lock denominator/exclusions before results; sample verification; cross-check with adjacent domains; high scores require corroboration.</t>
        </is>
      </c>
      <c r="L14" s="8" t="inlineStr">
        <is>
          <t>Use primary-owner rule; shared evidence may validate multiple metrics but the same activity cannot be scored twice across domains.</t>
        </is>
      </c>
      <c r="M14" s="8" t="inlineStr">
        <is>
          <t>100*((0.45*M)+(0.30*I)+(0.25*O))/5 when O exists; otherwise 100*((0.60*M)+(0.40*I))/5.</t>
        </is>
      </c>
      <c r="N14" s="8" t="inlineStr">
        <is>
          <t>D02 methodology/data owner</t>
        </is>
      </c>
      <c r="O14" s="8" t="inlineStr">
        <is>
          <t>PROVISIONAL—pilot validation required</t>
        </is>
      </c>
    </row>
    <row r="15">
      <c r="A15" s="8" t="inlineStr">
        <is>
          <t>D02</t>
        </is>
      </c>
      <c r="B15" s="8" t="inlineStr">
        <is>
          <t>I04</t>
        </is>
      </c>
      <c r="C15" s="8" t="inlineStr">
        <is>
          <t>Data Governance Readiness</t>
        </is>
      </c>
      <c r="D15" s="8" t="inlineStr">
        <is>
          <t>Controls for data used by AI</t>
        </is>
      </c>
      <c r="E15" s="8" t="inlineStr">
        <is>
          <t>Anchor 0–5 from domain-specific maturity anchor using direct sampled practice/work evidence; do not infer maturity from policy statements alone.</t>
        </is>
      </c>
      <c r="F15" s="8" t="inlineStr">
        <is>
          <t>0–5: 0 absent; 1 isolated/person-dependent; 2 repeatable in limited areas; 3 institutionally structured; 4 broad/cross-functional and consistently operating; 5 continuously improved/scaled.</t>
        </is>
      </c>
      <c r="G15" s="8" t="inlineStr">
        <is>
          <t>Use outcome only when a legitimate measurable result exists; otherwise N/A.</t>
        </is>
      </c>
      <c r="H15" s="8" t="inlineStr">
        <is>
          <t>Only genuine mandate/context inapplicability with documented assessor approval; missing evidence is never N/A.</t>
        </is>
      </c>
      <c r="I15" s="8" t="inlineStr">
        <is>
          <t>D02</t>
        </is>
      </c>
      <c r="J15" s="8" t="inlineStr">
        <is>
          <t>E0=0.20; E1=0.40; E2=0.65; E3=0.85; E4=1.00, subject to corroboration/independence adjustment. Report separately.</t>
        </is>
      </c>
      <c r="K15" s="8" t="inlineStr">
        <is>
          <t>No score uplift from claims alone; lock denominator/exclusions before results; sample verification; cross-check with adjacent domains; high scores require corroboration.</t>
        </is>
      </c>
      <c r="L15" s="8" t="inlineStr">
        <is>
          <t>Use primary-owner rule; shared evidence may validate multiple metrics but the same activity cannot be scored twice across domains.</t>
        </is>
      </c>
      <c r="M15" s="8" t="inlineStr">
        <is>
          <t>100*((0.45*M)+(0.30*I)+(0.25*O))/5 when O exists; otherwise 100*((0.60*M)+(0.40*I))/5.</t>
        </is>
      </c>
      <c r="N15" s="8" t="inlineStr">
        <is>
          <t>D02 methodology/data owner</t>
        </is>
      </c>
      <c r="O15" s="8" t="inlineStr">
        <is>
          <t>PROVISIONAL—pilot validation required</t>
        </is>
      </c>
    </row>
    <row r="16">
      <c r="A16" s="8" t="inlineStr">
        <is>
          <t>D02</t>
        </is>
      </c>
      <c r="B16" s="8" t="inlineStr">
        <is>
          <t>I05</t>
        </is>
      </c>
      <c r="C16" s="8" t="inlineStr">
        <is>
          <t>Academic Integrity Governance</t>
        </is>
      </c>
      <c r="D16" s="8" t="inlineStr">
        <is>
          <t>AI-use rules and institutional response</t>
        </is>
      </c>
      <c r="E16" s="8" t="inlineStr">
        <is>
          <t>Anchor 0–5 from domain-specific maturity anchor using direct sampled practice/work evidence; do not infer maturity from policy statements alone.</t>
        </is>
      </c>
      <c r="F16" s="8" t="inlineStr">
        <is>
          <t>0–5: 0 absent; 1 isolated/person-dependent; 2 repeatable in limited areas; 3 institutionally structured; 4 broad/cross-functional and consistently operating; 5 continuously improved/scaled.</t>
        </is>
      </c>
      <c r="G16" s="8" t="inlineStr">
        <is>
          <t>Use outcome only when a legitimate measurable result exists; otherwise N/A.</t>
        </is>
      </c>
      <c r="H16" s="8" t="inlineStr">
        <is>
          <t>Only genuine mandate/context inapplicability with documented assessor approval; missing evidence is never N/A.</t>
        </is>
      </c>
      <c r="I16" s="8" t="inlineStr">
        <is>
          <t>D02</t>
        </is>
      </c>
      <c r="J16" s="8" t="inlineStr">
        <is>
          <t>E0=0.20; E1=0.40; E2=0.65; E3=0.85; E4=1.00, subject to corroboration/independence adjustment. Report separately.</t>
        </is>
      </c>
      <c r="K16" s="8" t="inlineStr">
        <is>
          <t>No score uplift from claims alone; lock denominator/exclusions before results; sample verification; cross-check with adjacent domains; high scores require corroboration.</t>
        </is>
      </c>
      <c r="L16" s="8" t="inlineStr">
        <is>
          <t>Use primary-owner rule; shared evidence may validate multiple metrics but the same activity cannot be scored twice across domains.</t>
        </is>
      </c>
      <c r="M16" s="8" t="inlineStr">
        <is>
          <t>100*((0.45*M)+(0.30*I)+(0.25*O))/5 when O exists; otherwise 100*((0.60*M)+(0.40*I))/5.</t>
        </is>
      </c>
      <c r="N16" s="8" t="inlineStr">
        <is>
          <t>D02 methodology/data owner</t>
        </is>
      </c>
      <c r="O16" s="8" t="inlineStr">
        <is>
          <t>PROVISIONAL—pilot validation required</t>
        </is>
      </c>
    </row>
    <row r="17">
      <c r="A17" s="8" t="inlineStr">
        <is>
          <t>D02</t>
        </is>
      </c>
      <c r="B17" s="8" t="inlineStr">
        <is>
          <t>I06</t>
        </is>
      </c>
      <c r="C17" s="8" t="inlineStr">
        <is>
          <t>Assessment Governance</t>
        </is>
      </c>
      <c r="D17" s="8" t="inlineStr">
        <is>
          <t>Validity/human oversight under AI</t>
        </is>
      </c>
      <c r="E17" s="8" t="inlineStr">
        <is>
          <t>Anchor 0–5 from domain-specific maturity anchor using direct sampled practice/work evidence; do not infer maturity from policy statements alone.</t>
        </is>
      </c>
      <c r="F17" s="8" t="inlineStr">
        <is>
          <t>0–5: 0 absent; 1 isolated/person-dependent; 2 repeatable in limited areas; 3 institutionally structured; 4 broad/cross-functional and consistently operating; 5 continuously improved/scaled.</t>
        </is>
      </c>
      <c r="G17" s="8" t="inlineStr">
        <is>
          <t>Use outcome only when a legitimate measurable result exists; otherwise N/A.</t>
        </is>
      </c>
      <c r="H17" s="8" t="inlineStr">
        <is>
          <t>Only genuine mandate/context inapplicability with documented assessor approval; missing evidence is never N/A.</t>
        </is>
      </c>
      <c r="I17" s="8" t="inlineStr">
        <is>
          <t>D02</t>
        </is>
      </c>
      <c r="J17" s="8" t="inlineStr">
        <is>
          <t>E0=0.20; E1=0.40; E2=0.65; E3=0.85; E4=1.00, subject to corroboration/independence adjustment. Report separately.</t>
        </is>
      </c>
      <c r="K17" s="8" t="inlineStr">
        <is>
          <t>No score uplift from claims alone; lock denominator/exclusions before results; sample verification; cross-check with adjacent domains; high scores require corroboration.</t>
        </is>
      </c>
      <c r="L17" s="8" t="inlineStr">
        <is>
          <t>Use primary-owner rule; shared evidence may validate multiple metrics but the same activity cannot be scored twice across domains.</t>
        </is>
      </c>
      <c r="M17" s="8" t="inlineStr">
        <is>
          <t>100*((0.45*M)+(0.30*I)+(0.25*O))/5 when O exists; otherwise 100*((0.60*M)+(0.40*I))/5.</t>
        </is>
      </c>
      <c r="N17" s="8" t="inlineStr">
        <is>
          <t>D02 methodology/data owner</t>
        </is>
      </c>
      <c r="O17" s="8" t="inlineStr">
        <is>
          <t>PROVISIONAL—pilot validation required</t>
        </is>
      </c>
    </row>
    <row r="18">
      <c r="A18" s="8" t="inlineStr">
        <is>
          <t>D02</t>
        </is>
      </c>
      <c r="B18" s="8" t="inlineStr">
        <is>
          <t>I07</t>
        </is>
      </c>
      <c r="C18" s="8" t="inlineStr">
        <is>
          <t>AI Risk Management</t>
        </is>
      </c>
      <c r="D18" s="8" t="inlineStr">
        <is>
          <t>Identify, assess, treat and monitor risk</t>
        </is>
      </c>
      <c r="E18" s="8" t="inlineStr">
        <is>
          <t>Anchor 0–5 from domain-specific maturity anchor using direct sampled practice/work evidence; do not infer maturity from policy statements alone.</t>
        </is>
      </c>
      <c r="F18" s="8" t="inlineStr">
        <is>
          <t>0–5: 0 absent; 1 isolated/person-dependent; 2 repeatable in limited areas; 3 institutionally structured; 4 broad/cross-functional and consistently operating; 5 continuously improved/scaled.</t>
        </is>
      </c>
      <c r="G18" s="8" t="inlineStr">
        <is>
          <t>Use outcome only when a legitimate measurable result exists; otherwise N/A.</t>
        </is>
      </c>
      <c r="H18" s="8" t="inlineStr">
        <is>
          <t>Only genuine mandate/context inapplicability with documented assessor approval; missing evidence is never N/A.</t>
        </is>
      </c>
      <c r="I18" s="8" t="inlineStr">
        <is>
          <t>—</t>
        </is>
      </c>
      <c r="J18" s="8" t="inlineStr">
        <is>
          <t>E0=0.20; E1=0.40; E2=0.65; E3=0.85; E4=1.00, subject to corroboration/independence adjustment. Report separately.</t>
        </is>
      </c>
      <c r="K18" s="8" t="inlineStr">
        <is>
          <t>No score uplift from claims alone; lock denominator/exclusions before results; sample verification; cross-check with adjacent domains; high scores require corroboration.</t>
        </is>
      </c>
      <c r="L18" s="8" t="inlineStr">
        <is>
          <t>Use primary-owner rule; shared evidence may validate multiple metrics but the same activity cannot be scored twice across domains.</t>
        </is>
      </c>
      <c r="M18" s="8" t="inlineStr">
        <is>
          <t>100*((0.45*M)+(0.30*I)+(0.25*O))/5 when O exists; otherwise 100*((0.60*M)+(0.40*I))/5.</t>
        </is>
      </c>
      <c r="N18" s="8" t="inlineStr">
        <is>
          <t>D02 methodology/data owner</t>
        </is>
      </c>
      <c r="O18" s="8" t="inlineStr">
        <is>
          <t>PROVISIONAL—pilot validation required</t>
        </is>
      </c>
    </row>
    <row r="19">
      <c r="A19" s="8" t="inlineStr">
        <is>
          <t>D02</t>
        </is>
      </c>
      <c r="B19" s="8" t="inlineStr">
        <is>
          <t>I08</t>
        </is>
      </c>
      <c r="C19" s="8" t="inlineStr">
        <is>
          <t>Incident Responsiveness</t>
        </is>
      </c>
      <c r="D19" s="8" t="inlineStr">
        <is>
          <t>Detection→action→learning</t>
        </is>
      </c>
      <c r="E19" s="8" t="inlineStr">
        <is>
          <t>Anchor 0–5 from domain-specific maturity anchor using direct sampled practice/work evidence; do not infer maturity from policy statements alone.</t>
        </is>
      </c>
      <c r="F19" s="8" t="inlineStr">
        <is>
          <t>0–5: 0 absent; 1 isolated/person-dependent; 2 repeatable in limited areas; 3 institutionally structured; 4 broad/cross-functional and consistently operating; 5 continuously improved/scaled.</t>
        </is>
      </c>
      <c r="G19" s="8" t="inlineStr">
        <is>
          <t>Use outcome only when a legitimate measurable result exists; otherwise N/A.</t>
        </is>
      </c>
      <c r="H19" s="8" t="inlineStr">
        <is>
          <t>Only genuine mandate/context inapplicability with documented assessor approval; missing evidence is never N/A.</t>
        </is>
      </c>
      <c r="I19" s="8" t="inlineStr">
        <is>
          <t>D02</t>
        </is>
      </c>
      <c r="J19" s="8" t="inlineStr">
        <is>
          <t>E0=0.20; E1=0.40; E2=0.65; E3=0.85; E4=1.00, subject to corroboration/independence adjustment. Report separately.</t>
        </is>
      </c>
      <c r="K19" s="8" t="inlineStr">
        <is>
          <t>No score uplift from claims alone; lock denominator/exclusions before results; sample verification; cross-check with adjacent domains; high scores require corroboration.</t>
        </is>
      </c>
      <c r="L19" s="8" t="inlineStr">
        <is>
          <t>Use primary-owner rule; shared evidence may validate multiple metrics but the same activity cannot be scored twice across domains.</t>
        </is>
      </c>
      <c r="M19" s="8" t="inlineStr">
        <is>
          <t>100*((0.45*M)+(0.30*I)+(0.25*O))/5 when O exists; otherwise 100*((0.60*M)+(0.40*I))/5.</t>
        </is>
      </c>
      <c r="N19" s="8" t="inlineStr">
        <is>
          <t>D02 methodology/data owner</t>
        </is>
      </c>
      <c r="O19" s="8" t="inlineStr">
        <is>
          <t>PROVISIONAL—pilot validation required</t>
        </is>
      </c>
    </row>
    <row r="20">
      <c r="A20" s="8" t="inlineStr">
        <is>
          <t>D02</t>
        </is>
      </c>
      <c r="B20" s="8" t="inlineStr">
        <is>
          <t>I09</t>
        </is>
      </c>
      <c r="C20" s="8" t="inlineStr">
        <is>
          <t>Human Accountability</t>
        </is>
      </c>
      <c r="D20" s="8" t="inlineStr">
        <is>
          <t>Review/override of consequential outputs</t>
        </is>
      </c>
      <c r="E20" s="8" t="inlineStr">
        <is>
          <t>Anchor 0–5 from domain-specific maturity anchor using direct sampled practice/work evidence; do not infer maturity from policy statements alone.</t>
        </is>
      </c>
      <c r="F20" s="8" t="inlineStr">
        <is>
          <t>0–5: 0 absent; 1 isolated/person-dependent; 2 repeatable in limited areas; 3 institutionally structured; 4 broad/cross-functional and consistently operating; 5 continuously improved/scaled.</t>
        </is>
      </c>
      <c r="G20" s="8" t="inlineStr">
        <is>
          <t>Use outcome only when a legitimate measurable result exists; otherwise N/A.</t>
        </is>
      </c>
      <c r="H20" s="8" t="inlineStr">
        <is>
          <t>Only genuine mandate/context inapplicability with documented assessor approval; missing evidence is never N/A.</t>
        </is>
      </c>
      <c r="I20" s="8" t="inlineStr">
        <is>
          <t>—</t>
        </is>
      </c>
      <c r="J20" s="8" t="inlineStr">
        <is>
          <t>E0=0.20; E1=0.40; E2=0.65; E3=0.85; E4=1.00, subject to corroboration/independence adjustment. Report separately.</t>
        </is>
      </c>
      <c r="K20" s="8" t="inlineStr">
        <is>
          <t>No score uplift from claims alone; lock denominator/exclusions before results; sample verification; cross-check with adjacent domains; high scores require corroboration.</t>
        </is>
      </c>
      <c r="L20" s="8" t="inlineStr">
        <is>
          <t>Use primary-owner rule; shared evidence may validate multiple metrics but the same activity cannot be scored twice across domains.</t>
        </is>
      </c>
      <c r="M20" s="8" t="inlineStr">
        <is>
          <t>100*((0.45*M)+(0.30*I)+(0.25*O))/5 when O exists; otherwise 100*((0.60*M)+(0.40*I))/5.</t>
        </is>
      </c>
      <c r="N20" s="8" t="inlineStr">
        <is>
          <t>D02 methodology/data owner</t>
        </is>
      </c>
      <c r="O20" s="8" t="inlineStr">
        <is>
          <t>PROVISIONAL—pilot validation required</t>
        </is>
      </c>
    </row>
    <row r="21">
      <c r="A21" s="8" t="inlineStr">
        <is>
          <t>D02</t>
        </is>
      </c>
      <c r="B21" s="8" t="inlineStr">
        <is>
          <t>I10</t>
        </is>
      </c>
      <c r="C21" s="8" t="inlineStr">
        <is>
          <t>Vendor/Tool Governance</t>
        </is>
      </c>
      <c r="D21" s="8" t="inlineStr">
        <is>
          <t>Lifecycle due diligence</t>
        </is>
      </c>
      <c r="E21" s="8" t="inlineStr">
        <is>
          <t>Anchor 0–5 from domain-specific maturity anchor using direct sampled practice/work evidence; do not infer maturity from policy statements alone.</t>
        </is>
      </c>
      <c r="F21" s="8" t="inlineStr">
        <is>
          <t>0–5: 0 absent; 1 isolated/person-dependent; 2 repeatable in limited areas; 3 institutionally structured; 4 broad/cross-functional and consistently operating; 5 continuously improved/scaled.</t>
        </is>
      </c>
      <c r="G21" s="8" t="inlineStr">
        <is>
          <t>Use outcome only when a legitimate measurable result exists; otherwise N/A.</t>
        </is>
      </c>
      <c r="H21" s="8" t="inlineStr">
        <is>
          <t>Only genuine mandate/context inapplicability with documented assessor approval; missing evidence is never N/A.</t>
        </is>
      </c>
      <c r="I21" s="8" t="inlineStr">
        <is>
          <t>D02</t>
        </is>
      </c>
      <c r="J21" s="8" t="inlineStr">
        <is>
          <t>E0=0.20; E1=0.40; E2=0.65; E3=0.85; E4=1.00, subject to corroboration/independence adjustment. Report separately.</t>
        </is>
      </c>
      <c r="K21" s="8" t="inlineStr">
        <is>
          <t>No score uplift from claims alone; lock denominator/exclusions before results; sample verification; cross-check with adjacent domains; high scores require corroboration.</t>
        </is>
      </c>
      <c r="L21" s="8" t="inlineStr">
        <is>
          <t>Use primary-owner rule; shared evidence may validate multiple metrics but the same activity cannot be scored twice across domains.</t>
        </is>
      </c>
      <c r="M21" s="8" t="inlineStr">
        <is>
          <t>100*((0.45*M)+(0.30*I)+(0.25*O))/5 when O exists; otherwise 100*((0.60*M)+(0.40*I))/5.</t>
        </is>
      </c>
      <c r="N21" s="8" t="inlineStr">
        <is>
          <t>D02 methodology/data owner</t>
        </is>
      </c>
      <c r="O21" s="8" t="inlineStr">
        <is>
          <t>PROVISIONAL—pilot validation required</t>
        </is>
      </c>
    </row>
    <row r="22">
      <c r="A22" s="8" t="inlineStr">
        <is>
          <t>D02</t>
        </is>
      </c>
      <c r="B22" s="8" t="inlineStr">
        <is>
          <t>I11</t>
        </is>
      </c>
      <c r="C22" s="8" t="inlineStr">
        <is>
          <t>IP Governance</t>
        </is>
      </c>
      <c r="D22" s="8" t="inlineStr">
        <is>
          <t>AI-related IP/copyright/authorship</t>
        </is>
      </c>
      <c r="E22" s="8" t="inlineStr">
        <is>
          <t>Anchor 0–5 from domain-specific maturity anchor using direct sampled practice/work evidence; do not infer maturity from policy statements alone.</t>
        </is>
      </c>
      <c r="F22" s="8" t="inlineStr">
        <is>
          <t>0–5: 0 absent; 1 isolated/person-dependent; 2 repeatable in limited areas; 3 institutionally structured; 4 broad/cross-functional and consistently operating; 5 continuously improved/scaled.</t>
        </is>
      </c>
      <c r="G22" s="8" t="inlineStr">
        <is>
          <t>Use outcome only when a legitimate measurable result exists; otherwise N/A.</t>
        </is>
      </c>
      <c r="H22" s="8" t="inlineStr">
        <is>
          <t>Only genuine mandate/context inapplicability with documented assessor approval; missing evidence is never N/A.</t>
        </is>
      </c>
      <c r="I22" s="8" t="inlineStr">
        <is>
          <t>—</t>
        </is>
      </c>
      <c r="J22" s="8" t="inlineStr">
        <is>
          <t>E0=0.20; E1=0.40; E2=0.65; E3=0.85; E4=1.00, subject to corroboration/independence adjustment. Report separately.</t>
        </is>
      </c>
      <c r="K22" s="8" t="inlineStr">
        <is>
          <t>No score uplift from claims alone; lock denominator/exclusions before results; sample verification; cross-check with adjacent domains; high scores require corroboration.</t>
        </is>
      </c>
      <c r="L22" s="8" t="inlineStr">
        <is>
          <t>Use primary-owner rule; shared evidence may validate multiple metrics but the same activity cannot be scored twice across domains.</t>
        </is>
      </c>
      <c r="M22" s="8" t="inlineStr">
        <is>
          <t>100*((0.45*M)+(0.30*I)+(0.25*O))/5 when O exists; otherwise 100*((0.60*M)+(0.40*I))/5.</t>
        </is>
      </c>
      <c r="N22" s="8" t="inlineStr">
        <is>
          <t>D02 methodology/data owner</t>
        </is>
      </c>
      <c r="O22" s="8" t="inlineStr">
        <is>
          <t>PROVISIONAL—pilot validation required</t>
        </is>
      </c>
    </row>
    <row r="23">
      <c r="A23" s="8" t="inlineStr">
        <is>
          <t>D02</t>
        </is>
      </c>
      <c r="B23" s="8" t="inlineStr">
        <is>
          <t>I12</t>
        </is>
      </c>
      <c r="C23" s="8" t="inlineStr">
        <is>
          <t>Research AI Governance</t>
        </is>
      </c>
      <c r="D23" s="8" t="inlineStr">
        <is>
          <t>Responsible AI in research</t>
        </is>
      </c>
      <c r="E23" s="8" t="inlineStr">
        <is>
          <t>Anchor 0–5 from domain-specific maturity anchor using direct sampled practice/work evidence; do not infer maturity from policy statements alone.</t>
        </is>
      </c>
      <c r="F23" s="8" t="inlineStr">
        <is>
          <t>0–5: 0 absent; 1 isolated/person-dependent; 2 repeatable in limited areas; 3 institutionally structured; 4 broad/cross-functional and consistently operating; 5 continuously improved/scaled.</t>
        </is>
      </c>
      <c r="G23" s="8" t="inlineStr">
        <is>
          <t>Use outcome only when a legitimate measurable result exists; otherwise N/A.</t>
        </is>
      </c>
      <c r="H23" s="8" t="inlineStr">
        <is>
          <t>Only genuine mandate/context inapplicability with documented assessor approval; missing evidence is never N/A.</t>
        </is>
      </c>
      <c r="I23" s="8" t="inlineStr">
        <is>
          <t>—</t>
        </is>
      </c>
      <c r="J23" s="8" t="inlineStr">
        <is>
          <t>E0=0.20; E1=0.40; E2=0.65; E3=0.85; E4=1.00, subject to corroboration/independence adjustment. Report separately.</t>
        </is>
      </c>
      <c r="K23" s="8" t="inlineStr">
        <is>
          <t>No score uplift from claims alone; lock denominator/exclusions before results; sample verification; cross-check with adjacent domains; high scores require corroboration.</t>
        </is>
      </c>
      <c r="L23" s="8" t="inlineStr">
        <is>
          <t>Use primary-owner rule; shared evidence may validate multiple metrics but the same activity cannot be scored twice across domains.</t>
        </is>
      </c>
      <c r="M23" s="8" t="inlineStr">
        <is>
          <t>100*((0.45*M)+(0.30*I)+(0.25*O))/5 when O exists; otherwise 100*((0.60*M)+(0.40*I))/5.</t>
        </is>
      </c>
      <c r="N23" s="8" t="inlineStr">
        <is>
          <t>D02 methodology/data owner</t>
        </is>
      </c>
      <c r="O23" s="8" t="inlineStr">
        <is>
          <t>PROVISIONAL—pilot validation required</t>
        </is>
      </c>
    </row>
    <row r="24">
      <c r="A24" s="8" t="inlineStr">
        <is>
          <t>D02</t>
        </is>
      </c>
      <c r="B24" s="8" t="inlineStr">
        <is>
          <t>I13</t>
        </is>
      </c>
      <c r="C24" s="8" t="inlineStr">
        <is>
          <t>Governance Review Adaptability</t>
        </is>
      </c>
      <c r="D24" s="8" t="inlineStr">
        <is>
          <t>Review frequency and change triggers</t>
        </is>
      </c>
      <c r="E24" s="8" t="inlineStr">
        <is>
          <t>Anchor 0–5 from domain-specific maturity anchor using direct sampled practice/work evidence; do not infer maturity from policy statements alone.</t>
        </is>
      </c>
      <c r="F24" s="8" t="inlineStr">
        <is>
          <t>0–5: 0 absent; 1 isolated/person-dependent; 2 repeatable in limited areas; 3 institutionally structured; 4 broad/cross-functional and consistently operating; 5 continuously improved/scaled.</t>
        </is>
      </c>
      <c r="G24" s="8" t="inlineStr">
        <is>
          <t>Use outcome only when a legitimate measurable result exists; otherwise N/A.</t>
        </is>
      </c>
      <c r="H24" s="8" t="inlineStr">
        <is>
          <t>Only genuine mandate/context inapplicability with documented assessor approval; missing evidence is never N/A.</t>
        </is>
      </c>
      <c r="I24" s="8" t="inlineStr">
        <is>
          <t>—</t>
        </is>
      </c>
      <c r="J24" s="8" t="inlineStr">
        <is>
          <t>E0=0.20; E1=0.40; E2=0.65; E3=0.85; E4=1.00, subject to corroboration/independence adjustment. Report separately.</t>
        </is>
      </c>
      <c r="K24" s="8" t="inlineStr">
        <is>
          <t>No score uplift from claims alone; lock denominator/exclusions before results; sample verification; cross-check with adjacent domains; high scores require corroboration.</t>
        </is>
      </c>
      <c r="L24" s="8" t="inlineStr">
        <is>
          <t>Use primary-owner rule; shared evidence may validate multiple metrics but the same activity cannot be scored twice across domains.</t>
        </is>
      </c>
      <c r="M24" s="8" t="inlineStr">
        <is>
          <t>100*((0.45*M)+(0.30*I)+(0.25*O))/5 when O exists; otherwise 100*((0.60*M)+(0.40*I))/5.</t>
        </is>
      </c>
      <c r="N24" s="8" t="inlineStr">
        <is>
          <t>D02 methodology/data owner</t>
        </is>
      </c>
      <c r="O24" s="8" t="inlineStr">
        <is>
          <t>PROVISIONAL—pilot validation required</t>
        </is>
      </c>
    </row>
    <row r="25">
      <c r="A25" s="8" t="inlineStr">
        <is>
          <t>D02</t>
        </is>
      </c>
      <c r="B25" s="8" t="inlineStr">
        <is>
          <t>I14</t>
        </is>
      </c>
      <c r="C25" s="8" t="inlineStr">
        <is>
          <t>Governance Effectiveness</t>
        </is>
      </c>
      <c r="D25" s="8" t="inlineStr">
        <is>
          <t>Functioning governance vs paper policy</t>
        </is>
      </c>
      <c r="E25" s="8" t="inlineStr">
        <is>
          <t>Anchor 0–5 from domain-specific maturity anchor using direct sampled practice/work evidence; do not infer maturity from policy statements alone.</t>
        </is>
      </c>
      <c r="F25" s="8" t="inlineStr">
        <is>
          <t>0–5: 0 absent; 1 isolated/person-dependent; 2 repeatable in limited areas; 3 institutionally structured; 4 broad/cross-functional and consistently operating; 5 continuously improved/scaled.</t>
        </is>
      </c>
      <c r="G25" s="8" t="inlineStr">
        <is>
          <t>Use outcome only when a legitimate measurable result exists; otherwise N/A.</t>
        </is>
      </c>
      <c r="H25" s="8" t="inlineStr">
        <is>
          <t>Only genuine mandate/context inapplicability with documented assessor approval; missing evidence is never N/A.</t>
        </is>
      </c>
      <c r="I25" s="8" t="inlineStr">
        <is>
          <t>D02</t>
        </is>
      </c>
      <c r="J25" s="8" t="inlineStr">
        <is>
          <t>E0=0.20; E1=0.40; E2=0.65; E3=0.85; E4=1.00, subject to corroboration/independence adjustment. Report separately.</t>
        </is>
      </c>
      <c r="K25" s="8" t="inlineStr">
        <is>
          <t>No score uplift from claims alone; lock denominator/exclusions before results; sample verification; cross-check with adjacent domains; high scores require corroboration.</t>
        </is>
      </c>
      <c r="L25" s="8" t="inlineStr">
        <is>
          <t>Use primary-owner rule; shared evidence may validate multiple metrics but the same activity cannot be scored twice across domains.</t>
        </is>
      </c>
      <c r="M25" s="8" t="inlineStr">
        <is>
          <t>100*((0.45*M)+(0.30*I)+(0.25*O))/5 when O exists; otherwise 100*((0.60*M)+(0.40*I))/5.</t>
        </is>
      </c>
      <c r="N25" s="8" t="inlineStr">
        <is>
          <t>D02 methodology/data owner</t>
        </is>
      </c>
      <c r="O25" s="8" t="inlineStr">
        <is>
          <t>PROVISIONAL—pilot validation required</t>
        </is>
      </c>
    </row>
    <row r="26">
      <c r="A26" s="8" t="inlineStr">
        <is>
          <t>D03</t>
        </is>
      </c>
      <c r="B26" s="8" t="inlineStr">
        <is>
          <t>I01</t>
        </is>
      </c>
      <c r="C26" s="8" t="inlineStr">
        <is>
          <t>Foundational Knowledge Depth</t>
        </is>
      </c>
      <c r="D26" s="8" t="inlineStr">
        <is>
          <t>Knowledge substrate for judgement</t>
        </is>
      </c>
      <c r="E26" s="8" t="inlineStr">
        <is>
          <t>Anchor 0–5 from domain-specific maturity anchor using direct sampled practice/work evidence; do not infer maturity from policy statements alone.</t>
        </is>
      </c>
      <c r="F26" s="8" t="inlineStr">
        <is>
          <t>0–5: 0 absent; 1 isolated/person-dependent; 2 repeatable in limited areas; 3 institutionally structured; 4 broad/cross-functional and consistently operating; 5 continuously improved/scaled.</t>
        </is>
      </c>
      <c r="G26" s="8" t="inlineStr">
        <is>
          <t>Use outcome only when a legitimate measurable result exists; otherwise N/A.</t>
        </is>
      </c>
      <c r="H26" s="8" t="inlineStr">
        <is>
          <t>Only genuine mandate/context inapplicability with documented assessor approval; missing evidence is never N/A.</t>
        </is>
      </c>
      <c r="I26" s="8" t="inlineStr">
        <is>
          <t>D03</t>
        </is>
      </c>
      <c r="J26" s="8" t="inlineStr">
        <is>
          <t>E0=0.20; E1=0.40; E2=0.65; E3=0.85; E4=1.00, subject to corroboration/independence adjustment. Report separately.</t>
        </is>
      </c>
      <c r="K26" s="8" t="inlineStr">
        <is>
          <t>No score uplift from claims alone; lock denominator/exclusions before results; sample verification; cross-check with adjacent domains; high scores require corroboration.</t>
        </is>
      </c>
      <c r="L26" s="8" t="inlineStr">
        <is>
          <t>Use primary-owner rule; shared evidence may validate multiple metrics but the same activity cannot be scored twice across domains.</t>
        </is>
      </c>
      <c r="M26" s="8" t="inlineStr">
        <is>
          <t>100*((0.45*M)+(0.30*I)+(0.25*O))/5 when O exists; otherwise 100*((0.60*M)+(0.40*I))/5.</t>
        </is>
      </c>
      <c r="N26" s="8" t="inlineStr">
        <is>
          <t>D03 methodology/data owner</t>
        </is>
      </c>
      <c r="O26" s="8" t="inlineStr">
        <is>
          <t>PROVISIONAL—pilot validation required</t>
        </is>
      </c>
    </row>
    <row r="27">
      <c r="A27" s="8" t="inlineStr">
        <is>
          <t>D03</t>
        </is>
      </c>
      <c r="B27" s="8" t="inlineStr">
        <is>
          <t>I02</t>
        </is>
      </c>
      <c r="C27" s="8" t="inlineStr">
        <is>
          <t>Critical Reasoning Development</t>
        </is>
      </c>
      <c r="D27" s="8" t="inlineStr">
        <is>
          <t>Development and demonstration of reasoning</t>
        </is>
      </c>
      <c r="E27" s="8" t="inlineStr">
        <is>
          <t>Anchor 0–5 from domain-specific maturity anchor using direct sampled practice/work evidence; do not infer maturity from policy statements alone.</t>
        </is>
      </c>
      <c r="F27" s="8" t="inlineStr">
        <is>
          <t>0–5: 0 absent; 1 isolated/person-dependent; 2 repeatable in limited areas; 3 institutionally structured; 4 broad/cross-functional and consistently operating; 5 continuously improved/scaled.</t>
        </is>
      </c>
      <c r="G27" s="8" t="inlineStr">
        <is>
          <t>Use outcome only when a legitimate measurable result exists; otherwise N/A.</t>
        </is>
      </c>
      <c r="H27" s="8" t="inlineStr">
        <is>
          <t>Only genuine mandate/context inapplicability with documented assessor approval; missing evidence is never N/A.</t>
        </is>
      </c>
      <c r="I27" s="8" t="inlineStr">
        <is>
          <t>D03; D03</t>
        </is>
      </c>
      <c r="J27" s="8" t="inlineStr">
        <is>
          <t>E0=0.20; E1=0.40; E2=0.65; E3=0.85; E4=1.00, subject to corroboration/independence adjustment. Report separately.</t>
        </is>
      </c>
      <c r="K27" s="8" t="inlineStr">
        <is>
          <t>No score uplift from claims alone; lock denominator/exclusions before results; sample verification; cross-check with adjacent domains; high scores require corroboration.</t>
        </is>
      </c>
      <c r="L27" s="8" t="inlineStr">
        <is>
          <t>Use primary-owner rule; shared evidence may validate multiple metrics but the same activity cannot be scored twice across domains.</t>
        </is>
      </c>
      <c r="M27" s="8" t="inlineStr">
        <is>
          <t>100*((0.45*M)+(0.30*I)+(0.25*O))/5 when O exists; otherwise 100*((0.60*M)+(0.40*I))/5.</t>
        </is>
      </c>
      <c r="N27" s="8" t="inlineStr">
        <is>
          <t>D03 methodology/data owner</t>
        </is>
      </c>
      <c r="O27" s="8" t="inlineStr">
        <is>
          <t>PROVISIONAL—pilot validation required</t>
        </is>
      </c>
    </row>
    <row r="28">
      <c r="A28" s="8" t="inlineStr">
        <is>
          <t>D03</t>
        </is>
      </c>
      <c r="B28" s="8" t="inlineStr">
        <is>
          <t>I03</t>
        </is>
      </c>
      <c r="C28" s="8" t="inlineStr">
        <is>
          <t>Question Formulation</t>
        </is>
      </c>
      <c r="D28" s="8" t="inlineStr">
        <is>
          <t>Ability to formulate meaningful inquiry</t>
        </is>
      </c>
      <c r="E28" s="8" t="inlineStr">
        <is>
          <t>Anchor 0–5 from domain-specific maturity anchor using direct sampled practice/work evidence; do not infer maturity from policy statements alone.</t>
        </is>
      </c>
      <c r="F28" s="8" t="inlineStr">
        <is>
          <t>0–5: 0 absent; 1 isolated/person-dependent; 2 repeatable in limited areas; 3 institutionally structured; 4 broad/cross-functional and consistently operating; 5 continuously improved/scaled.</t>
        </is>
      </c>
      <c r="G28" s="8" t="inlineStr">
        <is>
          <t>Use outcome only when a legitimate measurable result exists; otherwise N/A.</t>
        </is>
      </c>
      <c r="H28" s="8" t="inlineStr">
        <is>
          <t>Only genuine mandate/context inapplicability with documented assessor approval; missing evidence is never N/A.</t>
        </is>
      </c>
      <c r="I28" s="8" t="inlineStr">
        <is>
          <t>—</t>
        </is>
      </c>
      <c r="J28" s="8" t="inlineStr">
        <is>
          <t>E0=0.20; E1=0.40; E2=0.65; E3=0.85; E4=1.00, subject to corroboration/independence adjustment. Report separately.</t>
        </is>
      </c>
      <c r="K28" s="8" t="inlineStr">
        <is>
          <t>No score uplift from claims alone; lock denominator/exclusions before results; sample verification; cross-check with adjacent domains; high scores require corroboration.</t>
        </is>
      </c>
      <c r="L28" s="8" t="inlineStr">
        <is>
          <t>Use primary-owner rule; shared evidence may validate multiple metrics but the same activity cannot be scored twice across domains.</t>
        </is>
      </c>
      <c r="M28" s="8" t="inlineStr">
        <is>
          <t>100*((0.45*M)+(0.30*I)+(0.25*O))/5 when O exists; otherwise 100*((0.60*M)+(0.40*I))/5.</t>
        </is>
      </c>
      <c r="N28" s="8" t="inlineStr">
        <is>
          <t>D03 methodology/data owner</t>
        </is>
      </c>
      <c r="O28" s="8" t="inlineStr">
        <is>
          <t>PROVISIONAL—pilot validation required</t>
        </is>
      </c>
    </row>
    <row r="29">
      <c r="A29" s="8" t="inlineStr">
        <is>
          <t>D03</t>
        </is>
      </c>
      <c r="B29" s="8" t="inlineStr">
        <is>
          <t>I04</t>
        </is>
      </c>
      <c r="C29" s="8" t="inlineStr">
        <is>
          <t>Analytical Reasoning</t>
        </is>
      </c>
      <c r="D29" s="8" t="inlineStr">
        <is>
          <t>Evidence-based reasoning</t>
        </is>
      </c>
      <c r="E29" s="8" t="inlineStr">
        <is>
          <t>Anchor 0–5 from domain-specific maturity anchor using direct sampled practice/work evidence; do not infer maturity from policy statements alone.</t>
        </is>
      </c>
      <c r="F29" s="8" t="inlineStr">
        <is>
          <t>0–5: 0 absent; 1 isolated/person-dependent; 2 repeatable in limited areas; 3 institutionally structured; 4 broad/cross-functional and consistently operating; 5 continuously improved/scaled.</t>
        </is>
      </c>
      <c r="G29" s="8" t="inlineStr">
        <is>
          <t>Use outcome only when a legitimate measurable result exists; otherwise N/A.</t>
        </is>
      </c>
      <c r="H29" s="8" t="inlineStr">
        <is>
          <t>Only genuine mandate/context inapplicability with documented assessor approval; missing evidence is never N/A.</t>
        </is>
      </c>
      <c r="I29" s="8" t="inlineStr">
        <is>
          <t>D03; D03</t>
        </is>
      </c>
      <c r="J29" s="8" t="inlineStr">
        <is>
          <t>E0=0.20; E1=0.40; E2=0.65; E3=0.85; E4=1.00, subject to corroboration/independence adjustment. Report separately.</t>
        </is>
      </c>
      <c r="K29" s="8" t="inlineStr">
        <is>
          <t>No score uplift from claims alone; lock denominator/exclusions before results; sample verification; cross-check with adjacent domains; high scores require corroboration.</t>
        </is>
      </c>
      <c r="L29" s="8" t="inlineStr">
        <is>
          <t>Use primary-owner rule; shared evidence may validate multiple metrics but the same activity cannot be scored twice across domains.</t>
        </is>
      </c>
      <c r="M29" s="8" t="inlineStr">
        <is>
          <t>100*((0.45*M)+(0.30*I)+(0.25*O))/5 when O exists; otherwise 100*((0.60*M)+(0.40*I))/5.</t>
        </is>
      </c>
      <c r="N29" s="8" t="inlineStr">
        <is>
          <t>D03 methodology/data owner</t>
        </is>
      </c>
      <c r="O29" s="8" t="inlineStr">
        <is>
          <t>PROVISIONAL—pilot validation required</t>
        </is>
      </c>
    </row>
    <row r="30">
      <c r="A30" s="8" t="inlineStr">
        <is>
          <t>D03</t>
        </is>
      </c>
      <c r="B30" s="8" t="inlineStr">
        <is>
          <t>I05</t>
        </is>
      </c>
      <c r="C30" s="8" t="inlineStr">
        <is>
          <t>Problem Formulation</t>
        </is>
      </c>
      <c r="D30" s="8" t="inlineStr">
        <is>
          <t>Framing ambiguous problems</t>
        </is>
      </c>
      <c r="E30" s="8" t="inlineStr">
        <is>
          <t>Anchor 0–5 from domain-specific maturity anchor using direct sampled practice/work evidence; do not infer maturity from policy statements alone.</t>
        </is>
      </c>
      <c r="F30" s="8" t="inlineStr">
        <is>
          <t>0–5: 0 absent; 1 isolated/person-dependent; 2 repeatable in limited areas; 3 institutionally structured; 4 broad/cross-functional and consistently operating; 5 continuously improved/scaled.</t>
        </is>
      </c>
      <c r="G30" s="8" t="inlineStr">
        <is>
          <t>Use outcome only when a legitimate measurable result exists; otherwise N/A.</t>
        </is>
      </c>
      <c r="H30" s="8" t="inlineStr">
        <is>
          <t>Only genuine mandate/context inapplicability with documented assessor approval; missing evidence is never N/A.</t>
        </is>
      </c>
      <c r="I30" s="8" t="inlineStr">
        <is>
          <t>—</t>
        </is>
      </c>
      <c r="J30" s="8" t="inlineStr">
        <is>
          <t>E0=0.20; E1=0.40; E2=0.65; E3=0.85; E4=1.00, subject to corroboration/independence adjustment. Report separately.</t>
        </is>
      </c>
      <c r="K30" s="8" t="inlineStr">
        <is>
          <t>No score uplift from claims alone; lock denominator/exclusions before results; sample verification; cross-check with adjacent domains; high scores require corroboration.</t>
        </is>
      </c>
      <c r="L30" s="8" t="inlineStr">
        <is>
          <t>Use primary-owner rule; shared evidence may validate multiple metrics but the same activity cannot be scored twice across domains.</t>
        </is>
      </c>
      <c r="M30" s="8" t="inlineStr">
        <is>
          <t>100*((0.45*M)+(0.30*I)+(0.25*O))/5 when O exists; otherwise 100*((0.60*M)+(0.40*I))/5.</t>
        </is>
      </c>
      <c r="N30" s="8" t="inlineStr">
        <is>
          <t>D03 methodology/data owner</t>
        </is>
      </c>
      <c r="O30" s="8" t="inlineStr">
        <is>
          <t>PROVISIONAL—pilot validation required</t>
        </is>
      </c>
    </row>
    <row r="31">
      <c r="A31" s="8" t="inlineStr">
        <is>
          <t>D03</t>
        </is>
      </c>
      <c r="B31" s="8" t="inlineStr">
        <is>
          <t>I06</t>
        </is>
      </c>
      <c r="C31" s="8" t="inlineStr">
        <is>
          <t>Creativity &amp; Originality</t>
        </is>
      </c>
      <c r="D31" s="8" t="inlineStr">
        <is>
          <t>Creation of original value</t>
        </is>
      </c>
      <c r="E31" s="8" t="inlineStr">
        <is>
          <t>Anchor 0–5 from domain-specific maturity anchor using direct sampled practice/work evidence; do not infer maturity from policy statements alone.</t>
        </is>
      </c>
      <c r="F31" s="8" t="inlineStr">
        <is>
          <t>0–5: 0 absent; 1 isolated/person-dependent; 2 repeatable in limited areas; 3 institutionally structured; 4 broad/cross-functional and consistently operating; 5 continuously improved/scaled.</t>
        </is>
      </c>
      <c r="G31" s="8" t="inlineStr">
        <is>
          <t>Use outcome only when a legitimate measurable result exists; otherwise N/A.</t>
        </is>
      </c>
      <c r="H31" s="8" t="inlineStr">
        <is>
          <t>Only genuine mandate/context inapplicability with documented assessor approval; missing evidence is never N/A.</t>
        </is>
      </c>
      <c r="I31" s="8" t="inlineStr">
        <is>
          <t>—</t>
        </is>
      </c>
      <c r="J31" s="8" t="inlineStr">
        <is>
          <t>E0=0.20; E1=0.40; E2=0.65; E3=0.85; E4=1.00, subject to corroboration/independence adjustment. Report separately.</t>
        </is>
      </c>
      <c r="K31" s="8" t="inlineStr">
        <is>
          <t>No score uplift from claims alone; lock denominator/exclusions before results; sample verification; cross-check with adjacent domains; high scores require corroboration.</t>
        </is>
      </c>
      <c r="L31" s="8" t="inlineStr">
        <is>
          <t>Use primary-owner rule; shared evidence may validate multiple metrics but the same activity cannot be scored twice across domains.</t>
        </is>
      </c>
      <c r="M31" s="8" t="inlineStr">
        <is>
          <t>100*((0.45*M)+(0.30*I)+(0.25*O))/5 when O exists; otherwise 100*((0.60*M)+(0.40*I))/5.</t>
        </is>
      </c>
      <c r="N31" s="8" t="inlineStr">
        <is>
          <t>D03 methodology/data owner</t>
        </is>
      </c>
      <c r="O31" s="8" t="inlineStr">
        <is>
          <t>PROVISIONAL—pilot validation required</t>
        </is>
      </c>
    </row>
    <row r="32">
      <c r="A32" s="8" t="inlineStr">
        <is>
          <t>D03</t>
        </is>
      </c>
      <c r="B32" s="8" t="inlineStr">
        <is>
          <t>I07</t>
        </is>
      </c>
      <c r="C32" s="8" t="inlineStr">
        <is>
          <t>Judgement Capability</t>
        </is>
      </c>
      <c r="D32" s="8" t="inlineStr">
        <is>
          <t>Contextual/professional/ethical decisions</t>
        </is>
      </c>
      <c r="E32" s="8" t="inlineStr">
        <is>
          <t>Anchor 0–5 from domain-specific maturity anchor using direct sampled practice/work evidence; do not infer maturity from policy statements alone.</t>
        </is>
      </c>
      <c r="F32" s="8" t="inlineStr">
        <is>
          <t>0–5: 0 absent; 1 isolated/person-dependent; 2 repeatable in limited areas; 3 institutionally structured; 4 broad/cross-functional and consistently operating; 5 continuously improved/scaled.</t>
        </is>
      </c>
      <c r="G32" s="8" t="inlineStr">
        <is>
          <t>Use outcome only when a legitimate measurable result exists; otherwise N/A.</t>
        </is>
      </c>
      <c r="H32" s="8" t="inlineStr">
        <is>
          <t>Only genuine mandate/context inapplicability with documented assessor approval; missing evidence is never N/A.</t>
        </is>
      </c>
      <c r="I32" s="8" t="inlineStr">
        <is>
          <t>D03; D03</t>
        </is>
      </c>
      <c r="J32" s="8" t="inlineStr">
        <is>
          <t>E0=0.20; E1=0.40; E2=0.65; E3=0.85; E4=1.00, subject to corroboration/independence adjustment. Report separately.</t>
        </is>
      </c>
      <c r="K32" s="8" t="inlineStr">
        <is>
          <t>No score uplift from claims alone; lock denominator/exclusions before results; sample verification; cross-check with adjacent domains; high scores require corroboration.</t>
        </is>
      </c>
      <c r="L32" s="8" t="inlineStr">
        <is>
          <t>Use primary-owner rule; shared evidence may validate multiple metrics but the same activity cannot be scored twice across domains.</t>
        </is>
      </c>
      <c r="M32" s="8" t="inlineStr">
        <is>
          <t>100*((0.45*M)+(0.30*I)+(0.25*O))/5 when O exists; otherwise 100*((0.60*M)+(0.40*I))/5.</t>
        </is>
      </c>
      <c r="N32" s="8" t="inlineStr">
        <is>
          <t>D03 methodology/data owner</t>
        </is>
      </c>
      <c r="O32" s="8" t="inlineStr">
        <is>
          <t>PROVISIONAL—pilot validation required</t>
        </is>
      </c>
    </row>
    <row r="33">
      <c r="A33" s="8" t="inlineStr">
        <is>
          <t>D03</t>
        </is>
      </c>
      <c r="B33" s="8" t="inlineStr">
        <is>
          <t>I08</t>
        </is>
      </c>
      <c r="C33" s="8" t="inlineStr">
        <is>
          <t>AI Verification Capability</t>
        </is>
      </c>
      <c r="D33" s="8" t="inlineStr">
        <is>
          <t>Challenge, verify, contextualise AI output</t>
        </is>
      </c>
      <c r="E33" s="8" t="inlineStr">
        <is>
          <t>Anchor 0–5 from domain-specific maturity anchor using direct sampled practice/work evidence; do not infer maturity from policy statements alone.</t>
        </is>
      </c>
      <c r="F33" s="8" t="inlineStr">
        <is>
          <t>0–5: 0 absent; 1 isolated/person-dependent; 2 repeatable in limited areas; 3 institutionally structured; 4 broad/cross-functional and consistently operating; 5 continuously improved/scaled.</t>
        </is>
      </c>
      <c r="G33" s="8" t="inlineStr">
        <is>
          <t>Use outcome only when a legitimate measurable result exists; otherwise N/A.</t>
        </is>
      </c>
      <c r="H33" s="8" t="inlineStr">
        <is>
          <t>Only genuine mandate/context inapplicability with documented assessor approval; missing evidence is never N/A.</t>
        </is>
      </c>
      <c r="I33" s="8" t="inlineStr">
        <is>
          <t>D03</t>
        </is>
      </c>
      <c r="J33" s="8" t="inlineStr">
        <is>
          <t>E0=0.20; E1=0.40; E2=0.65; E3=0.85; E4=1.00, subject to corroboration/independence adjustment. Report separately.</t>
        </is>
      </c>
      <c r="K33" s="8" t="inlineStr">
        <is>
          <t>No score uplift from claims alone; lock denominator/exclusions before results; sample verification; cross-check with adjacent domains; high scores require corroboration.</t>
        </is>
      </c>
      <c r="L33" s="8" t="inlineStr">
        <is>
          <t>Use primary-owner rule; shared evidence may validate multiple metrics but the same activity cannot be scored twice across domains.</t>
        </is>
      </c>
      <c r="M33" s="8" t="inlineStr">
        <is>
          <t>100*((0.45*M)+(0.30*I)+(0.25*O))/5 when O exists; otherwise 100*((0.60*M)+(0.40*I))/5.</t>
        </is>
      </c>
      <c r="N33" s="8" t="inlineStr">
        <is>
          <t>D03 methodology/data owner</t>
        </is>
      </c>
      <c r="O33" s="8" t="inlineStr">
        <is>
          <t>PROVISIONAL—pilot validation required</t>
        </is>
      </c>
    </row>
    <row r="34">
      <c r="A34" s="8" t="inlineStr">
        <is>
          <t>D03</t>
        </is>
      </c>
      <c r="B34" s="8" t="inlineStr">
        <is>
          <t>I09</t>
        </is>
      </c>
      <c r="C34" s="8" t="inlineStr">
        <is>
          <t>Metacognitive Capability</t>
        </is>
      </c>
      <c r="D34" s="8" t="inlineStr">
        <is>
          <t>Reflection and self-correction</t>
        </is>
      </c>
      <c r="E34" s="8" t="inlineStr">
        <is>
          <t>Anchor 0–5 from domain-specific maturity anchor using direct sampled practice/work evidence; do not infer maturity from policy statements alone.</t>
        </is>
      </c>
      <c r="F34" s="8" t="inlineStr">
        <is>
          <t>0–5: 0 absent; 1 isolated/person-dependent; 2 repeatable in limited areas; 3 institutionally structured; 4 broad/cross-functional and consistently operating; 5 continuously improved/scaled.</t>
        </is>
      </c>
      <c r="G34" s="8" t="inlineStr">
        <is>
          <t>Use outcome only when a legitimate measurable result exists; otherwise N/A.</t>
        </is>
      </c>
      <c r="H34" s="8" t="inlineStr">
        <is>
          <t>Only genuine mandate/context inapplicability with documented assessor approval; missing evidence is never N/A.</t>
        </is>
      </c>
      <c r="I34" s="8" t="inlineStr">
        <is>
          <t>—</t>
        </is>
      </c>
      <c r="J34" s="8" t="inlineStr">
        <is>
          <t>E0=0.20; E1=0.40; E2=0.65; E3=0.85; E4=1.00, subject to corroboration/independence adjustment. Report separately.</t>
        </is>
      </c>
      <c r="K34" s="8" t="inlineStr">
        <is>
          <t>No score uplift from claims alone; lock denominator/exclusions before results; sample verification; cross-check with adjacent domains; high scores require corroboration.</t>
        </is>
      </c>
      <c r="L34" s="8" t="inlineStr">
        <is>
          <t>Use primary-owner rule; shared evidence may validate multiple metrics but the same activity cannot be scored twice across domains.</t>
        </is>
      </c>
      <c r="M34" s="8" t="inlineStr">
        <is>
          <t>100*((0.45*M)+(0.30*I)+(0.25*O))/5 when O exists; otherwise 100*((0.60*M)+(0.40*I))/5.</t>
        </is>
      </c>
      <c r="N34" s="8" t="inlineStr">
        <is>
          <t>D03 methodology/data owner</t>
        </is>
      </c>
      <c r="O34" s="8" t="inlineStr">
        <is>
          <t>PROVISIONAL—pilot validation required</t>
        </is>
      </c>
    </row>
    <row r="35">
      <c r="A35" s="8" t="inlineStr">
        <is>
          <t>D03</t>
        </is>
      </c>
      <c r="B35" s="8" t="inlineStr">
        <is>
          <t>I10</t>
        </is>
      </c>
      <c r="C35" s="8" t="inlineStr">
        <is>
          <t>Human-AI Collaboration</t>
        </is>
      </c>
      <c r="D35" s="8" t="inlineStr">
        <is>
          <t>Appropriate task allocation and iteration</t>
        </is>
      </c>
      <c r="E35" s="8" t="inlineStr">
        <is>
          <t>Anchor 0–5 from domain-specific maturity anchor using direct sampled practice/work evidence; do not infer maturity from policy statements alone.</t>
        </is>
      </c>
      <c r="F35" s="8" t="inlineStr">
        <is>
          <t>0–5: 0 absent; 1 isolated/person-dependent; 2 repeatable in limited areas; 3 institutionally structured; 4 broad/cross-functional and consistently operating; 5 continuously improved/scaled.</t>
        </is>
      </c>
      <c r="G35" s="8" t="inlineStr">
        <is>
          <t>Use outcome only when a legitimate measurable result exists; otherwise N/A.</t>
        </is>
      </c>
      <c r="H35" s="8" t="inlineStr">
        <is>
          <t>Only genuine mandate/context inapplicability with documented assessor approval; missing evidence is never N/A.</t>
        </is>
      </c>
      <c r="I35" s="8" t="inlineStr">
        <is>
          <t>—</t>
        </is>
      </c>
      <c r="J35" s="8" t="inlineStr">
        <is>
          <t>E0=0.20; E1=0.40; E2=0.65; E3=0.85; E4=1.00, subject to corroboration/independence adjustment. Report separately.</t>
        </is>
      </c>
      <c r="K35" s="8" t="inlineStr">
        <is>
          <t>No score uplift from claims alone; lock denominator/exclusions before results; sample verification; cross-check with adjacent domains; high scores require corroboration.</t>
        </is>
      </c>
      <c r="L35" s="8" t="inlineStr">
        <is>
          <t>Use primary-owner rule; shared evidence may validate multiple metrics but the same activity cannot be scored twice across domains.</t>
        </is>
      </c>
      <c r="M35" s="8" t="inlineStr">
        <is>
          <t>100*((0.45*M)+(0.30*I)+(0.25*O))/5 when O exists; otherwise 100*((0.60*M)+(0.40*I))/5.</t>
        </is>
      </c>
      <c r="N35" s="8" t="inlineStr">
        <is>
          <t>D03 methodology/data owner</t>
        </is>
      </c>
      <c r="O35" s="8" t="inlineStr">
        <is>
          <t>PROVISIONAL—pilot validation required</t>
        </is>
      </c>
    </row>
    <row r="36">
      <c r="A36" s="8" t="inlineStr">
        <is>
          <t>D03</t>
        </is>
      </c>
      <c r="B36" s="8" t="inlineStr">
        <is>
          <t>I11</t>
        </is>
      </c>
      <c r="C36" s="8" t="inlineStr">
        <is>
          <t>Communication &amp; Defence</t>
        </is>
      </c>
      <c r="D36" s="8" t="inlineStr">
        <is>
          <t>Explain and defend reasoning</t>
        </is>
      </c>
      <c r="E36" s="8" t="inlineStr">
        <is>
          <t>Anchor 0–5 from domain-specific maturity anchor using direct sampled practice/work evidence; do not infer maturity from policy statements alone.</t>
        </is>
      </c>
      <c r="F36" s="8" t="inlineStr">
        <is>
          <t>0–5: 0 absent; 1 isolated/person-dependent; 2 repeatable in limited areas; 3 institutionally structured; 4 broad/cross-functional and consistently operating; 5 continuously improved/scaled.</t>
        </is>
      </c>
      <c r="G36" s="8" t="inlineStr">
        <is>
          <t>Use outcome only when a legitimate measurable result exists; otherwise N/A.</t>
        </is>
      </c>
      <c r="H36" s="8" t="inlineStr">
        <is>
          <t>Only genuine mandate/context inapplicability with documented assessor approval; missing evidence is never N/A.</t>
        </is>
      </c>
      <c r="I36" s="8" t="inlineStr">
        <is>
          <t>—</t>
        </is>
      </c>
      <c r="J36" s="8" t="inlineStr">
        <is>
          <t>E0=0.20; E1=0.40; E2=0.65; E3=0.85; E4=1.00, subject to corroboration/independence adjustment. Report separately.</t>
        </is>
      </c>
      <c r="K36" s="8" t="inlineStr">
        <is>
          <t>No score uplift from claims alone; lock denominator/exclusions before results; sample verification; cross-check with adjacent domains; high scores require corroboration.</t>
        </is>
      </c>
      <c r="L36" s="8" t="inlineStr">
        <is>
          <t>Use primary-owner rule; shared evidence may validate multiple metrics but the same activity cannot be scored twice across domains.</t>
        </is>
      </c>
      <c r="M36" s="8" t="inlineStr">
        <is>
          <t>100*((0.45*M)+(0.30*I)+(0.25*O))/5 when O exists; otherwise 100*((0.60*M)+(0.40*I))/5.</t>
        </is>
      </c>
      <c r="N36" s="8" t="inlineStr">
        <is>
          <t>D03 methodology/data owner</t>
        </is>
      </c>
      <c r="O36" s="8" t="inlineStr">
        <is>
          <t>PROVISIONAL—pilot validation required</t>
        </is>
      </c>
    </row>
    <row r="37">
      <c r="A37" s="8" t="inlineStr">
        <is>
          <t>D03</t>
        </is>
      </c>
      <c r="B37" s="8" t="inlineStr">
        <is>
          <t>I12</t>
        </is>
      </c>
      <c r="C37" s="8" t="inlineStr">
        <is>
          <t>Collaboration Capability</t>
        </is>
      </c>
      <c r="D37" s="8" t="inlineStr">
        <is>
          <t>Human/interdisciplinary collaboration</t>
        </is>
      </c>
      <c r="E37" s="8" t="inlineStr">
        <is>
          <t>Anchor 0–5 from domain-specific maturity anchor using direct sampled practice/work evidence; do not infer maturity from policy statements alone.</t>
        </is>
      </c>
      <c r="F37" s="8" t="inlineStr">
        <is>
          <t>0–5: 0 absent; 1 isolated/person-dependent; 2 repeatable in limited areas; 3 institutionally structured; 4 broad/cross-functional and consistently operating; 5 continuously improved/scaled.</t>
        </is>
      </c>
      <c r="G37" s="8" t="inlineStr">
        <is>
          <t>Use outcome only when a legitimate measurable result exists; otherwise N/A.</t>
        </is>
      </c>
      <c r="H37" s="8" t="inlineStr">
        <is>
          <t>Only genuine mandate/context inapplicability with documented assessor approval; missing evidence is never N/A.</t>
        </is>
      </c>
      <c r="I37" s="8" t="inlineStr">
        <is>
          <t>—</t>
        </is>
      </c>
      <c r="J37" s="8" t="inlineStr">
        <is>
          <t>E0=0.20; E1=0.40; E2=0.65; E3=0.85; E4=1.00, subject to corroboration/independence adjustment. Report separately.</t>
        </is>
      </c>
      <c r="K37" s="8" t="inlineStr">
        <is>
          <t>No score uplift from claims alone; lock denominator/exclusions before results; sample verification; cross-check with adjacent domains; high scores require corroboration.</t>
        </is>
      </c>
      <c r="L37" s="8" t="inlineStr">
        <is>
          <t>Use primary-owner rule; shared evidence may validate multiple metrics but the same activity cannot be scored twice across domains.</t>
        </is>
      </c>
      <c r="M37" s="8" t="inlineStr">
        <is>
          <t>100*((0.45*M)+(0.30*I)+(0.25*O))/5 when O exists; otherwise 100*((0.60*M)+(0.40*I))/5.</t>
        </is>
      </c>
      <c r="N37" s="8" t="inlineStr">
        <is>
          <t>D03 methodology/data owner</t>
        </is>
      </c>
      <c r="O37" s="8" t="inlineStr">
        <is>
          <t>PROVISIONAL—pilot validation required</t>
        </is>
      </c>
    </row>
    <row r="38">
      <c r="A38" s="8" t="inlineStr">
        <is>
          <t>D03</t>
        </is>
      </c>
      <c r="B38" s="8" t="inlineStr">
        <is>
          <t>I13</t>
        </is>
      </c>
      <c r="C38" s="8" t="inlineStr">
        <is>
          <t>Practical Capability</t>
        </is>
      </c>
      <c r="D38" s="8" t="inlineStr">
        <is>
          <t>Real-world/embodied competence</t>
        </is>
      </c>
      <c r="E38" s="8" t="inlineStr">
        <is>
          <t>Anchor 0–5 from domain-specific maturity anchor using direct sampled practice/work evidence; do not infer maturity from policy statements alone.</t>
        </is>
      </c>
      <c r="F38" s="8" t="inlineStr">
        <is>
          <t>0–5: 0 absent; 1 isolated/person-dependent; 2 repeatable in limited areas; 3 institutionally structured; 4 broad/cross-functional and consistently operating; 5 continuously improved/scaled.</t>
        </is>
      </c>
      <c r="G38" s="8" t="inlineStr">
        <is>
          <t>Use outcome only when a legitimate measurable result exists; otherwise N/A.</t>
        </is>
      </c>
      <c r="H38" s="8" t="inlineStr">
        <is>
          <t>Only genuine mandate/context inapplicability with documented assessor approval; missing evidence is never N/A.</t>
        </is>
      </c>
      <c r="I38" s="8" t="inlineStr">
        <is>
          <t>—</t>
        </is>
      </c>
      <c r="J38" s="8" t="inlineStr">
        <is>
          <t>E0=0.20; E1=0.40; E2=0.65; E3=0.85; E4=1.00, subject to corroboration/independence adjustment. Report separately.</t>
        </is>
      </c>
      <c r="K38" s="8" t="inlineStr">
        <is>
          <t>No score uplift from claims alone; lock denominator/exclusions before results; sample verification; cross-check with adjacent domains; high scores require corroboration.</t>
        </is>
      </c>
      <c r="L38" s="8" t="inlineStr">
        <is>
          <t>Use primary-owner rule; shared evidence may validate multiple metrics but the same activity cannot be scored twice across domains.</t>
        </is>
      </c>
      <c r="M38" s="8" t="inlineStr">
        <is>
          <t>100*((0.45*M)+(0.30*I)+(0.25*O))/5 when O exists; otherwise 100*((0.60*M)+(0.40*I))/5.</t>
        </is>
      </c>
      <c r="N38" s="8" t="inlineStr">
        <is>
          <t>D03 methodology/data owner</t>
        </is>
      </c>
      <c r="O38" s="8" t="inlineStr">
        <is>
          <t>PROVISIONAL—pilot validation required</t>
        </is>
      </c>
    </row>
    <row r="39">
      <c r="A39" s="8" t="inlineStr">
        <is>
          <t>D03</t>
        </is>
      </c>
      <c r="B39" s="8" t="inlineStr">
        <is>
          <t>I14</t>
        </is>
      </c>
      <c r="C39" s="8" t="inlineStr">
        <is>
          <t>Ethical/Social Judgement</t>
        </is>
      </c>
      <c r="D39" s="8" t="inlineStr">
        <is>
          <t>Consequences, values, responsibility</t>
        </is>
      </c>
      <c r="E39" s="8" t="inlineStr">
        <is>
          <t>Anchor 0–5 from domain-specific maturity anchor using direct sampled practice/work evidence; do not infer maturity from policy statements alone.</t>
        </is>
      </c>
      <c r="F39" s="8" t="inlineStr">
        <is>
          <t>0–5: 0 absent; 1 isolated/person-dependent; 2 repeatable in limited areas; 3 institutionally structured; 4 broad/cross-functional and consistently operating; 5 continuously improved/scaled.</t>
        </is>
      </c>
      <c r="G39" s="8" t="inlineStr">
        <is>
          <t>Use outcome only when a legitimate measurable result exists; otherwise N/A.</t>
        </is>
      </c>
      <c r="H39" s="8" t="inlineStr">
        <is>
          <t>Only genuine mandate/context inapplicability with documented assessor approval; missing evidence is never N/A.</t>
        </is>
      </c>
      <c r="I39" s="8" t="inlineStr">
        <is>
          <t>—</t>
        </is>
      </c>
      <c r="J39" s="8" t="inlineStr">
        <is>
          <t>E0=0.20; E1=0.40; E2=0.65; E3=0.85; E4=1.00, subject to corroboration/independence adjustment. Report separately.</t>
        </is>
      </c>
      <c r="K39" s="8" t="inlineStr">
        <is>
          <t>No score uplift from claims alone; lock denominator/exclusions before results; sample verification; cross-check with adjacent domains; high scores require corroboration.</t>
        </is>
      </c>
      <c r="L39" s="8" t="inlineStr">
        <is>
          <t>Use primary-owner rule; shared evidence may validate multiple metrics but the same activity cannot be scored twice across domains.</t>
        </is>
      </c>
      <c r="M39" s="8" t="inlineStr">
        <is>
          <t>100*((0.45*M)+(0.30*I)+(0.25*O))/5 when O exists; otherwise 100*((0.60*M)+(0.40*I))/5.</t>
        </is>
      </c>
      <c r="N39" s="8" t="inlineStr">
        <is>
          <t>D03 methodology/data owner</t>
        </is>
      </c>
      <c r="O39" s="8" t="inlineStr">
        <is>
          <t>PROVISIONAL—pilot validation required</t>
        </is>
      </c>
    </row>
    <row r="40">
      <c r="A40" s="8" t="inlineStr">
        <is>
          <t>D03</t>
        </is>
      </c>
      <c r="B40" s="8" t="inlineStr">
        <is>
          <t>I15</t>
        </is>
      </c>
      <c r="C40" s="8" t="inlineStr">
        <is>
          <t>Intellectual Agency</t>
        </is>
      </c>
      <c r="D40" s="8" t="inlineStr">
        <is>
          <t>Independent inquiry and challenge</t>
        </is>
      </c>
      <c r="E40" s="8" t="inlineStr">
        <is>
          <t>Anchor 0–5 from domain-specific maturity anchor using direct sampled practice/work evidence; do not infer maturity from policy statements alone.</t>
        </is>
      </c>
      <c r="F40" s="8" t="inlineStr">
        <is>
          <t>0–5: 0 absent; 1 isolated/person-dependent; 2 repeatable in limited areas; 3 institutionally structured; 4 broad/cross-functional and consistently operating; 5 continuously improved/scaled.</t>
        </is>
      </c>
      <c r="G40" s="8" t="inlineStr">
        <is>
          <t>Use outcome only when a legitimate measurable result exists; otherwise N/A.</t>
        </is>
      </c>
      <c r="H40" s="8" t="inlineStr">
        <is>
          <t>Only genuine mandate/context inapplicability with documented assessor approval; missing evidence is never N/A.</t>
        </is>
      </c>
      <c r="I40" s="8" t="inlineStr">
        <is>
          <t>—</t>
        </is>
      </c>
      <c r="J40" s="8" t="inlineStr">
        <is>
          <t>E0=0.20; E1=0.40; E2=0.65; E3=0.85; E4=1.00, subject to corroboration/independence adjustment. Report separately.</t>
        </is>
      </c>
      <c r="K40" s="8" t="inlineStr">
        <is>
          <t>No score uplift from claims alone; lock denominator/exclusions before results; sample verification; cross-check with adjacent domains; high scores require corroboration.</t>
        </is>
      </c>
      <c r="L40" s="8" t="inlineStr">
        <is>
          <t>Use primary-owner rule; shared evidence may validate multiple metrics but the same activity cannot be scored twice across domains.</t>
        </is>
      </c>
      <c r="M40" s="8" t="inlineStr">
        <is>
          <t>100*((0.45*M)+(0.30*I)+(0.25*O))/5 when O exists; otherwise 100*((0.60*M)+(0.40*I))/5.</t>
        </is>
      </c>
      <c r="N40" s="8" t="inlineStr">
        <is>
          <t>D03 methodology/data owner</t>
        </is>
      </c>
      <c r="O40" s="8" t="inlineStr">
        <is>
          <t>PROVISIONAL—pilot validation required</t>
        </is>
      </c>
    </row>
    <row r="41">
      <c r="A41" s="8" t="inlineStr">
        <is>
          <t>D03</t>
        </is>
      </c>
      <c r="B41" s="8" t="inlineStr">
        <is>
          <t>I16</t>
        </is>
      </c>
      <c r="C41" s="8" t="inlineStr">
        <is>
          <t>Transfer Capability</t>
        </is>
      </c>
      <c r="D41" s="8" t="inlineStr">
        <is>
          <t>Unfamiliar/ambiguous application</t>
        </is>
      </c>
      <c r="E41" s="8" t="inlineStr">
        <is>
          <t>Anchor 0–5 from domain-specific maturity anchor using direct sampled practice/work evidence; do not infer maturity from policy statements alone.</t>
        </is>
      </c>
      <c r="F41" s="8" t="inlineStr">
        <is>
          <t>0–5: 0 absent; 1 isolated/person-dependent; 2 repeatable in limited areas; 3 institutionally structured; 4 broad/cross-functional and consistently operating; 5 continuously improved/scaled.</t>
        </is>
      </c>
      <c r="G41" s="8" t="inlineStr">
        <is>
          <t>Use outcome only when a legitimate measurable result exists; otherwise N/A.</t>
        </is>
      </c>
      <c r="H41" s="8" t="inlineStr">
        <is>
          <t>Only genuine mandate/context inapplicability with documented assessor approval; missing evidence is never N/A.</t>
        </is>
      </c>
      <c r="I41" s="8" t="inlineStr">
        <is>
          <t>—</t>
        </is>
      </c>
      <c r="J41" s="8" t="inlineStr">
        <is>
          <t>E0=0.20; E1=0.40; E2=0.65; E3=0.85; E4=1.00, subject to corroboration/independence adjustment. Report separately.</t>
        </is>
      </c>
      <c r="K41" s="8" t="inlineStr">
        <is>
          <t>No score uplift from claims alone; lock denominator/exclusions before results; sample verification; cross-check with adjacent domains; high scores require corroboration.</t>
        </is>
      </c>
      <c r="L41" s="8" t="inlineStr">
        <is>
          <t>Use primary-owner rule; shared evidence may validate multiple metrics but the same activity cannot be scored twice across domains.</t>
        </is>
      </c>
      <c r="M41" s="8" t="inlineStr">
        <is>
          <t>100*((0.45*M)+(0.30*I)+(0.25*O))/5 when O exists; otherwise 100*((0.60*M)+(0.40*I))/5.</t>
        </is>
      </c>
      <c r="N41" s="8" t="inlineStr">
        <is>
          <t>D03 methodology/data owner</t>
        </is>
      </c>
      <c r="O41" s="8" t="inlineStr">
        <is>
          <t>PROVISIONAL—pilot validation required</t>
        </is>
      </c>
    </row>
    <row r="42">
      <c r="A42" s="8" t="inlineStr">
        <is>
          <t>D03</t>
        </is>
      </c>
      <c r="B42" s="8" t="inlineStr">
        <is>
          <t>I17</t>
        </is>
      </c>
      <c r="C42" s="8" t="inlineStr">
        <is>
          <t>Non-Technical Discipline AI Capability</t>
        </is>
      </c>
      <c r="D42" s="8" t="inlineStr">
        <is>
          <t>Discipline-relevant AI capability beyond prompting</t>
        </is>
      </c>
      <c r="E42" s="8" t="inlineStr">
        <is>
          <t>Anchor 0–5 from domain-specific maturity anchor using direct sampled practice/work evidence; do not infer maturity from policy statements alone.</t>
        </is>
      </c>
      <c r="F42" s="8" t="inlineStr">
        <is>
          <t>0–5: 0 absent; 1 isolated/person-dependent; 2 repeatable in limited areas; 3 institutionally structured; 4 broad/cross-functional and consistently operating; 5 continuously improved/scaled.</t>
        </is>
      </c>
      <c r="G42" s="8" t="inlineStr">
        <is>
          <t>Use outcome only when a legitimate measurable result exists; otherwise N/A.</t>
        </is>
      </c>
      <c r="H42" s="8" t="inlineStr">
        <is>
          <t>Only genuine mandate/context inapplicability with documented assessor approval; missing evidence is never N/A.</t>
        </is>
      </c>
      <c r="I42" s="8" t="inlineStr">
        <is>
          <t>D03</t>
        </is>
      </c>
      <c r="J42" s="8" t="inlineStr">
        <is>
          <t>E0=0.20; E1=0.40; E2=0.65; E3=0.85; E4=1.00, subject to corroboration/independence adjustment. Report separately.</t>
        </is>
      </c>
      <c r="K42" s="8" t="inlineStr">
        <is>
          <t>No score uplift from claims alone; lock denominator/exclusions before results; sample verification; cross-check with adjacent domains; high scores require corroboration.</t>
        </is>
      </c>
      <c r="L42" s="8" t="inlineStr">
        <is>
          <t>Use primary-owner rule; shared evidence may validate multiple metrics but the same activity cannot be scored twice across domains.</t>
        </is>
      </c>
      <c r="M42" s="8" t="inlineStr">
        <is>
          <t>100*((0.45*M)+(0.30*I)+(0.25*O))/5 when O exists; otherwise 100*((0.60*M)+(0.40*I))/5.</t>
        </is>
      </c>
      <c r="N42" s="8" t="inlineStr">
        <is>
          <t>D03 methodology/data owner</t>
        </is>
      </c>
      <c r="O42" s="8" t="inlineStr">
        <is>
          <t>PROVISIONAL—pilot validation required</t>
        </is>
      </c>
    </row>
    <row r="43">
      <c r="A43" s="8" t="inlineStr">
        <is>
          <t>D04</t>
        </is>
      </c>
      <c r="B43" s="8" t="inlineStr">
        <is>
          <t>I01</t>
        </is>
      </c>
      <c r="C43" s="8" t="inlineStr">
        <is>
          <t>Curriculum Sensing Maturity</t>
        </is>
      </c>
      <c r="D43" s="8" t="inlineStr">
        <is>
          <t>How systematically programme teams detect disciplinary, technological and labour-market change</t>
        </is>
      </c>
      <c r="E43" s="8" t="inlineStr">
        <is>
          <t>Anchor 0–5 from domain-specific maturity anchor using direct sampled practice/work evidence; do not infer maturity from policy statements alone.</t>
        </is>
      </c>
      <c r="F43" s="8" t="inlineStr">
        <is>
          <t>0–5: 0 absent; 1 isolated/person-dependent; 2 repeatable in limited areas; 3 institutionally structured; 4 broad/cross-functional and consistently operating; 5 continuously improved/scaled.</t>
        </is>
      </c>
      <c r="G43" s="8" t="inlineStr">
        <is>
          <t>Use outcome only when a legitimate measurable result exists; otherwise N/A.</t>
        </is>
      </c>
      <c r="H43" s="8" t="inlineStr">
        <is>
          <t>Only genuine mandate/context inapplicability with documented assessor approval; missing evidence is never N/A.</t>
        </is>
      </c>
      <c r="I43" s="8" t="inlineStr">
        <is>
          <t>—</t>
        </is>
      </c>
      <c r="J43" s="8" t="inlineStr">
        <is>
          <t>E0=0.20; E1=0.40; E2=0.65; E3=0.85; E4=1.00, subject to corroboration/independence adjustment. Report separately.</t>
        </is>
      </c>
      <c r="K43" s="8" t="inlineStr">
        <is>
          <t>No score uplift from claims alone; lock denominator/exclusions before results; sample verification; cross-check with adjacent domains; high scores require corroboration.</t>
        </is>
      </c>
      <c r="L43" s="8" t="inlineStr">
        <is>
          <t>Use primary-owner rule; shared evidence may validate multiple metrics but the same activity cannot be scored twice across domains.</t>
        </is>
      </c>
      <c r="M43" s="8" t="inlineStr">
        <is>
          <t>100*((0.45*M)+(0.30*I)+(0.25*O))/5 when O exists; otherwise 100*((0.60*M)+(0.40*I))/5.</t>
        </is>
      </c>
      <c r="N43" s="8" t="inlineStr">
        <is>
          <t>D04 methodology/data owner</t>
        </is>
      </c>
      <c r="O43" s="8" t="inlineStr">
        <is>
          <t>PROVISIONAL—pilot validation required</t>
        </is>
      </c>
    </row>
    <row r="44">
      <c r="A44" s="8" t="inlineStr">
        <is>
          <t>D04</t>
        </is>
      </c>
      <c r="B44" s="8" t="inlineStr">
        <is>
          <t>I02</t>
        </is>
      </c>
      <c r="C44" s="8" t="inlineStr">
        <is>
          <t>Future Learning Outcome Alignment</t>
        </is>
      </c>
      <c r="D44" s="8" t="inlineStr">
        <is>
          <t>Extent to which outcomes reflect future professional/human capabilities</t>
        </is>
      </c>
      <c r="E44" s="8" t="inlineStr">
        <is>
          <t>Anchor 0–5 from domain-specific maturity anchor using direct sampled practice/work evidence; do not infer maturity from policy statements alone.</t>
        </is>
      </c>
      <c r="F44" s="8" t="inlineStr">
        <is>
          <t>0–5: 0 absent; 1 isolated/person-dependent; 2 repeatable in limited areas; 3 institutionally structured; 4 broad/cross-functional and consistently operating; 5 continuously improved/scaled.</t>
        </is>
      </c>
      <c r="G44" s="8" t="inlineStr">
        <is>
          <t>Use outcome only when a legitimate measurable result exists; otherwise N/A.</t>
        </is>
      </c>
      <c r="H44" s="8" t="inlineStr">
        <is>
          <t>Only genuine mandate/context inapplicability with documented assessor approval; missing evidence is never N/A.</t>
        </is>
      </c>
      <c r="I44" s="8" t="inlineStr">
        <is>
          <t>—</t>
        </is>
      </c>
      <c r="J44" s="8" t="inlineStr">
        <is>
          <t>E0=0.20; E1=0.40; E2=0.65; E3=0.85; E4=1.00, subject to corroboration/independence adjustment. Report separately.</t>
        </is>
      </c>
      <c r="K44" s="8" t="inlineStr">
        <is>
          <t>No score uplift from claims alone; lock denominator/exclusions before results; sample verification; cross-check with adjacent domains; high scores require corroboration.</t>
        </is>
      </c>
      <c r="L44" s="8" t="inlineStr">
        <is>
          <t>Use primary-owner rule; shared evidence may validate multiple metrics but the same activity cannot be scored twice across domains.</t>
        </is>
      </c>
      <c r="M44" s="8" t="inlineStr">
        <is>
          <t>100*((0.45*M)+(0.30*I)+(0.25*O))/5 when O exists; otherwise 100*((0.60*M)+(0.40*I))/5.</t>
        </is>
      </c>
      <c r="N44" s="8" t="inlineStr">
        <is>
          <t>D04 methodology/data owner</t>
        </is>
      </c>
      <c r="O44" s="8" t="inlineStr">
        <is>
          <t>PROVISIONAL—pilot validation required</t>
        </is>
      </c>
    </row>
    <row r="45">
      <c r="A45" s="8" t="inlineStr">
        <is>
          <t>D04</t>
        </is>
      </c>
      <c r="B45" s="8" t="inlineStr">
        <is>
          <t>I03</t>
        </is>
      </c>
      <c r="C45" s="8" t="inlineStr">
        <is>
          <t>Programme Review Effectiveness</t>
        </is>
      </c>
      <c r="D45" s="8" t="inlineStr">
        <is>
          <t>Whether review produces substantive AI/future-related changes</t>
        </is>
      </c>
      <c r="E45" s="8" t="inlineStr">
        <is>
          <t>Anchor 0–5 from domain-specific maturity anchor using direct sampled practice/work evidence; do not infer maturity from policy statements alone.</t>
        </is>
      </c>
      <c r="F45" s="8" t="inlineStr">
        <is>
          <t>0–5: 0 absent; 1 isolated/person-dependent; 2 repeatable in limited areas; 3 institutionally structured; 4 broad/cross-functional and consistently operating; 5 continuously improved/scaled.</t>
        </is>
      </c>
      <c r="G45" s="8" t="inlineStr">
        <is>
          <t>Use outcome only when a legitimate measurable result exists; otherwise N/A.</t>
        </is>
      </c>
      <c r="H45" s="8" t="inlineStr">
        <is>
          <t>Only genuine mandate/context inapplicability with documented assessor approval; missing evidence is never N/A.</t>
        </is>
      </c>
      <c r="I45" s="8" t="inlineStr">
        <is>
          <t>—</t>
        </is>
      </c>
      <c r="J45" s="8" t="inlineStr">
        <is>
          <t>E0=0.20; E1=0.40; E2=0.65; E3=0.85; E4=1.00, subject to corroboration/independence adjustment. Report separately.</t>
        </is>
      </c>
      <c r="K45" s="8" t="inlineStr">
        <is>
          <t>No score uplift from claims alone; lock denominator/exclusions before results; sample verification; cross-check with adjacent domains; high scores require corroboration.</t>
        </is>
      </c>
      <c r="L45" s="8" t="inlineStr">
        <is>
          <t>Use primary-owner rule; shared evidence may validate multiple metrics but the same activity cannot be scored twice across domains.</t>
        </is>
      </c>
      <c r="M45" s="8" t="inlineStr">
        <is>
          <t>100*((0.45*M)+(0.30*I)+(0.25*O))/5 when O exists; otherwise 100*((0.60*M)+(0.40*I))/5.</t>
        </is>
      </c>
      <c r="N45" s="8" t="inlineStr">
        <is>
          <t>D04 methodology/data owner</t>
        </is>
      </c>
      <c r="O45" s="8" t="inlineStr">
        <is>
          <t>PROVISIONAL—pilot validation required</t>
        </is>
      </c>
    </row>
    <row r="46">
      <c r="A46" s="8" t="inlineStr">
        <is>
          <t>D04</t>
        </is>
      </c>
      <c r="B46" s="8" t="inlineStr">
        <is>
          <t>I04</t>
        </is>
      </c>
      <c r="C46" s="8" t="inlineStr">
        <is>
          <t>Disciplinary AI Integration Depth</t>
        </is>
      </c>
      <c r="D46" s="8" t="inlineStr">
        <is>
          <t>AI integration appropriate to discipline rather than generic AI exposure</t>
        </is>
      </c>
      <c r="E46" s="8" t="inlineStr">
        <is>
          <t>Anchor 0–5 from domain-specific maturity anchor using direct sampled practice/work evidence; do not infer maturity from policy statements alone.</t>
        </is>
      </c>
      <c r="F46" s="8" t="inlineStr">
        <is>
          <t>0–5: 0 absent; 1 isolated/person-dependent; 2 repeatable in limited areas; 3 institutionally structured; 4 broad/cross-functional and consistently operating; 5 continuously improved/scaled.</t>
        </is>
      </c>
      <c r="G46" s="8" t="inlineStr">
        <is>
          <t>Use outcome only when a legitimate measurable result exists; otherwise N/A.</t>
        </is>
      </c>
      <c r="H46" s="8" t="inlineStr">
        <is>
          <t>Only genuine mandate/context inapplicability with documented assessor approval; missing evidence is never N/A.</t>
        </is>
      </c>
      <c r="I46" s="8" t="inlineStr">
        <is>
          <t>—</t>
        </is>
      </c>
      <c r="J46" s="8" t="inlineStr">
        <is>
          <t>E0=0.20; E1=0.40; E2=0.65; E3=0.85; E4=1.00, subject to corroboration/independence adjustment. Report separately.</t>
        </is>
      </c>
      <c r="K46" s="8" t="inlineStr">
        <is>
          <t>No score uplift from claims alone; lock denominator/exclusions before results; sample verification; cross-check with adjacent domains; high scores require corroboration.</t>
        </is>
      </c>
      <c r="L46" s="8" t="inlineStr">
        <is>
          <t>Use primary-owner rule; shared evidence may validate multiple metrics but the same activity cannot be scored twice across domains.</t>
        </is>
      </c>
      <c r="M46" s="8" t="inlineStr">
        <is>
          <t>100*((0.45*M)+(0.30*I)+(0.25*O))/5 when O exists; otherwise 100*((0.60*M)+(0.40*I))/5.</t>
        </is>
      </c>
      <c r="N46" s="8" t="inlineStr">
        <is>
          <t>D04 methodology/data owner</t>
        </is>
      </c>
      <c r="O46" s="8" t="inlineStr">
        <is>
          <t>PROVISIONAL—pilot validation required</t>
        </is>
      </c>
    </row>
    <row r="47">
      <c r="A47" s="8" t="inlineStr">
        <is>
          <t>D04</t>
        </is>
      </c>
      <c r="B47" s="8" t="inlineStr">
        <is>
          <t>I05</t>
        </is>
      </c>
      <c r="C47" s="8" t="inlineStr">
        <is>
          <t>Content Obsolescence Response</t>
        </is>
      </c>
      <c r="D47" s="8" t="inlineStr">
        <is>
          <t>Speed and quality of response when content/tasks become less valuable</t>
        </is>
      </c>
      <c r="E47" s="8" t="inlineStr">
        <is>
          <t>Anchor 0–5 from domain-specific maturity anchor using direct sampled practice/work evidence; do not infer maturity from policy statements alone.</t>
        </is>
      </c>
      <c r="F47" s="8" t="inlineStr">
        <is>
          <t>0–5: 0 absent; 1 isolated/person-dependent; 2 repeatable in limited areas; 3 institutionally structured; 4 broad/cross-functional and consistently operating; 5 continuously improved/scaled.</t>
        </is>
      </c>
      <c r="G47" s="8" t="inlineStr">
        <is>
          <t>Use outcome only when a legitimate measurable result exists; otherwise N/A.</t>
        </is>
      </c>
      <c r="H47" s="8" t="inlineStr">
        <is>
          <t>Only genuine mandate/context inapplicability with documented assessor approval; missing evidence is never N/A.</t>
        </is>
      </c>
      <c r="I47" s="8" t="inlineStr">
        <is>
          <t>—</t>
        </is>
      </c>
      <c r="J47" s="8" t="inlineStr">
        <is>
          <t>E0=0.20; E1=0.40; E2=0.65; E3=0.85; E4=1.00, subject to corroboration/independence adjustment. Report separately.</t>
        </is>
      </c>
      <c r="K47" s="8" t="inlineStr">
        <is>
          <t>No score uplift from claims alone; lock denominator/exclusions before results; sample verification; cross-check with adjacent domains; high scores require corroboration.</t>
        </is>
      </c>
      <c r="L47" s="8" t="inlineStr">
        <is>
          <t>Use primary-owner rule; shared evidence may validate multiple metrics but the same activity cannot be scored twice across domains.</t>
        </is>
      </c>
      <c r="M47" s="8" t="inlineStr">
        <is>
          <t>100*((0.45*M)+(0.30*I)+(0.25*O))/5 when O exists; otherwise 100*((0.60*M)+(0.40*I))/5.</t>
        </is>
      </c>
      <c r="N47" s="8" t="inlineStr">
        <is>
          <t>D04 methodology/data owner</t>
        </is>
      </c>
      <c r="O47" s="8" t="inlineStr">
        <is>
          <t>PROVISIONAL—pilot validation required</t>
        </is>
      </c>
    </row>
    <row r="48">
      <c r="A48" s="8" t="inlineStr">
        <is>
          <t>D04</t>
        </is>
      </c>
      <c r="B48" s="8" t="inlineStr">
        <is>
          <t>I06</t>
        </is>
      </c>
      <c r="C48" s="8" t="inlineStr">
        <is>
          <t>Experiential Learning Strength</t>
        </is>
      </c>
      <c r="D48" s="8" t="inlineStr">
        <is>
          <t>Extent of projects, labs, fieldwork, practice and authentic tasks</t>
        </is>
      </c>
      <c r="E48" s="8" t="inlineStr">
        <is>
          <t>Anchor 0–5 from domain-specific maturity anchor using direct sampled practice/work evidence; do not infer maturity from policy statements alone.</t>
        </is>
      </c>
      <c r="F48" s="8" t="inlineStr">
        <is>
          <t>0–5: 0 absent; 1 isolated/person-dependent; 2 repeatable in limited areas; 3 institutionally structured; 4 broad/cross-functional and consistently operating; 5 continuously improved/scaled.</t>
        </is>
      </c>
      <c r="G48" s="8" t="inlineStr">
        <is>
          <t>Use outcome only when a legitimate measurable result exists; otherwise N/A.</t>
        </is>
      </c>
      <c r="H48" s="8" t="inlineStr">
        <is>
          <t>Only genuine mandate/context inapplicability with documented assessor approval; missing evidence is never N/A.</t>
        </is>
      </c>
      <c r="I48" s="8" t="inlineStr">
        <is>
          <t>—</t>
        </is>
      </c>
      <c r="J48" s="8" t="inlineStr">
        <is>
          <t>E0=0.20; E1=0.40; E2=0.65; E3=0.85; E4=1.00, subject to corroboration/independence adjustment. Report separately.</t>
        </is>
      </c>
      <c r="K48" s="8" t="inlineStr">
        <is>
          <t>No score uplift from claims alone; lock denominator/exclusions before results; sample verification; cross-check with adjacent domains; high scores require corroboration.</t>
        </is>
      </c>
      <c r="L48" s="8" t="inlineStr">
        <is>
          <t>Use primary-owner rule; shared evidence may validate multiple metrics but the same activity cannot be scored twice across domains.</t>
        </is>
      </c>
      <c r="M48" s="8" t="inlineStr">
        <is>
          <t>100*((0.45*M)+(0.30*I)+(0.25*O))/5 when O exists; otherwise 100*((0.60*M)+(0.40*I))/5.</t>
        </is>
      </c>
      <c r="N48" s="8" t="inlineStr">
        <is>
          <t>D04 methodology/data owner</t>
        </is>
      </c>
      <c r="O48" s="8" t="inlineStr">
        <is>
          <t>PROVISIONAL—pilot validation required</t>
        </is>
      </c>
    </row>
    <row r="49">
      <c r="A49" s="8" t="inlineStr">
        <is>
          <t>D04</t>
        </is>
      </c>
      <c r="B49" s="8" t="inlineStr">
        <is>
          <t>I07</t>
        </is>
      </c>
      <c r="C49" s="8" t="inlineStr">
        <is>
          <t>Interdisciplinary Flexibility</t>
        </is>
      </c>
      <c r="D49" s="8" t="inlineStr">
        <is>
          <t>Ability for students to learn/work across boundaries</t>
        </is>
      </c>
      <c r="E49" s="8" t="inlineStr">
        <is>
          <t>Anchor 0–5 from domain-specific maturity anchor using direct sampled practice/work evidence; do not infer maturity from policy statements alone.</t>
        </is>
      </c>
      <c r="F49" s="8" t="inlineStr">
        <is>
          <t>0–5: 0 absent; 1 isolated/person-dependent; 2 repeatable in limited areas; 3 institutionally structured; 4 broad/cross-functional and consistently operating; 5 continuously improved/scaled.</t>
        </is>
      </c>
      <c r="G49" s="8" t="inlineStr">
        <is>
          <t>Use outcome only when a legitimate measurable result exists; otherwise N/A.</t>
        </is>
      </c>
      <c r="H49" s="8" t="inlineStr">
        <is>
          <t>Only genuine mandate/context inapplicability with documented assessor approval; missing evidence is never N/A.</t>
        </is>
      </c>
      <c r="I49" s="8" t="inlineStr">
        <is>
          <t>—</t>
        </is>
      </c>
      <c r="J49" s="8" t="inlineStr">
        <is>
          <t>E0=0.20; E1=0.40; E2=0.65; E3=0.85; E4=1.00, subject to corroboration/independence adjustment. Report separately.</t>
        </is>
      </c>
      <c r="K49" s="8" t="inlineStr">
        <is>
          <t>No score uplift from claims alone; lock denominator/exclusions before results; sample verification; cross-check with adjacent domains; high scores require corroboration.</t>
        </is>
      </c>
      <c r="L49" s="8" t="inlineStr">
        <is>
          <t>Use primary-owner rule; shared evidence may validate multiple metrics but the same activity cannot be scored twice across domains.</t>
        </is>
      </c>
      <c r="M49" s="8" t="inlineStr">
        <is>
          <t>100*((0.45*M)+(0.30*I)+(0.25*O))/5 when O exists; otherwise 100*((0.60*M)+(0.40*I))/5.</t>
        </is>
      </c>
      <c r="N49" s="8" t="inlineStr">
        <is>
          <t>D04 methodology/data owner</t>
        </is>
      </c>
      <c r="O49" s="8" t="inlineStr">
        <is>
          <t>PROVISIONAL—pilot validation required</t>
        </is>
      </c>
    </row>
    <row r="50">
      <c r="A50" s="8" t="inlineStr">
        <is>
          <t>D04</t>
        </is>
      </c>
      <c r="B50" s="8" t="inlineStr">
        <is>
          <t>I08</t>
        </is>
      </c>
      <c r="C50" s="8" t="inlineStr">
        <is>
          <t>Programme Agility</t>
        </is>
      </c>
      <c r="D50" s="8" t="inlineStr">
        <is>
          <t>Ability to modify modules, electives, pathways and learning experiences</t>
        </is>
      </c>
      <c r="E50" s="8" t="inlineStr">
        <is>
          <t>Anchor 0–5 from domain-specific maturity anchor using direct sampled practice/work evidence; do not infer maturity from policy statements alone.</t>
        </is>
      </c>
      <c r="F50" s="8" t="inlineStr">
        <is>
          <t>0–5: 0 absent; 1 isolated/person-dependent; 2 repeatable in limited areas; 3 institutionally structured; 4 broad/cross-functional and consistently operating; 5 continuously improved/scaled.</t>
        </is>
      </c>
      <c r="G50" s="8" t="inlineStr">
        <is>
          <t>Use outcome only when a legitimate measurable result exists; otherwise N/A.</t>
        </is>
      </c>
      <c r="H50" s="8" t="inlineStr">
        <is>
          <t>Only genuine mandate/context inapplicability with documented assessor approval; missing evidence is never N/A.</t>
        </is>
      </c>
      <c r="I50" s="8" t="inlineStr">
        <is>
          <t>—</t>
        </is>
      </c>
      <c r="J50" s="8" t="inlineStr">
        <is>
          <t>E0=0.20; E1=0.40; E2=0.65; E3=0.85; E4=1.00, subject to corroboration/independence adjustment. Report separately.</t>
        </is>
      </c>
      <c r="K50" s="8" t="inlineStr">
        <is>
          <t>No score uplift from claims alone; lock denominator/exclusions before results; sample verification; cross-check with adjacent domains; high scores require corroboration.</t>
        </is>
      </c>
      <c r="L50" s="8" t="inlineStr">
        <is>
          <t>Use primary-owner rule; shared evidence may validate multiple metrics but the same activity cannot be scored twice across domains.</t>
        </is>
      </c>
      <c r="M50" s="8" t="inlineStr">
        <is>
          <t>100*((0.45*M)+(0.30*I)+(0.25*O))/5 when O exists; otherwise 100*((0.60*M)+(0.40*I))/5.</t>
        </is>
      </c>
      <c r="N50" s="8" t="inlineStr">
        <is>
          <t>D04 methodology/data owner</t>
        </is>
      </c>
      <c r="O50" s="8" t="inlineStr">
        <is>
          <t>PROVISIONAL—pilot validation required</t>
        </is>
      </c>
    </row>
    <row r="51">
      <c r="A51" s="8" t="inlineStr">
        <is>
          <t>D04</t>
        </is>
      </c>
      <c r="B51" s="8" t="inlineStr">
        <is>
          <t>I09</t>
        </is>
      </c>
      <c r="C51" s="8" t="inlineStr">
        <is>
          <t>External Validation Strength</t>
        </is>
      </c>
      <c r="D51" s="8" t="inlineStr">
        <is>
          <t>Use of employers/professionals/alumni/disciplinary experts in programme evolution</t>
        </is>
      </c>
      <c r="E51" s="8" t="inlineStr">
        <is>
          <t>Anchor 0–5 from domain-specific maturity anchor using direct sampled practice/work evidence; do not infer maturity from policy statements alone.</t>
        </is>
      </c>
      <c r="F51" s="8" t="inlineStr">
        <is>
          <t>0–5: 0 absent; 1 isolated/person-dependent; 2 repeatable in limited areas; 3 institutionally structured; 4 broad/cross-functional and consistently operating; 5 continuously improved/scaled.</t>
        </is>
      </c>
      <c r="G51" s="8" t="inlineStr">
        <is>
          <t>Use outcome only when a legitimate measurable result exists; otherwise N/A.</t>
        </is>
      </c>
      <c r="H51" s="8" t="inlineStr">
        <is>
          <t>Only genuine mandate/context inapplicability with documented assessor approval; missing evidence is never N/A.</t>
        </is>
      </c>
      <c r="I51" s="8" t="inlineStr">
        <is>
          <t>—</t>
        </is>
      </c>
      <c r="J51" s="8" t="inlineStr">
        <is>
          <t>E0=0.20; E1=0.40; E2=0.65; E3=0.85; E4=1.00, subject to corroboration/independence adjustment. Report separately.</t>
        </is>
      </c>
      <c r="K51" s="8" t="inlineStr">
        <is>
          <t>No score uplift from claims alone; lock denominator/exclusions before results; sample verification; cross-check with adjacent domains; high scores require corroboration.</t>
        </is>
      </c>
      <c r="L51" s="8" t="inlineStr">
        <is>
          <t>Use primary-owner rule; shared evidence may validate multiple metrics but the same activity cannot be scored twice across domains.</t>
        </is>
      </c>
      <c r="M51" s="8" t="inlineStr">
        <is>
          <t>100*((0.45*M)+(0.30*I)+(0.25*O))/5 when O exists; otherwise 100*((0.60*M)+(0.40*I))/5.</t>
        </is>
      </c>
      <c r="N51" s="8" t="inlineStr">
        <is>
          <t>D04 methodology/data owner</t>
        </is>
      </c>
      <c r="O51" s="8" t="inlineStr">
        <is>
          <t>PROVISIONAL—pilot validation required</t>
        </is>
      </c>
    </row>
    <row r="52">
      <c r="A52" s="8" t="inlineStr">
        <is>
          <t>D04</t>
        </is>
      </c>
      <c r="B52" s="8" t="inlineStr">
        <is>
          <t>I10</t>
        </is>
      </c>
      <c r="C52" s="8" t="inlineStr">
        <is>
          <t>External Learning Ecosystem</t>
        </is>
      </c>
      <c r="D52" s="8" t="inlineStr">
        <is>
          <t>Use of industry, research, community and external platforms as learning environments</t>
        </is>
      </c>
      <c r="E52" s="8" t="inlineStr">
        <is>
          <t>Anchor 0–5 from domain-specific maturity anchor using direct sampled practice/work evidence; do not infer maturity from policy statements alone.</t>
        </is>
      </c>
      <c r="F52" s="8" t="inlineStr">
        <is>
          <t>0–5: 0 absent; 1 isolated/person-dependent; 2 repeatable in limited areas; 3 institutionally structured; 4 broad/cross-functional and consistently operating; 5 continuously improved/scaled.</t>
        </is>
      </c>
      <c r="G52" s="8" t="inlineStr">
        <is>
          <t>Use outcome only when a legitimate measurable result exists; otherwise N/A.</t>
        </is>
      </c>
      <c r="H52" s="8" t="inlineStr">
        <is>
          <t>Only genuine mandate/context inapplicability with documented assessor approval; missing evidence is never N/A.</t>
        </is>
      </c>
      <c r="I52" s="8" t="inlineStr">
        <is>
          <t>—</t>
        </is>
      </c>
      <c r="J52" s="8" t="inlineStr">
        <is>
          <t>E0=0.20; E1=0.40; E2=0.65; E3=0.85; E4=1.00, subject to corroboration/independence adjustment. Report separately.</t>
        </is>
      </c>
      <c r="K52" s="8" t="inlineStr">
        <is>
          <t>No score uplift from claims alone; lock denominator/exclusions before results; sample verification; cross-check with adjacent domains; high scores require corroboration.</t>
        </is>
      </c>
      <c r="L52" s="8" t="inlineStr">
        <is>
          <t>Use primary-owner rule; shared evidence may validate multiple metrics but the same activity cannot be scored twice across domains.</t>
        </is>
      </c>
      <c r="M52" s="8" t="inlineStr">
        <is>
          <t>100*((0.45*M)+(0.30*I)+(0.25*O))/5 when O exists; otherwise 100*((0.60*M)+(0.40*I))/5.</t>
        </is>
      </c>
      <c r="N52" s="8" t="inlineStr">
        <is>
          <t>D04 methodology/data owner</t>
        </is>
      </c>
      <c r="O52" s="8" t="inlineStr">
        <is>
          <t>PROVISIONAL—pilot validation required</t>
        </is>
      </c>
    </row>
    <row r="53">
      <c r="A53" s="8" t="inlineStr">
        <is>
          <t>D04</t>
        </is>
      </c>
      <c r="B53" s="8" t="inlineStr">
        <is>
          <t>I11</t>
        </is>
      </c>
      <c r="C53" s="8" t="inlineStr">
        <is>
          <t>Transfer Capability</t>
        </is>
      </c>
      <c r="D53" s="8" t="inlineStr">
        <is>
          <t>Extent students apply learning to unfamiliar/real situations</t>
        </is>
      </c>
      <c r="E53" s="8" t="inlineStr">
        <is>
          <t>Anchor 0–5 from domain-specific maturity anchor using direct sampled practice/work evidence; do not infer maturity from policy statements alone.</t>
        </is>
      </c>
      <c r="F53" s="8" t="inlineStr">
        <is>
          <t>0–5: 0 absent; 1 isolated/person-dependent; 2 repeatable in limited areas; 3 institutionally structured; 4 broad/cross-functional and consistently operating; 5 continuously improved/scaled.</t>
        </is>
      </c>
      <c r="G53" s="8" t="inlineStr">
        <is>
          <t>Use outcome only when a legitimate measurable result exists; otherwise N/A.</t>
        </is>
      </c>
      <c r="H53" s="8" t="inlineStr">
        <is>
          <t>Only genuine mandate/context inapplicability with documented assessor approval; missing evidence is never N/A.</t>
        </is>
      </c>
      <c r="I53" s="8" t="inlineStr">
        <is>
          <t>—</t>
        </is>
      </c>
      <c r="J53" s="8" t="inlineStr">
        <is>
          <t>E0=0.20; E1=0.40; E2=0.65; E3=0.85; E4=1.00, subject to corroboration/independence adjustment. Report separately.</t>
        </is>
      </c>
      <c r="K53" s="8" t="inlineStr">
        <is>
          <t>No score uplift from claims alone; lock denominator/exclusions before results; sample verification; cross-check with adjacent domains; high scores require corroboration.</t>
        </is>
      </c>
      <c r="L53" s="8" t="inlineStr">
        <is>
          <t>Use primary-owner rule; shared evidence may validate multiple metrics but the same activity cannot be scored twice across domains.</t>
        </is>
      </c>
      <c r="M53" s="8" t="inlineStr">
        <is>
          <t>100*((0.45*M)+(0.30*I)+(0.25*O))/5 when O exists; otherwise 100*((0.60*M)+(0.40*I))/5.</t>
        </is>
      </c>
      <c r="N53" s="8" t="inlineStr">
        <is>
          <t>D04 methodology/data owner</t>
        </is>
      </c>
      <c r="O53" s="8" t="inlineStr">
        <is>
          <t>PROVISIONAL—pilot validation required</t>
        </is>
      </c>
    </row>
    <row r="54">
      <c r="A54" s="8" t="inlineStr">
        <is>
          <t>D04</t>
        </is>
      </c>
      <c r="B54" s="8" t="inlineStr">
        <is>
          <t>I12</t>
        </is>
      </c>
      <c r="C54" s="8" t="inlineStr">
        <is>
          <t>Portfolio Foresight</t>
        </is>
      </c>
      <c r="D54" s="8" t="inlineStr">
        <is>
          <t>Whether programme portfolio remains aligned with institutional future direction</t>
        </is>
      </c>
      <c r="E54" s="8" t="inlineStr">
        <is>
          <t>Anchor 0–5 from domain-specific maturity anchor using direct sampled practice/work evidence; do not infer maturity from policy statements alone.</t>
        </is>
      </c>
      <c r="F54" s="8" t="inlineStr">
        <is>
          <t>0–5: 0 absent; 1 isolated/person-dependent; 2 repeatable in limited areas; 3 institutionally structured; 4 broad/cross-functional and consistently operating; 5 continuously improved/scaled.</t>
        </is>
      </c>
      <c r="G54" s="8" t="inlineStr">
        <is>
          <t>Use outcome only when a legitimate measurable result exists; otherwise N/A.</t>
        </is>
      </c>
      <c r="H54" s="8" t="inlineStr">
        <is>
          <t>Only genuine mandate/context inapplicability with documented assessor approval; missing evidence is never N/A.</t>
        </is>
      </c>
      <c r="I54" s="8" t="inlineStr">
        <is>
          <t>—</t>
        </is>
      </c>
      <c r="J54" s="8" t="inlineStr">
        <is>
          <t>E0=0.20; E1=0.40; E2=0.65; E3=0.85; E4=1.00, subject to corroboration/independence adjustment. Report separately.</t>
        </is>
      </c>
      <c r="K54" s="8" t="inlineStr">
        <is>
          <t>No score uplift from claims alone; lock denominator/exclusions before results; sample verification; cross-check with adjacent domains; high scores require corroboration.</t>
        </is>
      </c>
      <c r="L54" s="8" t="inlineStr">
        <is>
          <t>Use primary-owner rule; shared evidence may validate multiple metrics but the same activity cannot be scored twice across domains.</t>
        </is>
      </c>
      <c r="M54" s="8" t="inlineStr">
        <is>
          <t>100*((0.45*M)+(0.30*I)+(0.25*O))/5 when O exists; otherwise 100*((0.60*M)+(0.40*I))/5.</t>
        </is>
      </c>
      <c r="N54" s="8" t="inlineStr">
        <is>
          <t>D04 methodology/data owner</t>
        </is>
      </c>
      <c r="O54" s="8" t="inlineStr">
        <is>
          <t>PROVISIONAL—pilot validation required</t>
        </is>
      </c>
    </row>
    <row r="55">
      <c r="A55" s="8" t="inlineStr">
        <is>
          <t>D05</t>
        </is>
      </c>
      <c r="B55" s="8" t="inlineStr">
        <is>
          <t>I01</t>
        </is>
      </c>
      <c r="C55" s="8" t="inlineStr">
        <is>
          <t>Faculty AI Literacy Maturity</t>
        </is>
      </c>
      <c r="D55" s="8" t="inlineStr">
        <is>
          <t>Ability to understand AI capabilities, limits, risks and appropriate use</t>
        </is>
      </c>
      <c r="E55" s="8" t="inlineStr">
        <is>
          <t>Anchor 0–5 from domain-specific maturity anchor using direct sampled practice/work evidence; do not infer maturity from policy statements alone.</t>
        </is>
      </c>
      <c r="F55" s="8" t="inlineStr">
        <is>
          <t>0–5: 0 absent; 1 isolated/person-dependent; 2 repeatable in limited areas; 3 institutionally structured; 4 broad/cross-functional and consistently operating; 5 continuously improved/scaled.</t>
        </is>
      </c>
      <c r="G55" s="8" t="inlineStr">
        <is>
          <t>Use outcome only when a legitimate measurable result exists; otherwise N/A.</t>
        </is>
      </c>
      <c r="H55" s="8" t="inlineStr">
        <is>
          <t>Only genuine mandate/context inapplicability with documented assessor approval; missing evidence is never N/A.</t>
        </is>
      </c>
      <c r="I55" s="8" t="inlineStr">
        <is>
          <t>—</t>
        </is>
      </c>
      <c r="J55" s="8" t="inlineStr">
        <is>
          <t>E0=0.20; E1=0.40; E2=0.65; E3=0.85; E4=1.00, subject to corroboration/independence adjustment. Report separately.</t>
        </is>
      </c>
      <c r="K55" s="8" t="inlineStr">
        <is>
          <t>No score uplift from claims alone; lock denominator/exclusions before results; sample verification; cross-check with adjacent domains; high scores require corroboration.</t>
        </is>
      </c>
      <c r="L55" s="8" t="inlineStr">
        <is>
          <t>Use primary-owner rule; shared evidence may validate multiple metrics but the same activity cannot be scored twice across domains.</t>
        </is>
      </c>
      <c r="M55" s="8" t="inlineStr">
        <is>
          <t>100*((0.45*M)+(0.30*I)+(0.25*O))/5 when O exists; otherwise 100*((0.60*M)+(0.40*I))/5.</t>
        </is>
      </c>
      <c r="N55" s="8" t="inlineStr">
        <is>
          <t>D05 methodology/data owner</t>
        </is>
      </c>
      <c r="O55" s="8" t="inlineStr">
        <is>
          <t>PROVISIONAL—pilot validation required</t>
        </is>
      </c>
    </row>
    <row r="56">
      <c r="A56" s="8" t="inlineStr">
        <is>
          <t>D05</t>
        </is>
      </c>
      <c r="B56" s="8" t="inlineStr">
        <is>
          <t>I02</t>
        </is>
      </c>
      <c r="C56" s="8" t="inlineStr">
        <is>
          <t>Discipline-Specific AI Practice</t>
        </is>
      </c>
      <c r="D56" s="8" t="inlineStr">
        <is>
          <t>Use of AI in ways meaningful to the discipline</t>
        </is>
      </c>
      <c r="E56" s="8" t="inlineStr">
        <is>
          <t>Anchor 0–5 from domain-specific maturity anchor using direct sampled practice/work evidence; do not infer maturity from policy statements alone.</t>
        </is>
      </c>
      <c r="F56" s="8" t="inlineStr">
        <is>
          <t>0–5: 0 absent; 1 isolated/person-dependent; 2 repeatable in limited areas; 3 institutionally structured; 4 broad/cross-functional and consistently operating; 5 continuously improved/scaled.</t>
        </is>
      </c>
      <c r="G56" s="8" t="inlineStr">
        <is>
          <t>Use outcome only when a legitimate measurable result exists; otherwise N/A.</t>
        </is>
      </c>
      <c r="H56" s="8" t="inlineStr">
        <is>
          <t>Only genuine mandate/context inapplicability with documented assessor approval; missing evidence is never N/A.</t>
        </is>
      </c>
      <c r="I56" s="8" t="inlineStr">
        <is>
          <t>—</t>
        </is>
      </c>
      <c r="J56" s="8" t="inlineStr">
        <is>
          <t>E0=0.20; E1=0.40; E2=0.65; E3=0.85; E4=1.00, subject to corroboration/independence adjustment. Report separately.</t>
        </is>
      </c>
      <c r="K56" s="8" t="inlineStr">
        <is>
          <t>No score uplift from claims alone; lock denominator/exclusions before results; sample verification; cross-check with adjacent domains; high scores require corroboration.</t>
        </is>
      </c>
      <c r="L56" s="8" t="inlineStr">
        <is>
          <t>Use primary-owner rule; shared evidence may validate multiple metrics but the same activity cannot be scored twice across domains.</t>
        </is>
      </c>
      <c r="M56" s="8" t="inlineStr">
        <is>
          <t>100*((0.45*M)+(0.30*I)+(0.25*O))/5 when O exists; otherwise 100*((0.60*M)+(0.40*I))/5.</t>
        </is>
      </c>
      <c r="N56" s="8" t="inlineStr">
        <is>
          <t>D05 methodology/data owner</t>
        </is>
      </c>
      <c r="O56" s="8" t="inlineStr">
        <is>
          <t>PROVISIONAL—pilot validation required</t>
        </is>
      </c>
    </row>
    <row r="57">
      <c r="A57" s="8" t="inlineStr">
        <is>
          <t>D05</t>
        </is>
      </c>
      <c r="B57" s="8" t="inlineStr">
        <is>
          <t>I03</t>
        </is>
      </c>
      <c r="C57" s="8" t="inlineStr">
        <is>
          <t>AI-Enhanced Pedagogy</t>
        </is>
      </c>
      <c r="D57" s="8" t="inlineStr">
        <is>
          <t>Ability to redesign learning around AI rather than merely add tools</t>
        </is>
      </c>
      <c r="E57" s="8" t="inlineStr">
        <is>
          <t>Anchor 0–5 from domain-specific maturity anchor using direct sampled practice/work evidence; do not infer maturity from policy statements alone.</t>
        </is>
      </c>
      <c r="F57" s="8" t="inlineStr">
        <is>
          <t>0–5: 0 absent; 1 isolated/person-dependent; 2 repeatable in limited areas; 3 institutionally structured; 4 broad/cross-functional and consistently operating; 5 continuously improved/scaled.</t>
        </is>
      </c>
      <c r="G57" s="8" t="inlineStr">
        <is>
          <t>Use outcome only when a legitimate measurable result exists; otherwise N/A.</t>
        </is>
      </c>
      <c r="H57" s="8" t="inlineStr">
        <is>
          <t>Only genuine mandate/context inapplicability with documented assessor approval; missing evidence is never N/A.</t>
        </is>
      </c>
      <c r="I57" s="8" t="inlineStr">
        <is>
          <t>—</t>
        </is>
      </c>
      <c r="J57" s="8" t="inlineStr">
        <is>
          <t>E0=0.20; E1=0.40; E2=0.65; E3=0.85; E4=1.00, subject to corroboration/independence adjustment. Report separately.</t>
        </is>
      </c>
      <c r="K57" s="8" t="inlineStr">
        <is>
          <t>No score uplift from claims alone; lock denominator/exclusions before results; sample verification; cross-check with adjacent domains; high scores require corroboration.</t>
        </is>
      </c>
      <c r="L57" s="8" t="inlineStr">
        <is>
          <t>Use primary-owner rule; shared evidence may validate multiple metrics but the same activity cannot be scored twice across domains.</t>
        </is>
      </c>
      <c r="M57" s="8" t="inlineStr">
        <is>
          <t>100*((0.45*M)+(0.30*I)+(0.25*O))/5 when O exists; otherwise 100*((0.60*M)+(0.40*I))/5.</t>
        </is>
      </c>
      <c r="N57" s="8" t="inlineStr">
        <is>
          <t>D05 methodology/data owner</t>
        </is>
      </c>
      <c r="O57" s="8" t="inlineStr">
        <is>
          <t>PROVISIONAL—pilot validation required</t>
        </is>
      </c>
    </row>
    <row r="58">
      <c r="A58" s="8" t="inlineStr">
        <is>
          <t>D05</t>
        </is>
      </c>
      <c r="B58" s="8" t="inlineStr">
        <is>
          <t>I04</t>
        </is>
      </c>
      <c r="C58" s="8" t="inlineStr">
        <is>
          <t>Assessment Redesign Capability</t>
        </is>
      </c>
      <c r="D58" s="8" t="inlineStr">
        <is>
          <t>Faculty ability to redesign tasks so genuine capability remains visible</t>
        </is>
      </c>
      <c r="E58" s="8" t="inlineStr">
        <is>
          <t>Anchor 0–5 from domain-specific maturity anchor using direct sampled practice/work evidence; do not infer maturity from policy statements alone.</t>
        </is>
      </c>
      <c r="F58" s="8" t="inlineStr">
        <is>
          <t>0–5: 0 absent; 1 isolated/person-dependent; 2 repeatable in limited areas; 3 institutionally structured; 4 broad/cross-functional and consistently operating; 5 continuously improved/scaled.</t>
        </is>
      </c>
      <c r="G58" s="8" t="inlineStr">
        <is>
          <t>Use outcome only when a legitimate measurable result exists; otherwise N/A.</t>
        </is>
      </c>
      <c r="H58" s="8" t="inlineStr">
        <is>
          <t>Only genuine mandate/context inapplicability with documented assessor approval; missing evidence is never N/A.</t>
        </is>
      </c>
      <c r="I58" s="8" t="inlineStr">
        <is>
          <t>—</t>
        </is>
      </c>
      <c r="J58" s="8" t="inlineStr">
        <is>
          <t>E0=0.20; E1=0.40; E2=0.65; E3=0.85; E4=1.00, subject to corroboration/independence adjustment. Report separately.</t>
        </is>
      </c>
      <c r="K58" s="8" t="inlineStr">
        <is>
          <t>No score uplift from claims alone; lock denominator/exclusions before results; sample verification; cross-check with adjacent domains; high scores require corroboration.</t>
        </is>
      </c>
      <c r="L58" s="8" t="inlineStr">
        <is>
          <t>Use primary-owner rule; shared evidence may validate multiple metrics but the same activity cannot be scored twice across domains.</t>
        </is>
      </c>
      <c r="M58" s="8" t="inlineStr">
        <is>
          <t>100*((0.45*M)+(0.30*I)+(0.25*O))/5 when O exists; otherwise 100*((0.60*M)+(0.40*I))/5.</t>
        </is>
      </c>
      <c r="N58" s="8" t="inlineStr">
        <is>
          <t>D05 methodology/data owner</t>
        </is>
      </c>
      <c r="O58" s="8" t="inlineStr">
        <is>
          <t>PROVISIONAL—pilot validation required</t>
        </is>
      </c>
    </row>
    <row r="59">
      <c r="A59" s="8" t="inlineStr">
        <is>
          <t>D05</t>
        </is>
      </c>
      <c r="B59" s="8" t="inlineStr">
        <is>
          <t>I05</t>
        </is>
      </c>
      <c r="C59" s="8" t="inlineStr">
        <is>
          <t>Faculty Learning &amp; Development Effectiveness</t>
        </is>
      </c>
      <c r="D59" s="8" t="inlineStr">
        <is>
          <t>Conversion of training into sustained academic practice</t>
        </is>
      </c>
      <c r="E59" s="8" t="inlineStr">
        <is>
          <t>Anchor 0–5 from domain-specific maturity anchor using direct sampled practice/work evidence; do not infer maturity from policy statements alone.</t>
        </is>
      </c>
      <c r="F59" s="8" t="inlineStr">
        <is>
          <t>0–5: 0 absent; 1 isolated/person-dependent; 2 repeatable in limited areas; 3 institutionally structured; 4 broad/cross-functional and consistently operating; 5 continuously improved/scaled.</t>
        </is>
      </c>
      <c r="G59" s="8" t="inlineStr">
        <is>
          <t>Use outcome only when a legitimate measurable result exists; otherwise N/A.</t>
        </is>
      </c>
      <c r="H59" s="8" t="inlineStr">
        <is>
          <t>Only genuine mandate/context inapplicability with documented assessor approval; missing evidence is never N/A.</t>
        </is>
      </c>
      <c r="I59" s="8" t="inlineStr">
        <is>
          <t>—</t>
        </is>
      </c>
      <c r="J59" s="8" t="inlineStr">
        <is>
          <t>E0=0.20; E1=0.40; E2=0.65; E3=0.85; E4=1.00, subject to corroboration/independence adjustment. Report separately.</t>
        </is>
      </c>
      <c r="K59" s="8" t="inlineStr">
        <is>
          <t>No score uplift from claims alone; lock denominator/exclusions before results; sample verification; cross-check with adjacent domains; high scores require corroboration.</t>
        </is>
      </c>
      <c r="L59" s="8" t="inlineStr">
        <is>
          <t>Use primary-owner rule; shared evidence may validate multiple metrics but the same activity cannot be scored twice across domains.</t>
        </is>
      </c>
      <c r="M59" s="8" t="inlineStr">
        <is>
          <t>100*((0.45*M)+(0.30*I)+(0.25*O))/5 when O exists; otherwise 100*((0.60*M)+(0.40*I))/5.</t>
        </is>
      </c>
      <c r="N59" s="8" t="inlineStr">
        <is>
          <t>D05 methodology/data owner</t>
        </is>
      </c>
      <c r="O59" s="8" t="inlineStr">
        <is>
          <t>PROVISIONAL—pilot validation required</t>
        </is>
      </c>
    </row>
    <row r="60">
      <c r="A60" s="8" t="inlineStr">
        <is>
          <t>D05</t>
        </is>
      </c>
      <c r="B60" s="8" t="inlineStr">
        <is>
          <t>I06</t>
        </is>
      </c>
      <c r="C60" s="8" t="inlineStr">
        <is>
          <t>Peer Learning &amp; Communities</t>
        </is>
      </c>
      <c r="D60" s="8" t="inlineStr">
        <is>
          <t>Institutional mechanisms for sharing AI practice</t>
        </is>
      </c>
      <c r="E60" s="8" t="inlineStr">
        <is>
          <t>Anchor 0–5 from domain-specific maturity anchor using direct sampled practice/work evidence; do not infer maturity from policy statements alone.</t>
        </is>
      </c>
      <c r="F60" s="8" t="inlineStr">
        <is>
          <t>0–5: 0 absent; 1 isolated/person-dependent; 2 repeatable in limited areas; 3 institutionally structured; 4 broad/cross-functional and consistently operating; 5 continuously improved/scaled.</t>
        </is>
      </c>
      <c r="G60" s="8" t="inlineStr">
        <is>
          <t>Use outcome only when a legitimate measurable result exists; otherwise N/A.</t>
        </is>
      </c>
      <c r="H60" s="8" t="inlineStr">
        <is>
          <t>Only genuine mandate/context inapplicability with documented assessor approval; missing evidence is never N/A.</t>
        </is>
      </c>
      <c r="I60" s="8" t="inlineStr">
        <is>
          <t>—</t>
        </is>
      </c>
      <c r="J60" s="8" t="inlineStr">
        <is>
          <t>E0=0.20; E1=0.40; E2=0.65; E3=0.85; E4=1.00, subject to corroboration/independence adjustment. Report separately.</t>
        </is>
      </c>
      <c r="K60" s="8" t="inlineStr">
        <is>
          <t>No score uplift from claims alone; lock denominator/exclusions before results; sample verification; cross-check with adjacent domains; high scores require corroboration.</t>
        </is>
      </c>
      <c r="L60" s="8" t="inlineStr">
        <is>
          <t>Use primary-owner rule; shared evidence may validate multiple metrics but the same activity cannot be scored twice across domains.</t>
        </is>
      </c>
      <c r="M60" s="8" t="inlineStr">
        <is>
          <t>100*((0.45*M)+(0.30*I)+(0.25*O))/5 when O exists; otherwise 100*((0.60*M)+(0.40*I))/5.</t>
        </is>
      </c>
      <c r="N60" s="8" t="inlineStr">
        <is>
          <t>D05 methodology/data owner</t>
        </is>
      </c>
      <c r="O60" s="8" t="inlineStr">
        <is>
          <t>PROVISIONAL—pilot validation required</t>
        </is>
      </c>
    </row>
    <row r="61">
      <c r="A61" s="8" t="inlineStr">
        <is>
          <t>D05</t>
        </is>
      </c>
      <c r="B61" s="8" t="inlineStr">
        <is>
          <t>I07</t>
        </is>
      </c>
      <c r="C61" s="8" t="inlineStr">
        <is>
          <t>AI Research &amp; Knowledge Creation</t>
        </is>
      </c>
      <c r="D61" s="8" t="inlineStr">
        <is>
          <t>Faculty use AI responsibly for research, analysis, scholarship and knowledge creation</t>
        </is>
      </c>
      <c r="E61" s="8" t="inlineStr">
        <is>
          <t>Anchor 0–5 from domain-specific maturity anchor using direct sampled practice/work evidence; do not infer maturity from policy statements alone.</t>
        </is>
      </c>
      <c r="F61" s="8" t="inlineStr">
        <is>
          <t>0–5: 0 absent; 1 isolated/person-dependent; 2 repeatable in limited areas; 3 institutionally structured; 4 broad/cross-functional and consistently operating; 5 continuously improved/scaled.</t>
        </is>
      </c>
      <c r="G61" s="8" t="inlineStr">
        <is>
          <t>Use outcome only when a legitimate measurable result exists; otherwise N/A.</t>
        </is>
      </c>
      <c r="H61" s="8" t="inlineStr">
        <is>
          <t>Only genuine mandate/context inapplicability with documented assessor approval; missing evidence is never N/A.</t>
        </is>
      </c>
      <c r="I61" s="8" t="inlineStr">
        <is>
          <t>—</t>
        </is>
      </c>
      <c r="J61" s="8" t="inlineStr">
        <is>
          <t>E0=0.20; E1=0.40; E2=0.65; E3=0.85; E4=1.00, subject to corroboration/independence adjustment. Report separately.</t>
        </is>
      </c>
      <c r="K61" s="8" t="inlineStr">
        <is>
          <t>No score uplift from claims alone; lock denominator/exclusions before results; sample verification; cross-check with adjacent domains; high scores require corroboration.</t>
        </is>
      </c>
      <c r="L61" s="8" t="inlineStr">
        <is>
          <t>Use primary-owner rule; shared evidence may validate multiple metrics but the same activity cannot be scored twice across domains.</t>
        </is>
      </c>
      <c r="M61" s="8" t="inlineStr">
        <is>
          <t>100*((0.45*M)+(0.30*I)+(0.25*O))/5 when O exists; otherwise 100*((0.60*M)+(0.40*I))/5.</t>
        </is>
      </c>
      <c r="N61" s="8" t="inlineStr">
        <is>
          <t>D05 methodology/data owner</t>
        </is>
      </c>
      <c r="O61" s="8" t="inlineStr">
        <is>
          <t>PROVISIONAL—pilot validation required</t>
        </is>
      </c>
    </row>
    <row r="62">
      <c r="A62" s="8" t="inlineStr">
        <is>
          <t>D05</t>
        </is>
      </c>
      <c r="B62" s="8" t="inlineStr">
        <is>
          <t>I08</t>
        </is>
      </c>
      <c r="C62" s="8" t="inlineStr">
        <is>
          <t>Academic Role Redesign</t>
        </is>
      </c>
      <c r="D62" s="8" t="inlineStr">
        <is>
          <t>Whether AI-driven changes in academic work are anticipated and supported</t>
        </is>
      </c>
      <c r="E62" s="8" t="inlineStr">
        <is>
          <t>Anchor 0–5 from domain-specific maturity anchor using direct sampled practice/work evidence; do not infer maturity from policy statements alone.</t>
        </is>
      </c>
      <c r="F62" s="8" t="inlineStr">
        <is>
          <t>0–5: 0 absent; 1 isolated/person-dependent; 2 repeatable in limited areas; 3 institutionally structured; 4 broad/cross-functional and consistently operating; 5 continuously improved/scaled.</t>
        </is>
      </c>
      <c r="G62" s="8" t="inlineStr">
        <is>
          <t>Use outcome only when a legitimate measurable result exists; otherwise N/A.</t>
        </is>
      </c>
      <c r="H62" s="8" t="inlineStr">
        <is>
          <t>Only genuine mandate/context inapplicability with documented assessor approval; missing evidence is never N/A.</t>
        </is>
      </c>
      <c r="I62" s="8" t="inlineStr">
        <is>
          <t>—</t>
        </is>
      </c>
      <c r="J62" s="8" t="inlineStr">
        <is>
          <t>E0=0.20; E1=0.40; E2=0.65; E3=0.85; E4=1.00, subject to corroboration/independence adjustment. Report separately.</t>
        </is>
      </c>
      <c r="K62" s="8" t="inlineStr">
        <is>
          <t>No score uplift from claims alone; lock denominator/exclusions before results; sample verification; cross-check with adjacent domains; high scores require corroboration.</t>
        </is>
      </c>
      <c r="L62" s="8" t="inlineStr">
        <is>
          <t>Use primary-owner rule; shared evidence may validate multiple metrics but the same activity cannot be scored twice across domains.</t>
        </is>
      </c>
      <c r="M62" s="8" t="inlineStr">
        <is>
          <t>100*((0.45*M)+(0.30*I)+(0.25*O))/5 when O exists; otherwise 100*((0.60*M)+(0.40*I))/5.</t>
        </is>
      </c>
      <c r="N62" s="8" t="inlineStr">
        <is>
          <t>D05 methodology/data owner</t>
        </is>
      </c>
      <c r="O62" s="8" t="inlineStr">
        <is>
          <t>PROVISIONAL—pilot validation required</t>
        </is>
      </c>
    </row>
    <row r="63">
      <c r="A63" s="8" t="inlineStr">
        <is>
          <t>D05</t>
        </is>
      </c>
      <c r="B63" s="8" t="inlineStr">
        <is>
          <t>I09</t>
        </is>
      </c>
      <c r="C63" s="8" t="inlineStr">
        <is>
          <t>Workload &amp; Workflow Transformation</t>
        </is>
      </c>
      <c r="D63" s="8" t="inlineStr">
        <is>
          <t>Use of AI to reduce low-value work while protecting academic quality</t>
        </is>
      </c>
      <c r="E63" s="8" t="inlineStr">
        <is>
          <t>Anchor 0–5 from domain-specific maturity anchor using direct sampled practice/work evidence; do not infer maturity from policy statements alone.</t>
        </is>
      </c>
      <c r="F63" s="8" t="inlineStr">
        <is>
          <t>0–5: 0 absent; 1 isolated/person-dependent; 2 repeatable in limited areas; 3 institutionally structured; 4 broad/cross-functional and consistently operating; 5 continuously improved/scaled.</t>
        </is>
      </c>
      <c r="G63" s="8" t="inlineStr">
        <is>
          <t>Use outcome only when a legitimate measurable result exists; otherwise N/A.</t>
        </is>
      </c>
      <c r="H63" s="8" t="inlineStr">
        <is>
          <t>Only genuine mandate/context inapplicability with documented assessor approval; missing evidence is never N/A.</t>
        </is>
      </c>
      <c r="I63" s="8" t="inlineStr">
        <is>
          <t>—</t>
        </is>
      </c>
      <c r="J63" s="8" t="inlineStr">
        <is>
          <t>E0=0.20; E1=0.40; E2=0.65; E3=0.85; E4=1.00, subject to corroboration/independence adjustment. Report separately.</t>
        </is>
      </c>
      <c r="K63" s="8" t="inlineStr">
        <is>
          <t>No score uplift from claims alone; lock denominator/exclusions before results; sample verification; cross-check with adjacent domains; high scores require corroboration.</t>
        </is>
      </c>
      <c r="L63" s="8" t="inlineStr">
        <is>
          <t>Use primary-owner rule; shared evidence may validate multiple metrics but the same activity cannot be scored twice across domains.</t>
        </is>
      </c>
      <c r="M63" s="8" t="inlineStr">
        <is>
          <t>100*((0.45*M)+(0.30*I)+(0.25*O))/5 when O exists; otherwise 100*((0.60*M)+(0.40*I))/5.</t>
        </is>
      </c>
      <c r="N63" s="8" t="inlineStr">
        <is>
          <t>D05 methodology/data owner</t>
        </is>
      </c>
      <c r="O63" s="8" t="inlineStr">
        <is>
          <t>PROVISIONAL—pilot validation required</t>
        </is>
      </c>
    </row>
    <row r="64">
      <c r="A64" s="8" t="inlineStr">
        <is>
          <t>D05</t>
        </is>
      </c>
      <c r="B64" s="8" t="inlineStr">
        <is>
          <t>I10</t>
        </is>
      </c>
      <c r="C64" s="8" t="inlineStr">
        <is>
          <t>Faculty Support Infrastructure</t>
        </is>
      </c>
      <c r="D64" s="8" t="inlineStr">
        <is>
          <t>Access to tools, guidance, help, exemplars and technical support</t>
        </is>
      </c>
      <c r="E64" s="8" t="inlineStr">
        <is>
          <t>Anchor 0–5 from domain-specific maturity anchor using direct sampled practice/work evidence; do not infer maturity from policy statements alone.</t>
        </is>
      </c>
      <c r="F64" s="8" t="inlineStr">
        <is>
          <t>0–5: 0 absent; 1 isolated/person-dependent; 2 repeatable in limited areas; 3 institutionally structured; 4 broad/cross-functional and consistently operating; 5 continuously improved/scaled.</t>
        </is>
      </c>
      <c r="G64" s="8" t="inlineStr">
        <is>
          <t>Use outcome only when a legitimate measurable result exists; otherwise N/A.</t>
        </is>
      </c>
      <c r="H64" s="8" t="inlineStr">
        <is>
          <t>Only genuine mandate/context inapplicability with documented assessor approval; missing evidence is never N/A.</t>
        </is>
      </c>
      <c r="I64" s="8" t="inlineStr">
        <is>
          <t>—</t>
        </is>
      </c>
      <c r="J64" s="8" t="inlineStr">
        <is>
          <t>E0=0.20; E1=0.40; E2=0.65; E3=0.85; E4=1.00, subject to corroboration/independence adjustment. Report separately.</t>
        </is>
      </c>
      <c r="K64" s="8" t="inlineStr">
        <is>
          <t>No score uplift from claims alone; lock denominator/exclusions before results; sample verification; cross-check with adjacent domains; high scores require corroboration.</t>
        </is>
      </c>
      <c r="L64" s="8" t="inlineStr">
        <is>
          <t>Use primary-owner rule; shared evidence may validate multiple metrics but the same activity cannot be scored twice across domains.</t>
        </is>
      </c>
      <c r="M64" s="8" t="inlineStr">
        <is>
          <t>100*((0.45*M)+(0.30*I)+(0.25*O))/5 when O exists; otherwise 100*((0.60*M)+(0.40*I))/5.</t>
        </is>
      </c>
      <c r="N64" s="8" t="inlineStr">
        <is>
          <t>D05 methodology/data owner</t>
        </is>
      </c>
      <c r="O64" s="8" t="inlineStr">
        <is>
          <t>PROVISIONAL—pilot validation required</t>
        </is>
      </c>
    </row>
    <row r="65">
      <c r="A65" s="8" t="inlineStr">
        <is>
          <t>D05</t>
        </is>
      </c>
      <c r="B65" s="8" t="inlineStr">
        <is>
          <t>I11</t>
        </is>
      </c>
      <c r="C65" s="8" t="inlineStr">
        <is>
          <t>Academic Leadership for AI</t>
        </is>
      </c>
      <c r="D65" s="8" t="inlineStr">
        <is>
          <t>Department/school leaders translating AI change into academic action</t>
        </is>
      </c>
      <c r="E65" s="8" t="inlineStr">
        <is>
          <t>Anchor 0–5 from domain-specific maturity anchor using direct sampled practice/work evidence; do not infer maturity from policy statements alone.</t>
        </is>
      </c>
      <c r="F65" s="8" t="inlineStr">
        <is>
          <t>0–5: 0 absent; 1 isolated/person-dependent; 2 repeatable in limited areas; 3 institutionally structured; 4 broad/cross-functional and consistently operating; 5 continuously improved/scaled.</t>
        </is>
      </c>
      <c r="G65" s="8" t="inlineStr">
        <is>
          <t>Use outcome only when a legitimate measurable result exists; otherwise N/A.</t>
        </is>
      </c>
      <c r="H65" s="8" t="inlineStr">
        <is>
          <t>Only genuine mandate/context inapplicability with documented assessor approval; missing evidence is never N/A.</t>
        </is>
      </c>
      <c r="I65" s="8" t="inlineStr">
        <is>
          <t>—</t>
        </is>
      </c>
      <c r="J65" s="8" t="inlineStr">
        <is>
          <t>E0=0.20; E1=0.40; E2=0.65; E3=0.85; E4=1.00, subject to corroboration/independence adjustment. Report separately.</t>
        </is>
      </c>
      <c r="K65" s="8" t="inlineStr">
        <is>
          <t>No score uplift from claims alone; lock denominator/exclusions before results; sample verification; cross-check with adjacent domains; high scores require corroboration.</t>
        </is>
      </c>
      <c r="L65" s="8" t="inlineStr">
        <is>
          <t>Use primary-owner rule; shared evidence may validate multiple metrics but the same activity cannot be scored twice across domains.</t>
        </is>
      </c>
      <c r="M65" s="8" t="inlineStr">
        <is>
          <t>100*((0.45*M)+(0.30*I)+(0.25*O))/5 when O exists; otherwise 100*((0.60*M)+(0.40*I))/5.</t>
        </is>
      </c>
      <c r="N65" s="8" t="inlineStr">
        <is>
          <t>D05 methodology/data owner</t>
        </is>
      </c>
      <c r="O65" s="8" t="inlineStr">
        <is>
          <t>PROVISIONAL—pilot validation required</t>
        </is>
      </c>
    </row>
    <row r="66">
      <c r="A66" s="8" t="inlineStr">
        <is>
          <t>D05</t>
        </is>
      </c>
      <c r="B66" s="8" t="inlineStr">
        <is>
          <t>I12</t>
        </is>
      </c>
      <c r="C66" s="8" t="inlineStr">
        <is>
          <t>Faculty Adoption Learning Loop</t>
        </is>
      </c>
      <c r="D66" s="8" t="inlineStr">
        <is>
          <t>Institution learns from adoption, resistance, failure and emerging practice</t>
        </is>
      </c>
      <c r="E66" s="8" t="inlineStr">
        <is>
          <t>Anchor 0–5 from domain-specific maturity anchor using direct sampled practice/work evidence; do not infer maturity from policy statements alone.</t>
        </is>
      </c>
      <c r="F66" s="8" t="inlineStr">
        <is>
          <t>0–5: 0 absent; 1 isolated/person-dependent; 2 repeatable in limited areas; 3 institutionally structured; 4 broad/cross-functional and consistently operating; 5 continuously improved/scaled.</t>
        </is>
      </c>
      <c r="G66" s="8" t="inlineStr">
        <is>
          <t>Use outcome only when a legitimate measurable result exists; otherwise N/A.</t>
        </is>
      </c>
      <c r="H66" s="8" t="inlineStr">
        <is>
          <t>Only genuine mandate/context inapplicability with documented assessor approval; missing evidence is never N/A.</t>
        </is>
      </c>
      <c r="I66" s="8" t="inlineStr">
        <is>
          <t>—</t>
        </is>
      </c>
      <c r="J66" s="8" t="inlineStr">
        <is>
          <t>E0=0.20; E1=0.40; E2=0.65; E3=0.85; E4=1.00, subject to corroboration/independence adjustment. Report separately.</t>
        </is>
      </c>
      <c r="K66" s="8" t="inlineStr">
        <is>
          <t>No score uplift from claims alone; lock denominator/exclusions before results; sample verification; cross-check with adjacent domains; high scores require corroboration.</t>
        </is>
      </c>
      <c r="L66" s="8" t="inlineStr">
        <is>
          <t>Use primary-owner rule; shared evidence may validate multiple metrics but the same activity cannot be scored twice across domains.</t>
        </is>
      </c>
      <c r="M66" s="8" t="inlineStr">
        <is>
          <t>100*((0.45*M)+(0.30*I)+(0.25*O))/5 when O exists; otherwise 100*((0.60*M)+(0.40*I))/5.</t>
        </is>
      </c>
      <c r="N66" s="8" t="inlineStr">
        <is>
          <t>D05 methodology/data owner</t>
        </is>
      </c>
      <c r="O66" s="8" t="inlineStr">
        <is>
          <t>PROVISIONAL—pilot validation required</t>
        </is>
      </c>
    </row>
    <row r="67">
      <c r="A67" s="8" t="inlineStr">
        <is>
          <t>D06</t>
        </is>
      </c>
      <c r="B67" s="8" t="inlineStr">
        <is>
          <t>I01</t>
        </is>
      </c>
      <c r="C67" s="8" t="inlineStr">
        <is>
          <t>Student AI Literacy</t>
        </is>
      </c>
      <c r="D67" s="8" t="inlineStr">
        <is>
          <t>Students understand capabilities, limits, responsible use and verification</t>
        </is>
      </c>
      <c r="E67" s="8" t="inlineStr">
        <is>
          <t>Anchor 0–5 from domain-specific maturity anchor using direct sampled practice/work evidence; do not infer maturity from policy statements alone.</t>
        </is>
      </c>
      <c r="F67" s="8" t="inlineStr">
        <is>
          <t>0–5: 0 absent; 1 isolated/person-dependent; 2 repeatable in limited areas; 3 institutionally structured; 4 broad/cross-functional and consistently operating; 5 continuously improved/scaled.</t>
        </is>
      </c>
      <c r="G67" s="8" t="inlineStr">
        <is>
          <t>Use outcome only when a legitimate measurable result exists; otherwise N/A.</t>
        </is>
      </c>
      <c r="H67" s="8" t="inlineStr">
        <is>
          <t>Only genuine mandate/context inapplicability with documented assessor approval; missing evidence is never N/A.</t>
        </is>
      </c>
      <c r="I67" s="8" t="inlineStr">
        <is>
          <t>—</t>
        </is>
      </c>
      <c r="J67" s="8" t="inlineStr">
        <is>
          <t>E0=0.20; E1=0.40; E2=0.65; E3=0.85; E4=1.00, subject to corroboration/independence adjustment. Report separately.</t>
        </is>
      </c>
      <c r="K67" s="8" t="inlineStr">
        <is>
          <t>No score uplift from claims alone; lock denominator/exclusions before results; sample verification; cross-check with adjacent domains; high scores require corroboration.</t>
        </is>
      </c>
      <c r="L67" s="8" t="inlineStr">
        <is>
          <t>Use primary-owner rule; shared evidence may validate multiple metrics but the same activity cannot be scored twice across domains.</t>
        </is>
      </c>
      <c r="M67" s="8" t="inlineStr">
        <is>
          <t>100*((0.45*M)+(0.30*I)+(0.25*O))/5 when O exists; otherwise 100*((0.60*M)+(0.40*I))/5.</t>
        </is>
      </c>
      <c r="N67" s="8" t="inlineStr">
        <is>
          <t>D06 methodology/data owner</t>
        </is>
      </c>
      <c r="O67" s="8" t="inlineStr">
        <is>
          <t>PROVISIONAL—pilot validation required</t>
        </is>
      </c>
    </row>
    <row r="68">
      <c r="A68" s="8" t="inlineStr">
        <is>
          <t>D06</t>
        </is>
      </c>
      <c r="B68" s="8" t="inlineStr">
        <is>
          <t>I02</t>
        </is>
      </c>
      <c r="C68" s="8" t="inlineStr">
        <is>
          <t>Critical AI Evaluation</t>
        </is>
      </c>
      <c r="D68" s="8" t="inlineStr">
        <is>
          <t>Students can interrogate, verify and challenge AI outputs</t>
        </is>
      </c>
      <c r="E68" s="8" t="inlineStr">
        <is>
          <t>Anchor 0–5 from domain-specific maturity anchor using direct sampled practice/work evidence; do not infer maturity from policy statements alone.</t>
        </is>
      </c>
      <c r="F68" s="8" t="inlineStr">
        <is>
          <t>0–5: 0 absent; 1 isolated/person-dependent; 2 repeatable in limited areas; 3 institutionally structured; 4 broad/cross-functional and consistently operating; 5 continuously improved/scaled.</t>
        </is>
      </c>
      <c r="G68" s="8" t="inlineStr">
        <is>
          <t>Use outcome only when a legitimate measurable result exists; otherwise N/A.</t>
        </is>
      </c>
      <c r="H68" s="8" t="inlineStr">
        <is>
          <t>Only genuine mandate/context inapplicability with documented assessor approval; missing evidence is never N/A.</t>
        </is>
      </c>
      <c r="I68" s="8" t="inlineStr">
        <is>
          <t>—</t>
        </is>
      </c>
      <c r="J68" s="8" t="inlineStr">
        <is>
          <t>E0=0.20; E1=0.40; E2=0.65; E3=0.85; E4=1.00, subject to corroboration/independence adjustment. Report separately.</t>
        </is>
      </c>
      <c r="K68" s="8" t="inlineStr">
        <is>
          <t>No score uplift from claims alone; lock denominator/exclusions before results; sample verification; cross-check with adjacent domains; high scores require corroboration.</t>
        </is>
      </c>
      <c r="L68" s="8" t="inlineStr">
        <is>
          <t>Use primary-owner rule; shared evidence may validate multiple metrics but the same activity cannot be scored twice across domains.</t>
        </is>
      </c>
      <c r="M68" s="8" t="inlineStr">
        <is>
          <t>100*((0.45*M)+(0.30*I)+(0.25*O))/5 when O exists; otherwise 100*((0.60*M)+(0.40*I))/5.</t>
        </is>
      </c>
      <c r="N68" s="8" t="inlineStr">
        <is>
          <t>D06 methodology/data owner</t>
        </is>
      </c>
      <c r="O68" s="8" t="inlineStr">
        <is>
          <t>PROVISIONAL—pilot validation required</t>
        </is>
      </c>
    </row>
    <row r="69">
      <c r="A69" s="8" t="inlineStr">
        <is>
          <t>D06</t>
        </is>
      </c>
      <c r="B69" s="8" t="inlineStr">
        <is>
          <t>I03</t>
        </is>
      </c>
      <c r="C69" s="8" t="inlineStr">
        <is>
          <t>Learning Agency</t>
        </is>
      </c>
      <c r="D69" s="8" t="inlineStr">
        <is>
          <t>Students use AI to extend learning without surrendering intellectual responsibility</t>
        </is>
      </c>
      <c r="E69" s="8" t="inlineStr">
        <is>
          <t>Anchor 0–5 from domain-specific maturity anchor using direct sampled practice/work evidence; do not infer maturity from policy statements alone.</t>
        </is>
      </c>
      <c r="F69" s="8" t="inlineStr">
        <is>
          <t>0–5: 0 absent; 1 isolated/person-dependent; 2 repeatable in limited areas; 3 institutionally structured; 4 broad/cross-functional and consistently operating; 5 continuously improved/scaled.</t>
        </is>
      </c>
      <c r="G69" s="8" t="inlineStr">
        <is>
          <t>Use outcome only when a legitimate measurable result exists; otherwise N/A.</t>
        </is>
      </c>
      <c r="H69" s="8" t="inlineStr">
        <is>
          <t>Only genuine mandate/context inapplicability with documented assessor approval; missing evidence is never N/A.</t>
        </is>
      </c>
      <c r="I69" s="8" t="inlineStr">
        <is>
          <t>—</t>
        </is>
      </c>
      <c r="J69" s="8" t="inlineStr">
        <is>
          <t>E0=0.20; E1=0.40; E2=0.65; E3=0.85; E4=1.00, subject to corroboration/independence adjustment. Report separately.</t>
        </is>
      </c>
      <c r="K69" s="8" t="inlineStr">
        <is>
          <t>No score uplift from claims alone; lock denominator/exclusions before results; sample verification; cross-check with adjacent domains; high scores require corroboration.</t>
        </is>
      </c>
      <c r="L69" s="8" t="inlineStr">
        <is>
          <t>Use primary-owner rule; shared evidence may validate multiple metrics but the same activity cannot be scored twice across domains.</t>
        </is>
      </c>
      <c r="M69" s="8" t="inlineStr">
        <is>
          <t>100*((0.45*M)+(0.30*I)+(0.25*O))/5 when O exists; otherwise 100*((0.60*M)+(0.40*I))/5.</t>
        </is>
      </c>
      <c r="N69" s="8" t="inlineStr">
        <is>
          <t>D06 methodology/data owner</t>
        </is>
      </c>
      <c r="O69" s="8" t="inlineStr">
        <is>
          <t>PROVISIONAL—pilot validation required</t>
        </is>
      </c>
    </row>
    <row r="70">
      <c r="A70" s="8" t="inlineStr">
        <is>
          <t>D06</t>
        </is>
      </c>
      <c r="B70" s="8" t="inlineStr">
        <is>
          <t>I04</t>
        </is>
      </c>
      <c r="C70" s="8" t="inlineStr">
        <is>
          <t>Independent Intellectual Agency</t>
        </is>
      </c>
      <c r="D70" s="8" t="inlineStr">
        <is>
          <t>Students can formulate positions, questions and solutions independently</t>
        </is>
      </c>
      <c r="E70" s="8" t="inlineStr">
        <is>
          <t>Anchor 0–5 from domain-specific maturity anchor using direct sampled practice/work evidence; do not infer maturity from policy statements alone.</t>
        </is>
      </c>
      <c r="F70" s="8" t="inlineStr">
        <is>
          <t>0–5: 0 absent; 1 isolated/person-dependent; 2 repeatable in limited areas; 3 institutionally structured; 4 broad/cross-functional and consistently operating; 5 continuously improved/scaled.</t>
        </is>
      </c>
      <c r="G70" s="8" t="inlineStr">
        <is>
          <t>Use outcome only when a legitimate measurable result exists; otherwise N/A.</t>
        </is>
      </c>
      <c r="H70" s="8" t="inlineStr">
        <is>
          <t>Only genuine mandate/context inapplicability with documented assessor approval; missing evidence is never N/A.</t>
        </is>
      </c>
      <c r="I70" s="8" t="inlineStr">
        <is>
          <t>—</t>
        </is>
      </c>
      <c r="J70" s="8" t="inlineStr">
        <is>
          <t>E0=0.20; E1=0.40; E2=0.65; E3=0.85; E4=1.00, subject to corroboration/independence adjustment. Report separately.</t>
        </is>
      </c>
      <c r="K70" s="8" t="inlineStr">
        <is>
          <t>No score uplift from claims alone; lock denominator/exclusions before results; sample verification; cross-check with adjacent domains; high scores require corroboration.</t>
        </is>
      </c>
      <c r="L70" s="8" t="inlineStr">
        <is>
          <t>Use primary-owner rule; shared evidence may validate multiple metrics but the same activity cannot be scored twice across domains.</t>
        </is>
      </c>
      <c r="M70" s="8" t="inlineStr">
        <is>
          <t>100*((0.45*M)+(0.30*I)+(0.25*O))/5 when O exists; otherwise 100*((0.60*M)+(0.40*I))/5.</t>
        </is>
      </c>
      <c r="N70" s="8" t="inlineStr">
        <is>
          <t>D06 methodology/data owner</t>
        </is>
      </c>
      <c r="O70" s="8" t="inlineStr">
        <is>
          <t>PROVISIONAL—pilot validation required</t>
        </is>
      </c>
    </row>
    <row r="71">
      <c r="A71" s="8" t="inlineStr">
        <is>
          <t>D06</t>
        </is>
      </c>
      <c r="B71" s="8" t="inlineStr">
        <is>
          <t>I05</t>
        </is>
      </c>
      <c r="C71" s="8" t="inlineStr">
        <is>
          <t>Communication &amp; Defence</t>
        </is>
      </c>
      <c r="D71" s="8" t="inlineStr">
        <is>
          <t>Students can explain and defend their reasoning, sources and decisions</t>
        </is>
      </c>
      <c r="E71" s="8" t="inlineStr">
        <is>
          <t>Anchor 0–5 from domain-specific maturity anchor using direct sampled practice/work evidence; do not infer maturity from policy statements alone.</t>
        </is>
      </c>
      <c r="F71" s="8" t="inlineStr">
        <is>
          <t>0–5: 0 absent; 1 isolated/person-dependent; 2 repeatable in limited areas; 3 institutionally structured; 4 broad/cross-functional and consistently operating; 5 continuously improved/scaled.</t>
        </is>
      </c>
      <c r="G71" s="8" t="inlineStr">
        <is>
          <t>Use outcome only when a legitimate measurable result exists; otherwise N/A.</t>
        </is>
      </c>
      <c r="H71" s="8" t="inlineStr">
        <is>
          <t>Only genuine mandate/context inapplicability with documented assessor approval; missing evidence is never N/A.</t>
        </is>
      </c>
      <c r="I71" s="8" t="inlineStr">
        <is>
          <t>—</t>
        </is>
      </c>
      <c r="J71" s="8" t="inlineStr">
        <is>
          <t>E0=0.20; E1=0.40; E2=0.65; E3=0.85; E4=1.00, subject to corroboration/independence adjustment. Report separately.</t>
        </is>
      </c>
      <c r="K71" s="8" t="inlineStr">
        <is>
          <t>No score uplift from claims alone; lock denominator/exclusions before results; sample verification; cross-check with adjacent domains; high scores require corroboration.</t>
        </is>
      </c>
      <c r="L71" s="8" t="inlineStr">
        <is>
          <t>Use primary-owner rule; shared evidence may validate multiple metrics but the same activity cannot be scored twice across domains.</t>
        </is>
      </c>
      <c r="M71" s="8" t="inlineStr">
        <is>
          <t>100*((0.45*M)+(0.30*I)+(0.25*O))/5 when O exists; otherwise 100*((0.60*M)+(0.40*I))/5.</t>
        </is>
      </c>
      <c r="N71" s="8" t="inlineStr">
        <is>
          <t>D06 methodology/data owner</t>
        </is>
      </c>
      <c r="O71" s="8" t="inlineStr">
        <is>
          <t>PROVISIONAL—pilot validation required</t>
        </is>
      </c>
    </row>
    <row r="72">
      <c r="A72" s="8" t="inlineStr">
        <is>
          <t>D06</t>
        </is>
      </c>
      <c r="B72" s="8" t="inlineStr">
        <is>
          <t>I06</t>
        </is>
      </c>
      <c r="C72" s="8" t="inlineStr">
        <is>
          <t>Collaboration Capability</t>
        </is>
      </c>
      <c r="D72" s="8" t="inlineStr">
        <is>
          <t>Students collaborate with people and AI appropriately</t>
        </is>
      </c>
      <c r="E72" s="8" t="inlineStr">
        <is>
          <t>Anchor 0–5 from domain-specific maturity anchor using direct sampled practice/work evidence; do not infer maturity from policy statements alone.</t>
        </is>
      </c>
      <c r="F72" s="8" t="inlineStr">
        <is>
          <t>0–5: 0 absent; 1 isolated/person-dependent; 2 repeatable in limited areas; 3 institutionally structured; 4 broad/cross-functional and consistently operating; 5 continuously improved/scaled.</t>
        </is>
      </c>
      <c r="G72" s="8" t="inlineStr">
        <is>
          <t>Use outcome only when a legitimate measurable result exists; otherwise N/A.</t>
        </is>
      </c>
      <c r="H72" s="8" t="inlineStr">
        <is>
          <t>Only genuine mandate/context inapplicability with documented assessor approval; missing evidence is never N/A.</t>
        </is>
      </c>
      <c r="I72" s="8" t="inlineStr">
        <is>
          <t>—</t>
        </is>
      </c>
      <c r="J72" s="8" t="inlineStr">
        <is>
          <t>E0=0.20; E1=0.40; E2=0.65; E3=0.85; E4=1.00, subject to corroboration/independence adjustment. Report separately.</t>
        </is>
      </c>
      <c r="K72" s="8" t="inlineStr">
        <is>
          <t>No score uplift from claims alone; lock denominator/exclusions before results; sample verification; cross-check with adjacent domains; high scores require corroboration.</t>
        </is>
      </c>
      <c r="L72" s="8" t="inlineStr">
        <is>
          <t>Use primary-owner rule; shared evidence may validate multiple metrics but the same activity cannot be scored twice across domains.</t>
        </is>
      </c>
      <c r="M72" s="8" t="inlineStr">
        <is>
          <t>100*((0.45*M)+(0.30*I)+(0.25*O))/5 when O exists; otherwise 100*((0.60*M)+(0.40*I))/5.</t>
        </is>
      </c>
      <c r="N72" s="8" t="inlineStr">
        <is>
          <t>D06 methodology/data owner</t>
        </is>
      </c>
      <c r="O72" s="8" t="inlineStr">
        <is>
          <t>PROVISIONAL—pilot validation required</t>
        </is>
      </c>
    </row>
    <row r="73">
      <c r="A73" s="8" t="inlineStr">
        <is>
          <t>D06</t>
        </is>
      </c>
      <c r="B73" s="8" t="inlineStr">
        <is>
          <t>I07</t>
        </is>
      </c>
      <c r="C73" s="8" t="inlineStr">
        <is>
          <t>Practical Capability</t>
        </is>
      </c>
      <c r="D73" s="8" t="inlineStr">
        <is>
          <t>Students can act in real or simulated contexts beyond content generation</t>
        </is>
      </c>
      <c r="E73" s="8" t="inlineStr">
        <is>
          <t>Anchor 0–5 from domain-specific maturity anchor using direct sampled practice/work evidence; do not infer maturity from policy statements alone.</t>
        </is>
      </c>
      <c r="F73" s="8" t="inlineStr">
        <is>
          <t>0–5: 0 absent; 1 isolated/person-dependent; 2 repeatable in limited areas; 3 institutionally structured; 4 broad/cross-functional and consistently operating; 5 continuously improved/scaled.</t>
        </is>
      </c>
      <c r="G73" s="8" t="inlineStr">
        <is>
          <t>Use outcome only when a legitimate measurable result exists; otherwise N/A.</t>
        </is>
      </c>
      <c r="H73" s="8" t="inlineStr">
        <is>
          <t>Only genuine mandate/context inapplicability with documented assessor approval; missing evidence is never N/A.</t>
        </is>
      </c>
      <c r="I73" s="8" t="inlineStr">
        <is>
          <t>—</t>
        </is>
      </c>
      <c r="J73" s="8" t="inlineStr">
        <is>
          <t>E0=0.20; E1=0.40; E2=0.65; E3=0.85; E4=1.00, subject to corroboration/independence adjustment. Report separately.</t>
        </is>
      </c>
      <c r="K73" s="8" t="inlineStr">
        <is>
          <t>No score uplift from claims alone; lock denominator/exclusions before results; sample verification; cross-check with adjacent domains; high scores require corroboration.</t>
        </is>
      </c>
      <c r="L73" s="8" t="inlineStr">
        <is>
          <t>Use primary-owner rule; shared evidence may validate multiple metrics but the same activity cannot be scored twice across domains.</t>
        </is>
      </c>
      <c r="M73" s="8" t="inlineStr">
        <is>
          <t>100*((0.45*M)+(0.30*I)+(0.25*O))/5 when O exists; otherwise 100*((0.60*M)+(0.40*I))/5.</t>
        </is>
      </c>
      <c r="N73" s="8" t="inlineStr">
        <is>
          <t>D06 methodology/data owner</t>
        </is>
      </c>
      <c r="O73" s="8" t="inlineStr">
        <is>
          <t>PROVISIONAL—pilot validation required</t>
        </is>
      </c>
    </row>
    <row r="74">
      <c r="A74" s="8" t="inlineStr">
        <is>
          <t>D06</t>
        </is>
      </c>
      <c r="B74" s="8" t="inlineStr">
        <is>
          <t>I08</t>
        </is>
      </c>
      <c r="C74" s="8" t="inlineStr">
        <is>
          <t>Career Adaptability</t>
        </is>
      </c>
      <c r="D74" s="8" t="inlineStr">
        <is>
          <t>Students can interpret changing work requirements and update capabilities</t>
        </is>
      </c>
      <c r="E74" s="8" t="inlineStr">
        <is>
          <t>Anchor 0–5 from domain-specific maturity anchor using direct sampled practice/work evidence; do not infer maturity from policy statements alone.</t>
        </is>
      </c>
      <c r="F74" s="8" t="inlineStr">
        <is>
          <t>0–5: 0 absent; 1 isolated/person-dependent; 2 repeatable in limited areas; 3 institutionally structured; 4 broad/cross-functional and consistently operating; 5 continuously improved/scaled.</t>
        </is>
      </c>
      <c r="G74" s="8" t="inlineStr">
        <is>
          <t>Use outcome only when a legitimate measurable result exists; otherwise N/A.</t>
        </is>
      </c>
      <c r="H74" s="8" t="inlineStr">
        <is>
          <t>Only genuine mandate/context inapplicability with documented assessor approval; missing evidence is never N/A.</t>
        </is>
      </c>
      <c r="I74" s="8" t="inlineStr">
        <is>
          <t>—</t>
        </is>
      </c>
      <c r="J74" s="8" t="inlineStr">
        <is>
          <t>E0=0.20; E1=0.40; E2=0.65; E3=0.85; E4=1.00, subject to corroboration/independence adjustment. Report separately.</t>
        </is>
      </c>
      <c r="K74" s="8" t="inlineStr">
        <is>
          <t>No score uplift from claims alone; lock denominator/exclusions before results; sample verification; cross-check with adjacent domains; high scores require corroboration.</t>
        </is>
      </c>
      <c r="L74" s="8" t="inlineStr">
        <is>
          <t>Use primary-owner rule; shared evidence may validate multiple metrics but the same activity cannot be scored twice across domains.</t>
        </is>
      </c>
      <c r="M74" s="8" t="inlineStr">
        <is>
          <t>100*((0.45*M)+(0.30*I)+(0.25*O))/5 when O exists; otherwise 100*((0.60*M)+(0.40*I))/5.</t>
        </is>
      </c>
      <c r="N74" s="8" t="inlineStr">
        <is>
          <t>D06 methodology/data owner</t>
        </is>
      </c>
      <c r="O74" s="8" t="inlineStr">
        <is>
          <t>PROVISIONAL—pilot validation required</t>
        </is>
      </c>
    </row>
    <row r="75">
      <c r="A75" s="8" t="inlineStr">
        <is>
          <t>D06</t>
        </is>
      </c>
      <c r="B75" s="8" t="inlineStr">
        <is>
          <t>I09</t>
        </is>
      </c>
      <c r="C75" s="8" t="inlineStr">
        <is>
          <t>Portfolio &amp; Capability Signalling</t>
        </is>
      </c>
      <c r="D75" s="8" t="inlineStr">
        <is>
          <t>Students can show credible evidence of what they can do</t>
        </is>
      </c>
      <c r="E75" s="8" t="inlineStr">
        <is>
          <t>Anchor 0–5 from domain-specific maturity anchor using direct sampled practice/work evidence; do not infer maturity from policy statements alone.</t>
        </is>
      </c>
      <c r="F75" s="8" t="inlineStr">
        <is>
          <t>0–5: 0 absent; 1 isolated/person-dependent; 2 repeatable in limited areas; 3 institutionally structured; 4 broad/cross-functional and consistently operating; 5 continuously improved/scaled.</t>
        </is>
      </c>
      <c r="G75" s="8" t="inlineStr">
        <is>
          <t>Use outcome only when a legitimate measurable result exists; otherwise N/A.</t>
        </is>
      </c>
      <c r="H75" s="8" t="inlineStr">
        <is>
          <t>Only genuine mandate/context inapplicability with documented assessor approval; missing evidence is never N/A.</t>
        </is>
      </c>
      <c r="I75" s="8" t="inlineStr">
        <is>
          <t>—</t>
        </is>
      </c>
      <c r="J75" s="8" t="inlineStr">
        <is>
          <t>E0=0.20; E1=0.40; E2=0.65; E3=0.85; E4=1.00, subject to corroboration/independence adjustment. Report separately.</t>
        </is>
      </c>
      <c r="K75" s="8" t="inlineStr">
        <is>
          <t>No score uplift from claims alone; lock denominator/exclusions before results; sample verification; cross-check with adjacent domains; high scores require corroboration.</t>
        </is>
      </c>
      <c r="L75" s="8" t="inlineStr">
        <is>
          <t>Use primary-owner rule; shared evidence may validate multiple metrics but the same activity cannot be scored twice across domains.</t>
        </is>
      </c>
      <c r="M75" s="8" t="inlineStr">
        <is>
          <t>100*((0.45*M)+(0.30*I)+(0.25*O))/5 when O exists; otherwise 100*((0.60*M)+(0.40*I))/5.</t>
        </is>
      </c>
      <c r="N75" s="8" t="inlineStr">
        <is>
          <t>D06 methodology/data owner</t>
        </is>
      </c>
      <c r="O75" s="8" t="inlineStr">
        <is>
          <t>PROVISIONAL—pilot validation required</t>
        </is>
      </c>
    </row>
    <row r="76">
      <c r="A76" s="8" t="inlineStr">
        <is>
          <t>D06</t>
        </is>
      </c>
      <c r="B76" s="8" t="inlineStr">
        <is>
          <t>I10</t>
        </is>
      </c>
      <c r="C76" s="8" t="inlineStr">
        <is>
          <t>Problem Solving &amp; Transfer</t>
        </is>
      </c>
      <c r="D76" s="8" t="inlineStr">
        <is>
          <t>Students apply learning to unfamiliar/ambiguous problems</t>
        </is>
      </c>
      <c r="E76" s="8" t="inlineStr">
        <is>
          <t>Anchor 0–5 from domain-specific maturity anchor using direct sampled practice/work evidence; do not infer maturity from policy statements alone.</t>
        </is>
      </c>
      <c r="F76" s="8" t="inlineStr">
        <is>
          <t>0–5: 0 absent; 1 isolated/person-dependent; 2 repeatable in limited areas; 3 institutionally structured; 4 broad/cross-functional and consistently operating; 5 continuously improved/scaled.</t>
        </is>
      </c>
      <c r="G76" s="8" t="inlineStr">
        <is>
          <t>Use outcome only when a legitimate measurable result exists; otherwise N/A.</t>
        </is>
      </c>
      <c r="H76" s="8" t="inlineStr">
        <is>
          <t>Only genuine mandate/context inapplicability with documented assessor approval; missing evidence is never N/A.</t>
        </is>
      </c>
      <c r="I76" s="8" t="inlineStr">
        <is>
          <t>—</t>
        </is>
      </c>
      <c r="J76" s="8" t="inlineStr">
        <is>
          <t>E0=0.20; E1=0.40; E2=0.65; E3=0.85; E4=1.00, subject to corroboration/independence adjustment. Report separately.</t>
        </is>
      </c>
      <c r="K76" s="8" t="inlineStr">
        <is>
          <t>No score uplift from claims alone; lock denominator/exclusions before results; sample verification; cross-check with adjacent domains; high scores require corroboration.</t>
        </is>
      </c>
      <c r="L76" s="8" t="inlineStr">
        <is>
          <t>Use primary-owner rule; shared evidence may validate multiple metrics but the same activity cannot be scored twice across domains.</t>
        </is>
      </c>
      <c r="M76" s="8" t="inlineStr">
        <is>
          <t>100*((0.45*M)+(0.30*I)+(0.25*O))/5 when O exists; otherwise 100*((0.60*M)+(0.40*I))/5.</t>
        </is>
      </c>
      <c r="N76" s="8" t="inlineStr">
        <is>
          <t>D06 methodology/data owner</t>
        </is>
      </c>
      <c r="O76" s="8" t="inlineStr">
        <is>
          <t>PROVISIONAL—pilot validation required</t>
        </is>
      </c>
    </row>
    <row r="77">
      <c r="A77" s="8" t="inlineStr">
        <is>
          <t>D06</t>
        </is>
      </c>
      <c r="B77" s="8" t="inlineStr">
        <is>
          <t>I11</t>
        </is>
      </c>
      <c r="C77" s="8" t="inlineStr">
        <is>
          <t>Creator &amp; Entrepreneurial Agency</t>
        </is>
      </c>
      <c r="D77" s="8" t="inlineStr">
        <is>
          <t>Students use AI to create, prototype, innovate or build value</t>
        </is>
      </c>
      <c r="E77" s="8" t="inlineStr">
        <is>
          <t>Anchor 0–5 from domain-specific maturity anchor using direct sampled practice/work evidence; do not infer maturity from policy statements alone.</t>
        </is>
      </c>
      <c r="F77" s="8" t="inlineStr">
        <is>
          <t>0–5: 0 absent; 1 isolated/person-dependent; 2 repeatable in limited areas; 3 institutionally structured; 4 broad/cross-functional and consistently operating; 5 continuously improved/scaled.</t>
        </is>
      </c>
      <c r="G77" s="8" t="inlineStr">
        <is>
          <t>Use outcome only when a legitimate measurable result exists; otherwise N/A.</t>
        </is>
      </c>
      <c r="H77" s="8" t="inlineStr">
        <is>
          <t>Only genuine mandate/context inapplicability with documented assessor approval; missing evidence is never N/A.</t>
        </is>
      </c>
      <c r="I77" s="8" t="inlineStr">
        <is>
          <t>—</t>
        </is>
      </c>
      <c r="J77" s="8" t="inlineStr">
        <is>
          <t>E0=0.20; E1=0.40; E2=0.65; E3=0.85; E4=1.00, subject to corroboration/independence adjustment. Report separately.</t>
        </is>
      </c>
      <c r="K77" s="8" t="inlineStr">
        <is>
          <t>No score uplift from claims alone; lock denominator/exclusions before results; sample verification; cross-check with adjacent domains; high scores require corroboration.</t>
        </is>
      </c>
      <c r="L77" s="8" t="inlineStr">
        <is>
          <t>Use primary-owner rule; shared evidence may validate multiple metrics but the same activity cannot be scored twice across domains.</t>
        </is>
      </c>
      <c r="M77" s="8" t="inlineStr">
        <is>
          <t>100*((0.45*M)+(0.30*I)+(0.25*O))/5 when O exists; otherwise 100*((0.60*M)+(0.40*I))/5.</t>
        </is>
      </c>
      <c r="N77" s="8" t="inlineStr">
        <is>
          <t>D06 methodology/data owner</t>
        </is>
      </c>
      <c r="O77" s="8" t="inlineStr">
        <is>
          <t>PROVISIONAL—pilot validation required</t>
        </is>
      </c>
    </row>
    <row r="78">
      <c r="A78" s="8" t="inlineStr">
        <is>
          <t>D06</t>
        </is>
      </c>
      <c r="B78" s="8" t="inlineStr">
        <is>
          <t>I12</t>
        </is>
      </c>
      <c r="C78" s="8" t="inlineStr">
        <is>
          <t>Digital Citizenship &amp; Responsible Use</t>
        </is>
      </c>
      <c r="D78" s="8" t="inlineStr">
        <is>
          <t>Students understand privacy, IP, bias, integrity and social consequences</t>
        </is>
      </c>
      <c r="E78" s="8" t="inlineStr">
        <is>
          <t>Anchor 0–5 from domain-specific maturity anchor using direct sampled practice/work evidence; do not infer maturity from policy statements alone.</t>
        </is>
      </c>
      <c r="F78" s="8" t="inlineStr">
        <is>
          <t>0–5: 0 absent; 1 isolated/person-dependent; 2 repeatable in limited areas; 3 institutionally structured; 4 broad/cross-functional and consistently operating; 5 continuously improved/scaled.</t>
        </is>
      </c>
      <c r="G78" s="8" t="inlineStr">
        <is>
          <t>Use outcome only when a legitimate measurable result exists; otherwise N/A.</t>
        </is>
      </c>
      <c r="H78" s="8" t="inlineStr">
        <is>
          <t>Only genuine mandate/context inapplicability with documented assessor approval; missing evidence is never N/A.</t>
        </is>
      </c>
      <c r="I78" s="8" t="inlineStr">
        <is>
          <t>—</t>
        </is>
      </c>
      <c r="J78" s="8" t="inlineStr">
        <is>
          <t>E0=0.20; E1=0.40; E2=0.65; E3=0.85; E4=1.00, subject to corroboration/independence adjustment. Report separately.</t>
        </is>
      </c>
      <c r="K78" s="8" t="inlineStr">
        <is>
          <t>No score uplift from claims alone; lock denominator/exclusions before results; sample verification; cross-check with adjacent domains; high scores require corroboration.</t>
        </is>
      </c>
      <c r="L78" s="8" t="inlineStr">
        <is>
          <t>Use primary-owner rule; shared evidence may validate multiple metrics but the same activity cannot be scored twice across domains.</t>
        </is>
      </c>
      <c r="M78" s="8" t="inlineStr">
        <is>
          <t>100*((0.45*M)+(0.30*I)+(0.25*O))/5 when O exists; otherwise 100*((0.60*M)+(0.40*I))/5.</t>
        </is>
      </c>
      <c r="N78" s="8" t="inlineStr">
        <is>
          <t>D06 methodology/data owner</t>
        </is>
      </c>
      <c r="O78" s="8" t="inlineStr">
        <is>
          <t>PROVISIONAL—pilot validation required</t>
        </is>
      </c>
    </row>
    <row r="79">
      <c r="A79" s="8" t="inlineStr">
        <is>
          <t>D06</t>
        </is>
      </c>
      <c r="B79" s="8" t="inlineStr">
        <is>
          <t>I13</t>
        </is>
      </c>
      <c r="C79" s="8" t="inlineStr">
        <is>
          <t>Equitable AI Access</t>
        </is>
      </c>
      <c r="D79" s="8" t="inlineStr">
        <is>
          <t>Institution identifies and mitigates unequal access/capability barriers</t>
        </is>
      </c>
      <c r="E79" s="8" t="inlineStr">
        <is>
          <t>Anchor 0–5 from domain-specific maturity anchor using direct sampled practice/work evidence; do not infer maturity from policy statements alone.</t>
        </is>
      </c>
      <c r="F79" s="8" t="inlineStr">
        <is>
          <t>0–5: 0 absent; 1 isolated/person-dependent; 2 repeatable in limited areas; 3 institutionally structured; 4 broad/cross-functional and consistently operating; 5 continuously improved/scaled.</t>
        </is>
      </c>
      <c r="G79" s="8" t="inlineStr">
        <is>
          <t>Use outcome only when a legitimate measurable result exists; otherwise N/A.</t>
        </is>
      </c>
      <c r="H79" s="8" t="inlineStr">
        <is>
          <t>Only genuine mandate/context inapplicability with documented assessor approval; missing evidence is never N/A.</t>
        </is>
      </c>
      <c r="I79" s="8" t="inlineStr">
        <is>
          <t>—</t>
        </is>
      </c>
      <c r="J79" s="8" t="inlineStr">
        <is>
          <t>E0=0.20; E1=0.40; E2=0.65; E3=0.85; E4=1.00, subject to corroboration/independence adjustment. Report separately.</t>
        </is>
      </c>
      <c r="K79" s="8" t="inlineStr">
        <is>
          <t>No score uplift from claims alone; lock denominator/exclusions before results; sample verification; cross-check with adjacent domains; high scores require corroboration.</t>
        </is>
      </c>
      <c r="L79" s="8" t="inlineStr">
        <is>
          <t>Use primary-owner rule; shared evidence may validate multiple metrics but the same activity cannot be scored twice across domains.</t>
        </is>
      </c>
      <c r="M79" s="8" t="inlineStr">
        <is>
          <t>100*((0.45*M)+(0.30*I)+(0.25*O))/5 when O exists; otherwise 100*((0.60*M)+(0.40*I))/5.</t>
        </is>
      </c>
      <c r="N79" s="8" t="inlineStr">
        <is>
          <t>D06 methodology/data owner</t>
        </is>
      </c>
      <c r="O79" s="8" t="inlineStr">
        <is>
          <t>PROVISIONAL—pilot validation required</t>
        </is>
      </c>
    </row>
    <row r="80">
      <c r="A80" s="8" t="inlineStr">
        <is>
          <t>D06</t>
        </is>
      </c>
      <c r="B80" s="8" t="inlineStr">
        <is>
          <t>I14</t>
        </is>
      </c>
      <c r="C80" s="8" t="inlineStr">
        <is>
          <t>Student Voice &amp; Feedback Loop</t>
        </is>
      </c>
      <c r="D80" s="8" t="inlineStr">
        <is>
          <t>Student experience informs AI-era curriculum and capability design</t>
        </is>
      </c>
      <c r="E80" s="8" t="inlineStr">
        <is>
          <t>Anchor 0–5 from domain-specific maturity anchor using direct sampled practice/work evidence; do not infer maturity from policy statements alone.</t>
        </is>
      </c>
      <c r="F80" s="8" t="inlineStr">
        <is>
          <t>0–5: 0 absent; 1 isolated/person-dependent; 2 repeatable in limited areas; 3 institutionally structured; 4 broad/cross-functional and consistently operating; 5 continuously improved/scaled.</t>
        </is>
      </c>
      <c r="G80" s="8" t="inlineStr">
        <is>
          <t>Use outcome only when a legitimate measurable result exists; otherwise N/A.</t>
        </is>
      </c>
      <c r="H80" s="8" t="inlineStr">
        <is>
          <t>Only genuine mandate/context inapplicability with documented assessor approval; missing evidence is never N/A.</t>
        </is>
      </c>
      <c r="I80" s="8" t="inlineStr">
        <is>
          <t>—</t>
        </is>
      </c>
      <c r="J80" s="8" t="inlineStr">
        <is>
          <t>E0=0.20; E1=0.40; E2=0.65; E3=0.85; E4=1.00, subject to corroboration/independence adjustment. Report separately.</t>
        </is>
      </c>
      <c r="K80" s="8" t="inlineStr">
        <is>
          <t>No score uplift from claims alone; lock denominator/exclusions before results; sample verification; cross-check with adjacent domains; high scores require corroboration.</t>
        </is>
      </c>
      <c r="L80" s="8" t="inlineStr">
        <is>
          <t>Use primary-owner rule; shared evidence may validate multiple metrics but the same activity cannot be scored twice across domains.</t>
        </is>
      </c>
      <c r="M80" s="8" t="inlineStr">
        <is>
          <t>100*((0.45*M)+(0.30*I)+(0.25*O))/5 when O exists; otherwise 100*((0.60*M)+(0.40*I))/5.</t>
        </is>
      </c>
      <c r="N80" s="8" t="inlineStr">
        <is>
          <t>D06 methodology/data owner</t>
        </is>
      </c>
      <c r="O80" s="8" t="inlineStr">
        <is>
          <t>PROVISIONAL—pilot validation required</t>
        </is>
      </c>
    </row>
    <row r="81">
      <c r="A81" s="8" t="inlineStr">
        <is>
          <t>D07</t>
        </is>
      </c>
      <c r="B81" s="8" t="inlineStr">
        <is>
          <t>I01</t>
        </is>
      </c>
      <c r="C81" s="8" t="inlineStr">
        <is>
          <t>Assessment Design Maturity</t>
        </is>
      </c>
      <c r="D81" s="8" t="inlineStr">
        <is>
          <t>Whether assessment is deliberately designed around intended capabilities rather than answer production.</t>
        </is>
      </c>
      <c r="E81" s="8" t="inlineStr">
        <is>
          <t>Anchor 0–5 from domain-specific maturity anchor using direct sampled practice/work evidence; do not infer maturity from policy statements alone.</t>
        </is>
      </c>
      <c r="F81" s="8" t="inlineStr">
        <is>
          <t>0–5: 0 absent; 1 isolated/person-dependent; 2 repeatable in limited areas; 3 institutionally structured; 4 broad/cross-functional and consistently operating; 5 continuously improved/scaled.</t>
        </is>
      </c>
      <c r="G81" s="8" t="inlineStr">
        <is>
          <t>Use outcome only when a legitimate measurable result exists; otherwise N/A.</t>
        </is>
      </c>
      <c r="H81" s="8" t="inlineStr">
        <is>
          <t>Only genuine mandate/context inapplicability with documented assessor approval; missing evidence is never N/A.</t>
        </is>
      </c>
      <c r="I81" s="8" t="inlineStr">
        <is>
          <t>—</t>
        </is>
      </c>
      <c r="J81" s="8" t="inlineStr">
        <is>
          <t>E0=0.20; E1=0.40; E2=0.65; E3=0.85; E4=1.00, subject to corroboration/independence adjustment. Report separately.</t>
        </is>
      </c>
      <c r="K81" s="8" t="inlineStr">
        <is>
          <t>No score uplift from claims alone; lock denominator/exclusions before results; sample verification; cross-check with adjacent domains; high scores require corroboration.</t>
        </is>
      </c>
      <c r="L81" s="8" t="inlineStr">
        <is>
          <t>Use primary-owner rule; shared evidence may validate multiple metrics but the same activity cannot be scored twice across domains.</t>
        </is>
      </c>
      <c r="M81" s="8" t="inlineStr">
        <is>
          <t>100*((0.45*M)+(0.30*I)+(0.25*O))/5 when O exists; otherwise 100*((0.60*M)+(0.40*I))/5.</t>
        </is>
      </c>
      <c r="N81" s="8" t="inlineStr">
        <is>
          <t>D07 methodology/data owner</t>
        </is>
      </c>
      <c r="O81" s="8" t="inlineStr">
        <is>
          <t>PROVISIONAL—pilot validation required</t>
        </is>
      </c>
    </row>
    <row r="82">
      <c r="A82" s="8" t="inlineStr">
        <is>
          <t>D07</t>
        </is>
      </c>
      <c r="B82" s="8" t="inlineStr">
        <is>
          <t>I02</t>
        </is>
      </c>
      <c r="C82" s="8" t="inlineStr">
        <is>
          <t>Cognitive Demonstration Depth</t>
        </is>
      </c>
      <c r="D82" s="8" t="inlineStr">
        <is>
          <t>Extent to which students must demonstrate reasoning, judgement, interpretation and problem-solving.</t>
        </is>
      </c>
      <c r="E82" s="8" t="inlineStr">
        <is>
          <t>Anchor 0–5 from domain-specific maturity anchor using direct sampled practice/work evidence; do not infer maturity from policy statements alone.</t>
        </is>
      </c>
      <c r="F82" s="8" t="inlineStr">
        <is>
          <t>0–5: 0 absent; 1 isolated/person-dependent; 2 repeatable in limited areas; 3 institutionally structured; 4 broad/cross-functional and consistently operating; 5 continuously improved/scaled.</t>
        </is>
      </c>
      <c r="G82" s="8" t="inlineStr">
        <is>
          <t>Use outcome only when a legitimate measurable result exists; otherwise N/A.</t>
        </is>
      </c>
      <c r="H82" s="8" t="inlineStr">
        <is>
          <t>Only genuine mandate/context inapplicability with documented assessor approval; missing evidence is never N/A.</t>
        </is>
      </c>
      <c r="I82" s="8" t="inlineStr">
        <is>
          <t>—</t>
        </is>
      </c>
      <c r="J82" s="8" t="inlineStr">
        <is>
          <t>E0=0.20; E1=0.40; E2=0.65; E3=0.85; E4=1.00, subject to corroboration/independence adjustment. Report separately.</t>
        </is>
      </c>
      <c r="K82" s="8" t="inlineStr">
        <is>
          <t>No score uplift from claims alone; lock denominator/exclusions before results; sample verification; cross-check with adjacent domains; high scores require corroboration.</t>
        </is>
      </c>
      <c r="L82" s="8" t="inlineStr">
        <is>
          <t>Use primary-owner rule; shared evidence may validate multiple metrics but the same activity cannot be scored twice across domains.</t>
        </is>
      </c>
      <c r="M82" s="8" t="inlineStr">
        <is>
          <t>100*((0.45*M)+(0.30*I)+(0.25*O))/5 when O exists; otherwise 100*((0.60*M)+(0.40*I))/5.</t>
        </is>
      </c>
      <c r="N82" s="8" t="inlineStr">
        <is>
          <t>D07 methodology/data owner</t>
        </is>
      </c>
      <c r="O82" s="8" t="inlineStr">
        <is>
          <t>PROVISIONAL—pilot validation required</t>
        </is>
      </c>
    </row>
    <row r="83">
      <c r="A83" s="8" t="inlineStr">
        <is>
          <t>D07</t>
        </is>
      </c>
      <c r="B83" s="8" t="inlineStr">
        <is>
          <t>I03</t>
        </is>
      </c>
      <c r="C83" s="8" t="inlineStr">
        <is>
          <t>Authenticity of Demonstration</t>
        </is>
      </c>
      <c r="D83" s="8" t="inlineStr">
        <is>
          <t>Use of real, unfamiliar, contextual and practice-linked tasks.</t>
        </is>
      </c>
      <c r="E83" s="8" t="inlineStr">
        <is>
          <t>Anchor 0–5 from domain-specific maturity anchor using direct sampled practice/work evidence; do not infer maturity from policy statements alone.</t>
        </is>
      </c>
      <c r="F83" s="8" t="inlineStr">
        <is>
          <t>0–5: 0 absent; 1 isolated/person-dependent; 2 repeatable in limited areas; 3 institutionally structured; 4 broad/cross-functional and consistently operating; 5 continuously improved/scaled.</t>
        </is>
      </c>
      <c r="G83" s="8" t="inlineStr">
        <is>
          <t>Use outcome only when a legitimate measurable result exists; otherwise N/A.</t>
        </is>
      </c>
      <c r="H83" s="8" t="inlineStr">
        <is>
          <t>Only genuine mandate/context inapplicability with documented assessor approval; missing evidence is never N/A.</t>
        </is>
      </c>
      <c r="I83" s="8" t="inlineStr">
        <is>
          <t>—</t>
        </is>
      </c>
      <c r="J83" s="8" t="inlineStr">
        <is>
          <t>E0=0.20; E1=0.40; E2=0.65; E3=0.85; E4=1.00, subject to corroboration/independence adjustment. Report separately.</t>
        </is>
      </c>
      <c r="K83" s="8" t="inlineStr">
        <is>
          <t>No score uplift from claims alone; lock denominator/exclusions before results; sample verification; cross-check with adjacent domains; high scores require corroboration.</t>
        </is>
      </c>
      <c r="L83" s="8" t="inlineStr">
        <is>
          <t>Use primary-owner rule; shared evidence may validate multiple metrics but the same activity cannot be scored twice across domains.</t>
        </is>
      </c>
      <c r="M83" s="8" t="inlineStr">
        <is>
          <t>100*((0.45*M)+(0.30*I)+(0.25*O))/5 when O exists; otherwise 100*((0.60*M)+(0.40*I))/5.</t>
        </is>
      </c>
      <c r="N83" s="8" t="inlineStr">
        <is>
          <t>D07 methodology/data owner</t>
        </is>
      </c>
      <c r="O83" s="8" t="inlineStr">
        <is>
          <t>PROVISIONAL—pilot validation required</t>
        </is>
      </c>
    </row>
    <row r="84">
      <c r="A84" s="8" t="inlineStr">
        <is>
          <t>D07</t>
        </is>
      </c>
      <c r="B84" s="8" t="inlineStr">
        <is>
          <t>I04</t>
        </is>
      </c>
      <c r="C84" s="8" t="inlineStr">
        <is>
          <t>AI-Aware Assessment Maturity</t>
        </is>
      </c>
      <c r="D84" s="8" t="inlineStr">
        <is>
          <t>Extent to which assessment design responds intelligently to generative AI availability.</t>
        </is>
      </c>
      <c r="E84" s="8" t="inlineStr">
        <is>
          <t>Anchor 0–5 from domain-specific maturity anchor using direct sampled practice/work evidence; do not infer maturity from policy statements alone.</t>
        </is>
      </c>
      <c r="F84" s="8" t="inlineStr">
        <is>
          <t>0–5: 0 absent; 1 isolated/person-dependent; 2 repeatable in limited areas; 3 institutionally structured; 4 broad/cross-functional and consistently operating; 5 continuously improved/scaled.</t>
        </is>
      </c>
      <c r="G84" s="8" t="inlineStr">
        <is>
          <t>Use outcome only when a legitimate measurable result exists; otherwise N/A.</t>
        </is>
      </c>
      <c r="H84" s="8" t="inlineStr">
        <is>
          <t>Only genuine mandate/context inapplicability with documented assessor approval; missing evidence is never N/A.</t>
        </is>
      </c>
      <c r="I84" s="8" t="inlineStr">
        <is>
          <t>—</t>
        </is>
      </c>
      <c r="J84" s="8" t="inlineStr">
        <is>
          <t>E0=0.20; E1=0.40; E2=0.65; E3=0.85; E4=1.00, subject to corroboration/independence adjustment. Report separately.</t>
        </is>
      </c>
      <c r="K84" s="8" t="inlineStr">
        <is>
          <t>No score uplift from claims alone; lock denominator/exclusions before results; sample verification; cross-check with adjacent domains; high scores require corroboration.</t>
        </is>
      </c>
      <c r="L84" s="8" t="inlineStr">
        <is>
          <t>Use primary-owner rule; shared evidence may validate multiple metrics but the same activity cannot be scored twice across domains.</t>
        </is>
      </c>
      <c r="M84" s="8" t="inlineStr">
        <is>
          <t>100*((0.45*M)+(0.30*I)+(0.25*O))/5 when O exists; otherwise 100*((0.60*M)+(0.40*I))/5.</t>
        </is>
      </c>
      <c r="N84" s="8" t="inlineStr">
        <is>
          <t>D07 methodology/data owner</t>
        </is>
      </c>
      <c r="O84" s="8" t="inlineStr">
        <is>
          <t>PROVISIONAL—pilot validation required</t>
        </is>
      </c>
    </row>
    <row r="85">
      <c r="A85" s="8" t="inlineStr">
        <is>
          <t>D07</t>
        </is>
      </c>
      <c r="B85" s="8" t="inlineStr">
        <is>
          <t>I05</t>
        </is>
      </c>
      <c r="C85" s="8" t="inlineStr">
        <is>
          <t>Verification &amp; Defence</t>
        </is>
      </c>
      <c r="D85" s="8" t="inlineStr">
        <is>
          <t>Ability of students to explain, defend and interrogate their own work.</t>
        </is>
      </c>
      <c r="E85" s="8" t="inlineStr">
        <is>
          <t>Anchor 0–5 from domain-specific maturity anchor using direct sampled practice/work evidence; do not infer maturity from policy statements alone.</t>
        </is>
      </c>
      <c r="F85" s="8" t="inlineStr">
        <is>
          <t>0–5: 0 absent; 1 isolated/person-dependent; 2 repeatable in limited areas; 3 institutionally structured; 4 broad/cross-functional and consistently operating; 5 continuously improved/scaled.</t>
        </is>
      </c>
      <c r="G85" s="8" t="inlineStr">
        <is>
          <t>Use outcome only when a legitimate measurable result exists; otherwise N/A.</t>
        </is>
      </c>
      <c r="H85" s="8" t="inlineStr">
        <is>
          <t>Only genuine mandate/context inapplicability with documented assessor approval; missing evidence is never N/A.</t>
        </is>
      </c>
      <c r="I85" s="8" t="inlineStr">
        <is>
          <t>—</t>
        </is>
      </c>
      <c r="J85" s="8" t="inlineStr">
        <is>
          <t>E0=0.20; E1=0.40; E2=0.65; E3=0.85; E4=1.00, subject to corroboration/independence adjustment. Report separately.</t>
        </is>
      </c>
      <c r="K85" s="8" t="inlineStr">
        <is>
          <t>No score uplift from claims alone; lock denominator/exclusions before results; sample verification; cross-check with adjacent domains; high scores require corroboration.</t>
        </is>
      </c>
      <c r="L85" s="8" t="inlineStr">
        <is>
          <t>Use primary-owner rule; shared evidence may validate multiple metrics but the same activity cannot be scored twice across domains.</t>
        </is>
      </c>
      <c r="M85" s="8" t="inlineStr">
        <is>
          <t>100*((0.45*M)+(0.30*I)+(0.25*O))/5 when O exists; otherwise 100*((0.60*M)+(0.40*I))/5.</t>
        </is>
      </c>
      <c r="N85" s="8" t="inlineStr">
        <is>
          <t>D07 methodology/data owner</t>
        </is>
      </c>
      <c r="O85" s="8" t="inlineStr">
        <is>
          <t>PROVISIONAL—pilot validation required</t>
        </is>
      </c>
    </row>
    <row r="86">
      <c r="A86" s="8" t="inlineStr">
        <is>
          <t>D07</t>
        </is>
      </c>
      <c r="B86" s="8" t="inlineStr">
        <is>
          <t>I06</t>
        </is>
      </c>
      <c r="C86" s="8" t="inlineStr">
        <is>
          <t>Feedback Intelligence</t>
        </is>
      </c>
      <c r="D86" s="8" t="inlineStr">
        <is>
          <t>Use of feedback to improve capability rather than merely correct answers.</t>
        </is>
      </c>
      <c r="E86" s="8" t="inlineStr">
        <is>
          <t>Anchor 0–5 from domain-specific maturity anchor using direct sampled practice/work evidence; do not infer maturity from policy statements alone.</t>
        </is>
      </c>
      <c r="F86" s="8" t="inlineStr">
        <is>
          <t>0–5: 0 absent; 1 isolated/person-dependent; 2 repeatable in limited areas; 3 institutionally structured; 4 broad/cross-functional and consistently operating; 5 continuously improved/scaled.</t>
        </is>
      </c>
      <c r="G86" s="8" t="inlineStr">
        <is>
          <t>Use outcome only when a legitimate measurable result exists; otherwise N/A.</t>
        </is>
      </c>
      <c r="H86" s="8" t="inlineStr">
        <is>
          <t>Only genuine mandate/context inapplicability with documented assessor approval; missing evidence is never N/A.</t>
        </is>
      </c>
      <c r="I86" s="8" t="inlineStr">
        <is>
          <t>—</t>
        </is>
      </c>
      <c r="J86" s="8" t="inlineStr">
        <is>
          <t>E0=0.20; E1=0.40; E2=0.65; E3=0.85; E4=1.00, subject to corroboration/independence adjustment. Report separately.</t>
        </is>
      </c>
      <c r="K86" s="8" t="inlineStr">
        <is>
          <t>No score uplift from claims alone; lock denominator/exclusions before results; sample verification; cross-check with adjacent domains; high scores require corroboration.</t>
        </is>
      </c>
      <c r="L86" s="8" t="inlineStr">
        <is>
          <t>Use primary-owner rule; shared evidence may validate multiple metrics but the same activity cannot be scored twice across domains.</t>
        </is>
      </c>
      <c r="M86" s="8" t="inlineStr">
        <is>
          <t>100*((0.45*M)+(0.30*I)+(0.25*O))/5 when O exists; otherwise 100*((0.60*M)+(0.40*I))/5.</t>
        </is>
      </c>
      <c r="N86" s="8" t="inlineStr">
        <is>
          <t>D07 methodology/data owner</t>
        </is>
      </c>
      <c r="O86" s="8" t="inlineStr">
        <is>
          <t>PROVISIONAL—pilot validation required</t>
        </is>
      </c>
    </row>
    <row r="87">
      <c r="A87" s="8" t="inlineStr">
        <is>
          <t>D07</t>
        </is>
      </c>
      <c r="B87" s="8" t="inlineStr">
        <is>
          <t>I07</t>
        </is>
      </c>
      <c r="C87" s="8" t="inlineStr">
        <is>
          <t>Evidence of Learning</t>
        </is>
      </c>
      <c r="D87" s="8" t="inlineStr">
        <is>
          <t>Quality of institutional evidence showing that intended learning actually occurred.</t>
        </is>
      </c>
      <c r="E87" s="8" t="inlineStr">
        <is>
          <t>Anchor 0–5 from domain-specific maturity anchor using direct sampled practice/work evidence; do not infer maturity from policy statements alone.</t>
        </is>
      </c>
      <c r="F87" s="8" t="inlineStr">
        <is>
          <t>0–5: 0 absent; 1 isolated/person-dependent; 2 repeatable in limited areas; 3 institutionally structured; 4 broad/cross-functional and consistently operating; 5 continuously improved/scaled.</t>
        </is>
      </c>
      <c r="G87" s="8" t="inlineStr">
        <is>
          <t>Use outcome only when a legitimate measurable result exists; otherwise N/A.</t>
        </is>
      </c>
      <c r="H87" s="8" t="inlineStr">
        <is>
          <t>Only genuine mandate/context inapplicability with documented assessor approval; missing evidence is never N/A.</t>
        </is>
      </c>
      <c r="I87" s="8" t="inlineStr">
        <is>
          <t>—</t>
        </is>
      </c>
      <c r="J87" s="8" t="inlineStr">
        <is>
          <t>E0=0.20; E1=0.40; E2=0.65; E3=0.85; E4=1.00, subject to corroboration/independence adjustment. Report separately.</t>
        </is>
      </c>
      <c r="K87" s="8" t="inlineStr">
        <is>
          <t>No score uplift from claims alone; lock denominator/exclusions before results; sample verification; cross-check with adjacent domains; high scores require corroboration.</t>
        </is>
      </c>
      <c r="L87" s="8" t="inlineStr">
        <is>
          <t>Use primary-owner rule; shared evidence may validate multiple metrics but the same activity cannot be scored twice across domains.</t>
        </is>
      </c>
      <c r="M87" s="8" t="inlineStr">
        <is>
          <t>100*((0.45*M)+(0.30*I)+(0.25*O))/5 when O exists; otherwise 100*((0.60*M)+(0.40*I))/5.</t>
        </is>
      </c>
      <c r="N87" s="8" t="inlineStr">
        <is>
          <t>D07 methodology/data owner</t>
        </is>
      </c>
      <c r="O87" s="8" t="inlineStr">
        <is>
          <t>PROVISIONAL—pilot validation required</t>
        </is>
      </c>
    </row>
    <row r="88">
      <c r="A88" s="8" t="inlineStr">
        <is>
          <t>D07</t>
        </is>
      </c>
      <c r="B88" s="8" t="inlineStr">
        <is>
          <t>I08</t>
        </is>
      </c>
      <c r="C88" s="8" t="inlineStr">
        <is>
          <t>Capability Outcome Measurement</t>
        </is>
      </c>
      <c r="D88" s="8" t="inlineStr">
        <is>
          <t>Extent to which learning outcomes are measured with meaningful evidence.</t>
        </is>
      </c>
      <c r="E88" s="8" t="inlineStr">
        <is>
          <t>Anchor 0–5 from domain-specific maturity anchor using direct sampled practice/work evidence; do not infer maturity from policy statements alone.</t>
        </is>
      </c>
      <c r="F88" s="8" t="inlineStr">
        <is>
          <t>0–5: 0 absent; 1 isolated/person-dependent; 2 repeatable in limited areas; 3 institutionally structured; 4 broad/cross-functional and consistently operating; 5 continuously improved/scaled.</t>
        </is>
      </c>
      <c r="G88" s="8" t="inlineStr">
        <is>
          <t>Use outcome only when a legitimate measurable result exists; otherwise N/A.</t>
        </is>
      </c>
      <c r="H88" s="8" t="inlineStr">
        <is>
          <t>Only genuine mandate/context inapplicability with documented assessor approval; missing evidence is never N/A.</t>
        </is>
      </c>
      <c r="I88" s="8" t="inlineStr">
        <is>
          <t>—</t>
        </is>
      </c>
      <c r="J88" s="8" t="inlineStr">
        <is>
          <t>E0=0.20; E1=0.40; E2=0.65; E3=0.85; E4=1.00, subject to corroboration/independence adjustment. Report separately.</t>
        </is>
      </c>
      <c r="K88" s="8" t="inlineStr">
        <is>
          <t>No score uplift from claims alone; lock denominator/exclusions before results; sample verification; cross-check with adjacent domains; high scores require corroboration.</t>
        </is>
      </c>
      <c r="L88" s="8" t="inlineStr">
        <is>
          <t>Use primary-owner rule; shared evidence may validate multiple metrics but the same activity cannot be scored twice across domains.</t>
        </is>
      </c>
      <c r="M88" s="8" t="inlineStr">
        <is>
          <t>100*((0.45*M)+(0.30*I)+(0.25*O))/5 when O exists; otherwise 100*((0.60*M)+(0.40*I))/5.</t>
        </is>
      </c>
      <c r="N88" s="8" t="inlineStr">
        <is>
          <t>D07 methodology/data owner</t>
        </is>
      </c>
      <c r="O88" s="8" t="inlineStr">
        <is>
          <t>PROVISIONAL—pilot validation required</t>
        </is>
      </c>
    </row>
    <row r="89">
      <c r="A89" s="8" t="inlineStr">
        <is>
          <t>D07</t>
        </is>
      </c>
      <c r="B89" s="8" t="inlineStr">
        <is>
          <t>I09</t>
        </is>
      </c>
      <c r="C89" s="8" t="inlineStr">
        <is>
          <t>Assessment Equity &amp; Access</t>
        </is>
      </c>
      <c r="D89" s="8" t="inlineStr">
        <is>
          <t>Ability to assess capability fairly across diverse student contexts and access conditions.</t>
        </is>
      </c>
      <c r="E89" s="8" t="inlineStr">
        <is>
          <t>Anchor 0–5 from domain-specific maturity anchor using direct sampled practice/work evidence; do not infer maturity from policy statements alone.</t>
        </is>
      </c>
      <c r="F89" s="8" t="inlineStr">
        <is>
          <t>0–5: 0 absent; 1 isolated/person-dependent; 2 repeatable in limited areas; 3 institutionally structured; 4 broad/cross-functional and consistently operating; 5 continuously improved/scaled.</t>
        </is>
      </c>
      <c r="G89" s="8" t="inlineStr">
        <is>
          <t>Use outcome only when a legitimate measurable result exists; otherwise N/A.</t>
        </is>
      </c>
      <c r="H89" s="8" t="inlineStr">
        <is>
          <t>Only genuine mandate/context inapplicability with documented assessor approval; missing evidence is never N/A.</t>
        </is>
      </c>
      <c r="I89" s="8" t="inlineStr">
        <is>
          <t>—</t>
        </is>
      </c>
      <c r="J89" s="8" t="inlineStr">
        <is>
          <t>E0=0.20; E1=0.40; E2=0.65; E3=0.85; E4=1.00, subject to corroboration/independence adjustment. Report separately.</t>
        </is>
      </c>
      <c r="K89" s="8" t="inlineStr">
        <is>
          <t>No score uplift from claims alone; lock denominator/exclusions before results; sample verification; cross-check with adjacent domains; high scores require corroboration.</t>
        </is>
      </c>
      <c r="L89" s="8" t="inlineStr">
        <is>
          <t>Use primary-owner rule; shared evidence may validate multiple metrics but the same activity cannot be scored twice across domains.</t>
        </is>
      </c>
      <c r="M89" s="8" t="inlineStr">
        <is>
          <t>100*((0.45*M)+(0.30*I)+(0.25*O))/5 when O exists; otherwise 100*((0.60*M)+(0.40*I))/5.</t>
        </is>
      </c>
      <c r="N89" s="8" t="inlineStr">
        <is>
          <t>D07 methodology/data owner</t>
        </is>
      </c>
      <c r="O89" s="8" t="inlineStr">
        <is>
          <t>PROVISIONAL—pilot validation required</t>
        </is>
      </c>
    </row>
    <row r="90">
      <c r="A90" s="8" t="inlineStr">
        <is>
          <t>D07</t>
        </is>
      </c>
      <c r="B90" s="8" t="inlineStr">
        <is>
          <t>I10</t>
        </is>
      </c>
      <c r="C90" s="8" t="inlineStr">
        <is>
          <t>Assessment Governance</t>
        </is>
      </c>
      <c r="D90" s="8" t="inlineStr">
        <is>
          <t>Institutional oversight of assessment quality, integrity and consistency.</t>
        </is>
      </c>
      <c r="E90" s="8" t="inlineStr">
        <is>
          <t>Anchor 0–5 from domain-specific maturity anchor using direct sampled practice/work evidence; do not infer maturity from policy statements alone.</t>
        </is>
      </c>
      <c r="F90" s="8" t="inlineStr">
        <is>
          <t>0–5: 0 absent; 1 isolated/person-dependent; 2 repeatable in limited areas; 3 institutionally structured; 4 broad/cross-functional and consistently operating; 5 continuously improved/scaled.</t>
        </is>
      </c>
      <c r="G90" s="8" t="inlineStr">
        <is>
          <t>Use outcome only when a legitimate measurable result exists; otherwise N/A.</t>
        </is>
      </c>
      <c r="H90" s="8" t="inlineStr">
        <is>
          <t>Only genuine mandate/context inapplicability with documented assessor approval; missing evidence is never N/A.</t>
        </is>
      </c>
      <c r="I90" s="8" t="inlineStr">
        <is>
          <t>—</t>
        </is>
      </c>
      <c r="J90" s="8" t="inlineStr">
        <is>
          <t>E0=0.20; E1=0.40; E2=0.65; E3=0.85; E4=1.00, subject to corroboration/independence adjustment. Report separately.</t>
        </is>
      </c>
      <c r="K90" s="8" t="inlineStr">
        <is>
          <t>No score uplift from claims alone; lock denominator/exclusions before results; sample verification; cross-check with adjacent domains; high scores require corroboration.</t>
        </is>
      </c>
      <c r="L90" s="8" t="inlineStr">
        <is>
          <t>Use primary-owner rule; shared evidence may validate multiple metrics but the same activity cannot be scored twice across domains.</t>
        </is>
      </c>
      <c r="M90" s="8" t="inlineStr">
        <is>
          <t>100*((0.45*M)+(0.30*I)+(0.25*O))/5 when O exists; otherwise 100*((0.60*M)+(0.40*I))/5.</t>
        </is>
      </c>
      <c r="N90" s="8" t="inlineStr">
        <is>
          <t>D07 methodology/data owner</t>
        </is>
      </c>
      <c r="O90" s="8" t="inlineStr">
        <is>
          <t>PROVISIONAL—pilot validation required</t>
        </is>
      </c>
    </row>
    <row r="91">
      <c r="A91" s="8" t="inlineStr">
        <is>
          <t>D07</t>
        </is>
      </c>
      <c r="B91" s="8" t="inlineStr">
        <is>
          <t>I11</t>
        </is>
      </c>
      <c r="C91" s="8" t="inlineStr">
        <is>
          <t>Assessment Innovation</t>
        </is>
      </c>
      <c r="D91" s="8" t="inlineStr">
        <is>
          <t>Ability to experiment with and evaluate new assessment models.</t>
        </is>
      </c>
      <c r="E91" s="8" t="inlineStr">
        <is>
          <t>Anchor 0–5 from domain-specific maturity anchor using direct sampled practice/work evidence; do not infer maturity from policy statements alone.</t>
        </is>
      </c>
      <c r="F91" s="8" t="inlineStr">
        <is>
          <t>0–5: 0 absent; 1 isolated/person-dependent; 2 repeatable in limited areas; 3 institutionally structured; 4 broad/cross-functional and consistently operating; 5 continuously improved/scaled.</t>
        </is>
      </c>
      <c r="G91" s="8" t="inlineStr">
        <is>
          <t>Use outcome only when a legitimate measurable result exists; otherwise N/A.</t>
        </is>
      </c>
      <c r="H91" s="8" t="inlineStr">
        <is>
          <t>Only genuine mandate/context inapplicability with documented assessor approval; missing evidence is never N/A.</t>
        </is>
      </c>
      <c r="I91" s="8" t="inlineStr">
        <is>
          <t>—</t>
        </is>
      </c>
      <c r="J91" s="8" t="inlineStr">
        <is>
          <t>E0=0.20; E1=0.40; E2=0.65; E3=0.85; E4=1.00, subject to corroboration/independence adjustment. Report separately.</t>
        </is>
      </c>
      <c r="K91" s="8" t="inlineStr">
        <is>
          <t>No score uplift from claims alone; lock denominator/exclusions before results; sample verification; cross-check with adjacent domains; high scores require corroboration.</t>
        </is>
      </c>
      <c r="L91" s="8" t="inlineStr">
        <is>
          <t>Use primary-owner rule; shared evidence may validate multiple metrics but the same activity cannot be scored twice across domains.</t>
        </is>
      </c>
      <c r="M91" s="8" t="inlineStr">
        <is>
          <t>100*((0.45*M)+(0.30*I)+(0.25*O))/5 when O exists; otherwise 100*((0.60*M)+(0.40*I))/5.</t>
        </is>
      </c>
      <c r="N91" s="8" t="inlineStr">
        <is>
          <t>D07 methodology/data owner</t>
        </is>
      </c>
      <c r="O91" s="8" t="inlineStr">
        <is>
          <t>PROVISIONAL—pilot validation required</t>
        </is>
      </c>
    </row>
    <row r="92">
      <c r="A92" s="8" t="inlineStr">
        <is>
          <t>D07</t>
        </is>
      </c>
      <c r="B92" s="8" t="inlineStr">
        <is>
          <t>I12</t>
        </is>
      </c>
      <c r="C92" s="8" t="inlineStr">
        <is>
          <t>Learning Evidence Analytics</t>
        </is>
      </c>
      <c r="D92" s="8" t="inlineStr">
        <is>
          <t>Use of data to identify capability gaps and improve learning design.</t>
        </is>
      </c>
      <c r="E92" s="8" t="inlineStr">
        <is>
          <t>Anchor 0–5 from domain-specific maturity anchor using direct sampled practice/work evidence; do not infer maturity from policy statements alone.</t>
        </is>
      </c>
      <c r="F92" s="8" t="inlineStr">
        <is>
          <t>0–5: 0 absent; 1 isolated/person-dependent; 2 repeatable in limited areas; 3 institutionally structured; 4 broad/cross-functional and consistently operating; 5 continuously improved/scaled.</t>
        </is>
      </c>
      <c r="G92" s="8" t="inlineStr">
        <is>
          <t>Use outcome only when a legitimate measurable result exists; otherwise N/A.</t>
        </is>
      </c>
      <c r="H92" s="8" t="inlineStr">
        <is>
          <t>Only genuine mandate/context inapplicability with documented assessor approval; missing evidence is never N/A.</t>
        </is>
      </c>
      <c r="I92" s="8" t="inlineStr">
        <is>
          <t>—</t>
        </is>
      </c>
      <c r="J92" s="8" t="inlineStr">
        <is>
          <t>E0=0.20; E1=0.40; E2=0.65; E3=0.85; E4=1.00, subject to corroboration/independence adjustment. Report separately.</t>
        </is>
      </c>
      <c r="K92" s="8" t="inlineStr">
        <is>
          <t>No score uplift from claims alone; lock denominator/exclusions before results; sample verification; cross-check with adjacent domains; high scores require corroboration.</t>
        </is>
      </c>
      <c r="L92" s="8" t="inlineStr">
        <is>
          <t>Use primary-owner rule; shared evidence may validate multiple metrics but the same activity cannot be scored twice across domains.</t>
        </is>
      </c>
      <c r="M92" s="8" t="inlineStr">
        <is>
          <t>100*((0.45*M)+(0.30*I)+(0.25*O))/5 when O exists; otherwise 100*((0.60*M)+(0.40*I))/5.</t>
        </is>
      </c>
      <c r="N92" s="8" t="inlineStr">
        <is>
          <t>D07 methodology/data owner</t>
        </is>
      </c>
      <c r="O92" s="8" t="inlineStr">
        <is>
          <t>PROVISIONAL—pilot validation required</t>
        </is>
      </c>
    </row>
    <row r="93">
      <c r="A93" s="8" t="inlineStr">
        <is>
          <t>D08</t>
        </is>
      </c>
      <c r="B93" s="8" t="inlineStr">
        <is>
          <t>I01</t>
        </is>
      </c>
      <c r="C93" s="8" t="inlineStr">
        <is>
          <t>Digital Environment Readiness</t>
        </is>
      </c>
      <c r="D93" s="8" t="inlineStr">
        <is>
          <t>Suitability of the institutional digital environment for emerging academic and administrative needs.</t>
        </is>
      </c>
      <c r="E93" s="8" t="inlineStr">
        <is>
          <t>Anchor 0–5 from domain-specific maturity anchor using direct sampled practice/work evidence; do not infer maturity from policy statements alone.</t>
        </is>
      </c>
      <c r="F93" s="8" t="inlineStr">
        <is>
          <t>0–5: 0 absent; 1 isolated/person-dependent; 2 repeatable in limited areas; 3 institutionally structured; 4 broad/cross-functional and consistently operating; 5 continuously improved/scaled.</t>
        </is>
      </c>
      <c r="G93" s="8" t="inlineStr">
        <is>
          <t>Use outcome only when a legitimate measurable result exists; otherwise N/A.</t>
        </is>
      </c>
      <c r="H93" s="8" t="inlineStr">
        <is>
          <t>Only genuine mandate/context inapplicability with documented assessor approval; missing evidence is never N/A.</t>
        </is>
      </c>
      <c r="I93" s="8" t="inlineStr">
        <is>
          <t>—</t>
        </is>
      </c>
      <c r="J93" s="8" t="inlineStr">
        <is>
          <t>E0=0.20; E1=0.40; E2=0.65; E3=0.85; E4=1.00, subject to corroboration/independence adjustment. Report separately.</t>
        </is>
      </c>
      <c r="K93" s="8" t="inlineStr">
        <is>
          <t>No score uplift from claims alone; lock denominator/exclusions before results; sample verification; cross-check with adjacent domains; high scores require corroboration.</t>
        </is>
      </c>
      <c r="L93" s="8" t="inlineStr">
        <is>
          <t>Use primary-owner rule; shared evidence may validate multiple metrics but the same activity cannot be scored twice across domains.</t>
        </is>
      </c>
      <c r="M93" s="8" t="inlineStr">
        <is>
          <t>100*((0.45*M)+(0.30*I)+(0.25*O))/5 when O exists; otherwise 100*((0.60*M)+(0.40*I))/5.</t>
        </is>
      </c>
      <c r="N93" s="8" t="inlineStr">
        <is>
          <t>D08 methodology/data owner</t>
        </is>
      </c>
      <c r="O93" s="8" t="inlineStr">
        <is>
          <t>PROVISIONAL—pilot validation required</t>
        </is>
      </c>
    </row>
    <row r="94">
      <c r="A94" s="8" t="inlineStr">
        <is>
          <t>D08</t>
        </is>
      </c>
      <c r="B94" s="8" t="inlineStr">
        <is>
          <t>I02</t>
        </is>
      </c>
      <c r="C94" s="8" t="inlineStr">
        <is>
          <t>Institutional Data Architecture</t>
        </is>
      </c>
      <c r="D94" s="8" t="inlineStr">
        <is>
          <t>Degree to which important institutional data are structured, connected and usable.</t>
        </is>
      </c>
      <c r="E94" s="8" t="inlineStr">
        <is>
          <t>Anchor 0–5 from domain-specific maturity anchor using direct sampled practice/work evidence; do not infer maturity from policy statements alone.</t>
        </is>
      </c>
      <c r="F94" s="8" t="inlineStr">
        <is>
          <t>0–5: 0 absent; 1 isolated/person-dependent; 2 repeatable in limited areas; 3 institutionally structured; 4 broad/cross-functional and consistently operating; 5 continuously improved/scaled.</t>
        </is>
      </c>
      <c r="G94" s="8" t="inlineStr">
        <is>
          <t>Use outcome only when a legitimate measurable result exists; otherwise N/A.</t>
        </is>
      </c>
      <c r="H94" s="8" t="inlineStr">
        <is>
          <t>Only genuine mandate/context inapplicability with documented assessor approval; missing evidence is never N/A.</t>
        </is>
      </c>
      <c r="I94" s="8" t="inlineStr">
        <is>
          <t>—</t>
        </is>
      </c>
      <c r="J94" s="8" t="inlineStr">
        <is>
          <t>E0=0.20; E1=0.40; E2=0.65; E3=0.85; E4=1.00, subject to corroboration/independence adjustment. Report separately.</t>
        </is>
      </c>
      <c r="K94" s="8" t="inlineStr">
        <is>
          <t>No score uplift from claims alone; lock denominator/exclusions before results; sample verification; cross-check with adjacent domains; high scores require corroboration.</t>
        </is>
      </c>
      <c r="L94" s="8" t="inlineStr">
        <is>
          <t>Use primary-owner rule; shared evidence may validate multiple metrics but the same activity cannot be scored twice across domains.</t>
        </is>
      </c>
      <c r="M94" s="8" t="inlineStr">
        <is>
          <t>100*((0.45*M)+(0.30*I)+(0.25*O))/5 when O exists; otherwise 100*((0.60*M)+(0.40*I))/5.</t>
        </is>
      </c>
      <c r="N94" s="8" t="inlineStr">
        <is>
          <t>D08 methodology/data owner</t>
        </is>
      </c>
      <c r="O94" s="8" t="inlineStr">
        <is>
          <t>PROVISIONAL—pilot validation required</t>
        </is>
      </c>
    </row>
    <row r="95">
      <c r="A95" s="8" t="inlineStr">
        <is>
          <t>D08</t>
        </is>
      </c>
      <c r="B95" s="8" t="inlineStr">
        <is>
          <t>I03</t>
        </is>
      </c>
      <c r="C95" s="8" t="inlineStr">
        <is>
          <t>Data Quality &amp; Integrity</t>
        </is>
      </c>
      <c r="D95" s="8" t="inlineStr">
        <is>
          <t>Reliability, completeness, consistency and stewardship of institutional data.</t>
        </is>
      </c>
      <c r="E95" s="8" t="inlineStr">
        <is>
          <t>Anchor 0–5 from domain-specific maturity anchor using direct sampled practice/work evidence; do not infer maturity from policy statements alone.</t>
        </is>
      </c>
      <c r="F95" s="8" t="inlineStr">
        <is>
          <t>0–5: 0 absent; 1 isolated/person-dependent; 2 repeatable in limited areas; 3 institutionally structured; 4 broad/cross-functional and consistently operating; 5 continuously improved/scaled.</t>
        </is>
      </c>
      <c r="G95" s="8" t="inlineStr">
        <is>
          <t>Use outcome only when a legitimate measurable result exists; otherwise N/A.</t>
        </is>
      </c>
      <c r="H95" s="8" t="inlineStr">
        <is>
          <t>Only genuine mandate/context inapplicability with documented assessor approval; missing evidence is never N/A.</t>
        </is>
      </c>
      <c r="I95" s="8" t="inlineStr">
        <is>
          <t>—</t>
        </is>
      </c>
      <c r="J95" s="8" t="inlineStr">
        <is>
          <t>E0=0.20; E1=0.40; E2=0.65; E3=0.85; E4=1.00, subject to corroboration/independence adjustment. Report separately.</t>
        </is>
      </c>
      <c r="K95" s="8" t="inlineStr">
        <is>
          <t>No score uplift from claims alone; lock denominator/exclusions before results; sample verification; cross-check with adjacent domains; high scores require corroboration.</t>
        </is>
      </c>
      <c r="L95" s="8" t="inlineStr">
        <is>
          <t>Use primary-owner rule; shared evidence may validate multiple metrics but the same activity cannot be scored twice across domains.</t>
        </is>
      </c>
      <c r="M95" s="8" t="inlineStr">
        <is>
          <t>100*((0.45*M)+(0.30*I)+(0.25*O))/5 when O exists; otherwise 100*((0.60*M)+(0.40*I))/5.</t>
        </is>
      </c>
      <c r="N95" s="8" t="inlineStr">
        <is>
          <t>D08 methodology/data owner</t>
        </is>
      </c>
      <c r="O95" s="8" t="inlineStr">
        <is>
          <t>PROVISIONAL—pilot validation required</t>
        </is>
      </c>
    </row>
    <row r="96">
      <c r="A96" s="8" t="inlineStr">
        <is>
          <t>D08</t>
        </is>
      </c>
      <c r="B96" s="8" t="inlineStr">
        <is>
          <t>I04</t>
        </is>
      </c>
      <c r="C96" s="8" t="inlineStr">
        <is>
          <t>System Interoperability</t>
        </is>
      </c>
      <c r="D96" s="8" t="inlineStr">
        <is>
          <t>Ability of institutional systems to exchange and use information coherently.</t>
        </is>
      </c>
      <c r="E96" s="8" t="inlineStr">
        <is>
          <t>Anchor 0–5 from domain-specific maturity anchor using direct sampled practice/work evidence; do not infer maturity from policy statements alone.</t>
        </is>
      </c>
      <c r="F96" s="8" t="inlineStr">
        <is>
          <t>0–5: 0 absent; 1 isolated/person-dependent; 2 repeatable in limited areas; 3 institutionally structured; 4 broad/cross-functional and consistently operating; 5 continuously improved/scaled.</t>
        </is>
      </c>
      <c r="G96" s="8" t="inlineStr">
        <is>
          <t>Use outcome only when a legitimate measurable result exists; otherwise N/A.</t>
        </is>
      </c>
      <c r="H96" s="8" t="inlineStr">
        <is>
          <t>Only genuine mandate/context inapplicability with documented assessor approval; missing evidence is never N/A.</t>
        </is>
      </c>
      <c r="I96" s="8" t="inlineStr">
        <is>
          <t>—</t>
        </is>
      </c>
      <c r="J96" s="8" t="inlineStr">
        <is>
          <t>E0=0.20; E1=0.40; E2=0.65; E3=0.85; E4=1.00, subject to corroboration/independence adjustment. Report separately.</t>
        </is>
      </c>
      <c r="K96" s="8" t="inlineStr">
        <is>
          <t>No score uplift from claims alone; lock denominator/exclusions before results; sample verification; cross-check with adjacent domains; high scores require corroboration.</t>
        </is>
      </c>
      <c r="L96" s="8" t="inlineStr">
        <is>
          <t>Use primary-owner rule; shared evidence may validate multiple metrics but the same activity cannot be scored twice across domains.</t>
        </is>
      </c>
      <c r="M96" s="8" t="inlineStr">
        <is>
          <t>100*((0.45*M)+(0.30*I)+(0.25*O))/5 when O exists; otherwise 100*((0.60*M)+(0.40*I))/5.</t>
        </is>
      </c>
      <c r="N96" s="8" t="inlineStr">
        <is>
          <t>D08 methodology/data owner</t>
        </is>
      </c>
      <c r="O96" s="8" t="inlineStr">
        <is>
          <t>PROVISIONAL—pilot validation required</t>
        </is>
      </c>
    </row>
    <row r="97">
      <c r="A97" s="8" t="inlineStr">
        <is>
          <t>D08</t>
        </is>
      </c>
      <c r="B97" s="8" t="inlineStr">
        <is>
          <t>I05</t>
        </is>
      </c>
      <c r="C97" s="8" t="inlineStr">
        <is>
          <t>Decision Intelligence</t>
        </is>
      </c>
      <c r="D97" s="8" t="inlineStr">
        <is>
          <t>Use of institutional data and analytics in leadership and operational decisions.</t>
        </is>
      </c>
      <c r="E97" s="8" t="inlineStr">
        <is>
          <t>Anchor 0–5 from domain-specific maturity anchor using direct sampled practice/work evidence; do not infer maturity from policy statements alone.</t>
        </is>
      </c>
      <c r="F97" s="8" t="inlineStr">
        <is>
          <t>0–5: 0 absent; 1 isolated/person-dependent; 2 repeatable in limited areas; 3 institutionally structured; 4 broad/cross-functional and consistently operating; 5 continuously improved/scaled.</t>
        </is>
      </c>
      <c r="G97" s="8" t="inlineStr">
        <is>
          <t>Use outcome only when a legitimate measurable result exists; otherwise N/A.</t>
        </is>
      </c>
      <c r="H97" s="8" t="inlineStr">
        <is>
          <t>Only genuine mandate/context inapplicability with documented assessor approval; missing evidence is never N/A.</t>
        </is>
      </c>
      <c r="I97" s="8" t="inlineStr">
        <is>
          <t>—</t>
        </is>
      </c>
      <c r="J97" s="8" t="inlineStr">
        <is>
          <t>E0=0.20; E1=0.40; E2=0.65; E3=0.85; E4=1.00, subject to corroboration/independence adjustment. Report separately.</t>
        </is>
      </c>
      <c r="K97" s="8" t="inlineStr">
        <is>
          <t>No score uplift from claims alone; lock denominator/exclusions before results; sample verification; cross-check with adjacent domains; high scores require corroboration.</t>
        </is>
      </c>
      <c r="L97" s="8" t="inlineStr">
        <is>
          <t>Use primary-owner rule; shared evidence may validate multiple metrics but the same activity cannot be scored twice across domains.</t>
        </is>
      </c>
      <c r="M97" s="8" t="inlineStr">
        <is>
          <t>100*((0.45*M)+(0.30*I)+(0.25*O))/5 when O exists; otherwise 100*((0.60*M)+(0.40*I))/5.</t>
        </is>
      </c>
      <c r="N97" s="8" t="inlineStr">
        <is>
          <t>D08 methodology/data owner</t>
        </is>
      </c>
      <c r="O97" s="8" t="inlineStr">
        <is>
          <t>PROVISIONAL—pilot validation required</t>
        </is>
      </c>
    </row>
    <row r="98">
      <c r="A98" s="8" t="inlineStr">
        <is>
          <t>D08</t>
        </is>
      </c>
      <c r="B98" s="8" t="inlineStr">
        <is>
          <t>I06</t>
        </is>
      </c>
      <c r="C98" s="8" t="inlineStr">
        <is>
          <t>AI Enablement Readiness</t>
        </is>
      </c>
      <c r="D98" s="8" t="inlineStr">
        <is>
          <t>Whether infrastructure and data can responsibly support AI-enabled activity.</t>
        </is>
      </c>
      <c r="E98" s="8" t="inlineStr">
        <is>
          <t>Anchor 0–5 from domain-specific maturity anchor using direct sampled practice/work evidence; do not infer maturity from policy statements alone.</t>
        </is>
      </c>
      <c r="F98" s="8" t="inlineStr">
        <is>
          <t>0–5: 0 absent; 1 isolated/person-dependent; 2 repeatable in limited areas; 3 institutionally structured; 4 broad/cross-functional and consistently operating; 5 continuously improved/scaled.</t>
        </is>
      </c>
      <c r="G98" s="8" t="inlineStr">
        <is>
          <t>Use outcome only when a legitimate measurable result exists; otherwise N/A.</t>
        </is>
      </c>
      <c r="H98" s="8" t="inlineStr">
        <is>
          <t>Only genuine mandate/context inapplicability with documented assessor approval; missing evidence is never N/A.</t>
        </is>
      </c>
      <c r="I98" s="8" t="inlineStr">
        <is>
          <t>—</t>
        </is>
      </c>
      <c r="J98" s="8" t="inlineStr">
        <is>
          <t>E0=0.20; E1=0.40; E2=0.65; E3=0.85; E4=1.00, subject to corroboration/independence adjustment. Report separately.</t>
        </is>
      </c>
      <c r="K98" s="8" t="inlineStr">
        <is>
          <t>No score uplift from claims alone; lock denominator/exclusions before results; sample verification; cross-check with adjacent domains; high scores require corroboration.</t>
        </is>
      </c>
      <c r="L98" s="8" t="inlineStr">
        <is>
          <t>Use primary-owner rule; shared evidence may validate multiple metrics but the same activity cannot be scored twice across domains.</t>
        </is>
      </c>
      <c r="M98" s="8" t="inlineStr">
        <is>
          <t>100*((0.45*M)+(0.30*I)+(0.25*O))/5 when O exists; otherwise 100*((0.60*M)+(0.40*I))/5.</t>
        </is>
      </c>
      <c r="N98" s="8" t="inlineStr">
        <is>
          <t>D08 methodology/data owner</t>
        </is>
      </c>
      <c r="O98" s="8" t="inlineStr">
        <is>
          <t>PROVISIONAL—pilot validation required</t>
        </is>
      </c>
    </row>
    <row r="99">
      <c r="A99" s="8" t="inlineStr">
        <is>
          <t>D08</t>
        </is>
      </c>
      <c r="B99" s="8" t="inlineStr">
        <is>
          <t>I07</t>
        </is>
      </c>
      <c r="C99" s="8" t="inlineStr">
        <is>
          <t>Cyber &amp; Information Security</t>
        </is>
      </c>
      <c r="D99" s="8" t="inlineStr">
        <is>
          <t>Protection of institutional information, systems and users.</t>
        </is>
      </c>
      <c r="E99" s="8" t="inlineStr">
        <is>
          <t>Anchor 0–5 from domain-specific maturity anchor using direct sampled practice/work evidence; do not infer maturity from policy statements alone.</t>
        </is>
      </c>
      <c r="F99" s="8" t="inlineStr">
        <is>
          <t>0–5: 0 absent; 1 isolated/person-dependent; 2 repeatable in limited areas; 3 institutionally structured; 4 broad/cross-functional and consistently operating; 5 continuously improved/scaled.</t>
        </is>
      </c>
      <c r="G99" s="8" t="inlineStr">
        <is>
          <t>Use outcome only when a legitimate measurable result exists; otherwise N/A.</t>
        </is>
      </c>
      <c r="H99" s="8" t="inlineStr">
        <is>
          <t>Only genuine mandate/context inapplicability with documented assessor approval; missing evidence is never N/A.</t>
        </is>
      </c>
      <c r="I99" s="8" t="inlineStr">
        <is>
          <t>—</t>
        </is>
      </c>
      <c r="J99" s="8" t="inlineStr">
        <is>
          <t>E0=0.20; E1=0.40; E2=0.65; E3=0.85; E4=1.00, subject to corroboration/independence adjustment. Report separately.</t>
        </is>
      </c>
      <c r="K99" s="8" t="inlineStr">
        <is>
          <t>No score uplift from claims alone; lock denominator/exclusions before results; sample verification; cross-check with adjacent domains; high scores require corroboration.</t>
        </is>
      </c>
      <c r="L99" s="8" t="inlineStr">
        <is>
          <t>Use primary-owner rule; shared evidence may validate multiple metrics but the same activity cannot be scored twice across domains.</t>
        </is>
      </c>
      <c r="M99" s="8" t="inlineStr">
        <is>
          <t>100*((0.45*M)+(0.30*I)+(0.25*O))/5 when O exists; otherwise 100*((0.60*M)+(0.40*I))/5.</t>
        </is>
      </c>
      <c r="N99" s="8" t="inlineStr">
        <is>
          <t>D08 methodology/data owner</t>
        </is>
      </c>
      <c r="O99" s="8" t="inlineStr">
        <is>
          <t>PROVISIONAL—pilot validation required</t>
        </is>
      </c>
    </row>
    <row r="100">
      <c r="A100" s="8" t="inlineStr">
        <is>
          <t>D08</t>
        </is>
      </c>
      <c r="B100" s="8" t="inlineStr">
        <is>
          <t>I08</t>
        </is>
      </c>
      <c r="C100" s="8" t="inlineStr">
        <is>
          <t>Data Privacy Readiness</t>
        </is>
      </c>
      <c r="D100" s="8" t="inlineStr">
        <is>
          <t>Controls governing sensitive student, faculty and research information.</t>
        </is>
      </c>
      <c r="E100" s="8" t="inlineStr">
        <is>
          <t>Anchor 0–5 from domain-specific maturity anchor using direct sampled practice/work evidence; do not infer maturity from policy statements alone.</t>
        </is>
      </c>
      <c r="F100" s="8" t="inlineStr">
        <is>
          <t>0–5: 0 absent; 1 isolated/person-dependent; 2 repeatable in limited areas; 3 institutionally structured; 4 broad/cross-functional and consistently operating; 5 continuously improved/scaled.</t>
        </is>
      </c>
      <c r="G100" s="8" t="inlineStr">
        <is>
          <t>Use outcome only when a legitimate measurable result exists; otherwise N/A.</t>
        </is>
      </c>
      <c r="H100" s="8" t="inlineStr">
        <is>
          <t>Only genuine mandate/context inapplicability with documented assessor approval; missing evidence is never N/A.</t>
        </is>
      </c>
      <c r="I100" s="8" t="inlineStr">
        <is>
          <t>—</t>
        </is>
      </c>
      <c r="J100" s="8" t="inlineStr">
        <is>
          <t>E0=0.20; E1=0.40; E2=0.65; E3=0.85; E4=1.00, subject to corroboration/independence adjustment. Report separately.</t>
        </is>
      </c>
      <c r="K100" s="8" t="inlineStr">
        <is>
          <t>No score uplift from claims alone; lock denominator/exclusions before results; sample verification; cross-check with adjacent domains; high scores require corroboration.</t>
        </is>
      </c>
      <c r="L100" s="8" t="inlineStr">
        <is>
          <t>Use primary-owner rule; shared evidence may validate multiple metrics but the same activity cannot be scored twice across domains.</t>
        </is>
      </c>
      <c r="M100" s="8" t="inlineStr">
        <is>
          <t>100*((0.45*M)+(0.30*I)+(0.25*O))/5 when O exists; otherwise 100*((0.60*M)+(0.40*I))/5.</t>
        </is>
      </c>
      <c r="N100" s="8" t="inlineStr">
        <is>
          <t>D08 methodology/data owner</t>
        </is>
      </c>
      <c r="O100" s="8" t="inlineStr">
        <is>
          <t>PROVISIONAL—pilot validation required</t>
        </is>
      </c>
    </row>
    <row r="101">
      <c r="A101" s="8" t="inlineStr">
        <is>
          <t>D08</t>
        </is>
      </c>
      <c r="B101" s="8" t="inlineStr">
        <is>
          <t>I09</t>
        </is>
      </c>
      <c r="C101" s="8" t="inlineStr">
        <is>
          <t>Digital Equity &amp; Access</t>
        </is>
      </c>
      <c r="D101" s="8" t="inlineStr">
        <is>
          <t>Ability to provide appropriate digital/AI access across student groups.</t>
        </is>
      </c>
      <c r="E101" s="8" t="inlineStr">
        <is>
          <t>Anchor 0–5 from domain-specific maturity anchor using direct sampled practice/work evidence; do not infer maturity from policy statements alone.</t>
        </is>
      </c>
      <c r="F101" s="8" t="inlineStr">
        <is>
          <t>0–5: 0 absent; 1 isolated/person-dependent; 2 repeatable in limited areas; 3 institutionally structured; 4 broad/cross-functional and consistently operating; 5 continuously improved/scaled.</t>
        </is>
      </c>
      <c r="G101" s="8" t="inlineStr">
        <is>
          <t>Use outcome only when a legitimate measurable result exists; otherwise N/A.</t>
        </is>
      </c>
      <c r="H101" s="8" t="inlineStr">
        <is>
          <t>Only genuine mandate/context inapplicability with documented assessor approval; missing evidence is never N/A.</t>
        </is>
      </c>
      <c r="I101" s="8" t="inlineStr">
        <is>
          <t>—</t>
        </is>
      </c>
      <c r="J101" s="8" t="inlineStr">
        <is>
          <t>E0=0.20; E1=0.40; E2=0.65; E3=0.85; E4=1.00, subject to corroboration/independence adjustment. Report separately.</t>
        </is>
      </c>
      <c r="K101" s="8" t="inlineStr">
        <is>
          <t>No score uplift from claims alone; lock denominator/exclusions before results; sample verification; cross-check with adjacent domains; high scores require corroboration.</t>
        </is>
      </c>
      <c r="L101" s="8" t="inlineStr">
        <is>
          <t>Use primary-owner rule; shared evidence may validate multiple metrics but the same activity cannot be scored twice across domains.</t>
        </is>
      </c>
      <c r="M101" s="8" t="inlineStr">
        <is>
          <t>100*((0.45*M)+(0.30*I)+(0.25*O))/5 when O exists; otherwise 100*((0.60*M)+(0.40*I))/5.</t>
        </is>
      </c>
      <c r="N101" s="8" t="inlineStr">
        <is>
          <t>D08 methodology/data owner</t>
        </is>
      </c>
      <c r="O101" s="8" t="inlineStr">
        <is>
          <t>PROVISIONAL—pilot validation required</t>
        </is>
      </c>
    </row>
    <row r="102">
      <c r="A102" s="8" t="inlineStr">
        <is>
          <t>D08</t>
        </is>
      </c>
      <c r="B102" s="8" t="inlineStr">
        <is>
          <t>I10</t>
        </is>
      </c>
      <c r="C102" s="8" t="inlineStr">
        <is>
          <t>Technology Decision Governance</t>
        </is>
      </c>
      <c r="D102" s="8" t="inlineStr">
        <is>
          <t>How technology choices are evaluated, prioritised and governed.</t>
        </is>
      </c>
      <c r="E102" s="8" t="inlineStr">
        <is>
          <t>Anchor 0–5 from domain-specific maturity anchor using direct sampled practice/work evidence; do not infer maturity from policy statements alone.</t>
        </is>
      </c>
      <c r="F102" s="8" t="inlineStr">
        <is>
          <t>0–5: 0 absent; 1 isolated/person-dependent; 2 repeatable in limited areas; 3 institutionally structured; 4 broad/cross-functional and consistently operating; 5 continuously improved/scaled.</t>
        </is>
      </c>
      <c r="G102" s="8" t="inlineStr">
        <is>
          <t>Use outcome only when a legitimate measurable result exists; otherwise N/A.</t>
        </is>
      </c>
      <c r="H102" s="8" t="inlineStr">
        <is>
          <t>Only genuine mandate/context inapplicability with documented assessor approval; missing evidence is never N/A.</t>
        </is>
      </c>
      <c r="I102" s="8" t="inlineStr">
        <is>
          <t>—</t>
        </is>
      </c>
      <c r="J102" s="8" t="inlineStr">
        <is>
          <t>E0=0.20; E1=0.40; E2=0.65; E3=0.85; E4=1.00, subject to corroboration/independence adjustment. Report separately.</t>
        </is>
      </c>
      <c r="K102" s="8" t="inlineStr">
        <is>
          <t>No score uplift from claims alone; lock denominator/exclusions before results; sample verification; cross-check with adjacent domains; high scores require corroboration.</t>
        </is>
      </c>
      <c r="L102" s="8" t="inlineStr">
        <is>
          <t>Use primary-owner rule; shared evidence may validate multiple metrics but the same activity cannot be scored twice across domains.</t>
        </is>
      </c>
      <c r="M102" s="8" t="inlineStr">
        <is>
          <t>100*((0.45*M)+(0.30*I)+(0.25*O))/5 when O exists; otherwise 100*((0.60*M)+(0.40*I))/5.</t>
        </is>
      </c>
      <c r="N102" s="8" t="inlineStr">
        <is>
          <t>D08 methodology/data owner</t>
        </is>
      </c>
      <c r="O102" s="8" t="inlineStr">
        <is>
          <t>PROVISIONAL—pilot validation required</t>
        </is>
      </c>
    </row>
    <row r="103">
      <c r="A103" s="8" t="inlineStr">
        <is>
          <t>D08</t>
        </is>
      </c>
      <c r="B103" s="8" t="inlineStr">
        <is>
          <t>I11</t>
        </is>
      </c>
      <c r="C103" s="8" t="inlineStr">
        <is>
          <t>Digital Process Maturity</t>
        </is>
      </c>
      <c r="D103" s="8" t="inlineStr">
        <is>
          <t>Extent to which institutional workflows are digitally enabled and intelligently designed.</t>
        </is>
      </c>
      <c r="E103" s="8" t="inlineStr">
        <is>
          <t>Anchor 0–5 from domain-specific maturity anchor using direct sampled practice/work evidence; do not infer maturity from policy statements alone.</t>
        </is>
      </c>
      <c r="F103" s="8" t="inlineStr">
        <is>
          <t>0–5: 0 absent; 1 isolated/person-dependent; 2 repeatable in limited areas; 3 institutionally structured; 4 broad/cross-functional and consistently operating; 5 continuously improved/scaled.</t>
        </is>
      </c>
      <c r="G103" s="8" t="inlineStr">
        <is>
          <t>Use outcome only when a legitimate measurable result exists; otherwise N/A.</t>
        </is>
      </c>
      <c r="H103" s="8" t="inlineStr">
        <is>
          <t>Only genuine mandate/context inapplicability with documented assessor approval; missing evidence is never N/A.</t>
        </is>
      </c>
      <c r="I103" s="8" t="inlineStr">
        <is>
          <t>—</t>
        </is>
      </c>
      <c r="J103" s="8" t="inlineStr">
        <is>
          <t>E0=0.20; E1=0.40; E2=0.65; E3=0.85; E4=1.00, subject to corroboration/independence adjustment. Report separately.</t>
        </is>
      </c>
      <c r="K103" s="8" t="inlineStr">
        <is>
          <t>No score uplift from claims alone; lock denominator/exclusions before results; sample verification; cross-check with adjacent domains; high scores require corroboration.</t>
        </is>
      </c>
      <c r="L103" s="8" t="inlineStr">
        <is>
          <t>Use primary-owner rule; shared evidence may validate multiple metrics but the same activity cannot be scored twice across domains.</t>
        </is>
      </c>
      <c r="M103" s="8" t="inlineStr">
        <is>
          <t>100*((0.45*M)+(0.30*I)+(0.25*O))/5 when O exists; otherwise 100*((0.60*M)+(0.40*I))/5.</t>
        </is>
      </c>
      <c r="N103" s="8" t="inlineStr">
        <is>
          <t>D08 methodology/data owner</t>
        </is>
      </c>
      <c r="O103" s="8" t="inlineStr">
        <is>
          <t>PROVISIONAL—pilot validation required</t>
        </is>
      </c>
    </row>
    <row r="104">
      <c r="A104" s="8" t="inlineStr">
        <is>
          <t>D08</t>
        </is>
      </c>
      <c r="B104" s="8" t="inlineStr">
        <is>
          <t>I12</t>
        </is>
      </c>
      <c r="C104" s="8" t="inlineStr">
        <is>
          <t>Institutional Intelligence Capability</t>
        </is>
      </c>
      <c r="D104" s="8" t="inlineStr">
        <is>
          <t>Ability to turn fragmented data into actionable institutional understanding.</t>
        </is>
      </c>
      <c r="E104" s="8" t="inlineStr">
        <is>
          <t>Anchor 0–5 from domain-specific maturity anchor using direct sampled practice/work evidence; do not infer maturity from policy statements alone.</t>
        </is>
      </c>
      <c r="F104" s="8" t="inlineStr">
        <is>
          <t>0–5: 0 absent; 1 isolated/person-dependent; 2 repeatable in limited areas; 3 institutionally structured; 4 broad/cross-functional and consistently operating; 5 continuously improved/scaled.</t>
        </is>
      </c>
      <c r="G104" s="8" t="inlineStr">
        <is>
          <t>Use outcome only when a legitimate measurable result exists; otherwise N/A.</t>
        </is>
      </c>
      <c r="H104" s="8" t="inlineStr">
        <is>
          <t>Only genuine mandate/context inapplicability with documented assessor approval; missing evidence is never N/A.</t>
        </is>
      </c>
      <c r="I104" s="8" t="inlineStr">
        <is>
          <t>—</t>
        </is>
      </c>
      <c r="J104" s="8" t="inlineStr">
        <is>
          <t>E0=0.20; E1=0.40; E2=0.65; E3=0.85; E4=1.00, subject to corroboration/independence adjustment. Report separately.</t>
        </is>
      </c>
      <c r="K104" s="8" t="inlineStr">
        <is>
          <t>No score uplift from claims alone; lock denominator/exclusions before results; sample verification; cross-check with adjacent domains; high scores require corroboration.</t>
        </is>
      </c>
      <c r="L104" s="8" t="inlineStr">
        <is>
          <t>Use primary-owner rule; shared evidence may validate multiple metrics but the same activity cannot be scored twice across domains.</t>
        </is>
      </c>
      <c r="M104" s="8" t="inlineStr">
        <is>
          <t>100*((0.45*M)+(0.30*I)+(0.25*O))/5 when O exists; otherwise 100*((0.60*M)+(0.40*I))/5.</t>
        </is>
      </c>
      <c r="N104" s="8" t="inlineStr">
        <is>
          <t>D08 methodology/data owner</t>
        </is>
      </c>
      <c r="O104" s="8" t="inlineStr">
        <is>
          <t>PROVISIONAL—pilot validation required</t>
        </is>
      </c>
    </row>
    <row r="105">
      <c r="A105" s="8" t="inlineStr">
        <is>
          <t>D09</t>
        </is>
      </c>
      <c r="B105" s="8" t="inlineStr">
        <is>
          <t>I01</t>
        </is>
      </c>
      <c r="C105" s="8" t="inlineStr">
        <is>
          <t>Employer Demand Sensing</t>
        </is>
      </c>
      <c r="D105" s="8" t="inlineStr">
        <is>
          <t>How systematically the institution understands changing employer and sector capability needs.</t>
        </is>
      </c>
      <c r="E105" s="8" t="inlineStr">
        <is>
          <t>Anchor 0–5 from domain-specific maturity anchor using direct sampled practice/work evidence; do not infer maturity from policy statements alone.</t>
        </is>
      </c>
      <c r="F105" s="8" t="inlineStr">
        <is>
          <t>0–5: 0 absent; 1 isolated/person-dependent; 2 repeatable in limited areas; 3 institutionally structured; 4 broad/cross-functional and consistently operating; 5 continuously improved/scaled.</t>
        </is>
      </c>
      <c r="G105" s="8" t="inlineStr">
        <is>
          <t>Use outcome only when a legitimate measurable result exists; otherwise N/A.</t>
        </is>
      </c>
      <c r="H105" s="8" t="inlineStr">
        <is>
          <t>Only genuine mandate/context inapplicability with documented assessor approval; missing evidence is never N/A.</t>
        </is>
      </c>
      <c r="I105" s="8" t="inlineStr">
        <is>
          <t>—</t>
        </is>
      </c>
      <c r="J105" s="8" t="inlineStr">
        <is>
          <t>E0=0.20; E1=0.40; E2=0.65; E3=0.85; E4=1.00, subject to corroboration/independence adjustment. Report separately.</t>
        </is>
      </c>
      <c r="K105" s="8" t="inlineStr">
        <is>
          <t>No score uplift from claims alone; lock denominator/exclusions before results; sample verification; cross-check with adjacent domains; high scores require corroboration.</t>
        </is>
      </c>
      <c r="L105" s="8" t="inlineStr">
        <is>
          <t>Use primary-owner rule; shared evidence may validate multiple metrics but the same activity cannot be scored twice across domains.</t>
        </is>
      </c>
      <c r="M105" s="8" t="inlineStr">
        <is>
          <t>100*((0.45*M)+(0.30*I)+(0.25*O))/5 when O exists; otherwise 100*((0.60*M)+(0.40*I))/5.</t>
        </is>
      </c>
      <c r="N105" s="8" t="inlineStr">
        <is>
          <t>D09 methodology/data owner</t>
        </is>
      </c>
      <c r="O105" s="8" t="inlineStr">
        <is>
          <t>PROVISIONAL—pilot validation required</t>
        </is>
      </c>
    </row>
    <row r="106">
      <c r="A106" s="8" t="inlineStr">
        <is>
          <t>D09</t>
        </is>
      </c>
      <c r="B106" s="8" t="inlineStr">
        <is>
          <t>I02</t>
        </is>
      </c>
      <c r="C106" s="8" t="inlineStr">
        <is>
          <t>Employability Capability Architecture</t>
        </is>
      </c>
      <c r="D106" s="8" t="inlineStr">
        <is>
          <t>Clarity of capabilities graduates are expected to possess beyond credentials.</t>
        </is>
      </c>
      <c r="E106" s="8" t="inlineStr">
        <is>
          <t>Anchor 0–5 from domain-specific maturity anchor using direct sampled practice/work evidence; do not infer maturity from policy statements alone.</t>
        </is>
      </c>
      <c r="F106" s="8" t="inlineStr">
        <is>
          <t>0–5: 0 absent; 1 isolated/person-dependent; 2 repeatable in limited areas; 3 institutionally structured; 4 broad/cross-functional and consistently operating; 5 continuously improved/scaled.</t>
        </is>
      </c>
      <c r="G106" s="8" t="inlineStr">
        <is>
          <t>Use outcome only when a legitimate measurable result exists; otherwise N/A.</t>
        </is>
      </c>
      <c r="H106" s="8" t="inlineStr">
        <is>
          <t>Only genuine mandate/context inapplicability with documented assessor approval; missing evidence is never N/A.</t>
        </is>
      </c>
      <c r="I106" s="8" t="inlineStr">
        <is>
          <t>—</t>
        </is>
      </c>
      <c r="J106" s="8" t="inlineStr">
        <is>
          <t>E0=0.20; E1=0.40; E2=0.65; E3=0.85; E4=1.00, subject to corroboration/independence adjustment. Report separately.</t>
        </is>
      </c>
      <c r="K106" s="8" t="inlineStr">
        <is>
          <t>No score uplift from claims alone; lock denominator/exclusions before results; sample verification; cross-check with adjacent domains; high scores require corroboration.</t>
        </is>
      </c>
      <c r="L106" s="8" t="inlineStr">
        <is>
          <t>Use primary-owner rule; shared evidence may validate multiple metrics but the same activity cannot be scored twice across domains.</t>
        </is>
      </c>
      <c r="M106" s="8" t="inlineStr">
        <is>
          <t>100*((0.45*M)+(0.30*I)+(0.25*O))/5 when O exists; otherwise 100*((0.60*M)+(0.40*I))/5.</t>
        </is>
      </c>
      <c r="N106" s="8" t="inlineStr">
        <is>
          <t>D09 methodology/data owner</t>
        </is>
      </c>
      <c r="O106" s="8" t="inlineStr">
        <is>
          <t>PROVISIONAL—pilot validation required</t>
        </is>
      </c>
    </row>
    <row r="107">
      <c r="A107" s="8" t="inlineStr">
        <is>
          <t>D09</t>
        </is>
      </c>
      <c r="B107" s="8" t="inlineStr">
        <is>
          <t>I03</t>
        </is>
      </c>
      <c r="C107" s="8" t="inlineStr">
        <is>
          <t>Industry-Validated Curriculum</t>
        </is>
      </c>
      <c r="D107" s="8" t="inlineStr">
        <is>
          <t>Depth of meaningful industry/professional input into programme design.</t>
        </is>
      </c>
      <c r="E107" s="8" t="inlineStr">
        <is>
          <t>Anchor 0–5 from domain-specific maturity anchor using direct sampled practice/work evidence; do not infer maturity from policy statements alone.</t>
        </is>
      </c>
      <c r="F107" s="8" t="inlineStr">
        <is>
          <t>0–5: 0 absent; 1 isolated/person-dependent; 2 repeatable in limited areas; 3 institutionally structured; 4 broad/cross-functional and consistently operating; 5 continuously improved/scaled.</t>
        </is>
      </c>
      <c r="G107" s="8" t="inlineStr">
        <is>
          <t>Use outcome only when a legitimate measurable result exists; otherwise N/A.</t>
        </is>
      </c>
      <c r="H107" s="8" t="inlineStr">
        <is>
          <t>Only genuine mandate/context inapplicability with documented assessor approval; missing evidence is never N/A.</t>
        </is>
      </c>
      <c r="I107" s="8" t="inlineStr">
        <is>
          <t>—</t>
        </is>
      </c>
      <c r="J107" s="8" t="inlineStr">
        <is>
          <t>E0=0.20; E1=0.40; E2=0.65; E3=0.85; E4=1.00, subject to corroboration/independence adjustment. Report separately.</t>
        </is>
      </c>
      <c r="K107" s="8" t="inlineStr">
        <is>
          <t>No score uplift from claims alone; lock denominator/exclusions before results; sample verification; cross-check with adjacent domains; high scores require corroboration.</t>
        </is>
      </c>
      <c r="L107" s="8" t="inlineStr">
        <is>
          <t>Use primary-owner rule; shared evidence may validate multiple metrics but the same activity cannot be scored twice across domains.</t>
        </is>
      </c>
      <c r="M107" s="8" t="inlineStr">
        <is>
          <t>100*((0.45*M)+(0.30*I)+(0.25*O))/5 when O exists; otherwise 100*((0.60*M)+(0.40*I))/5.</t>
        </is>
      </c>
      <c r="N107" s="8" t="inlineStr">
        <is>
          <t>D09 methodology/data owner</t>
        </is>
      </c>
      <c r="O107" s="8" t="inlineStr">
        <is>
          <t>PROVISIONAL—pilot validation required</t>
        </is>
      </c>
    </row>
    <row r="108">
      <c r="A108" s="8" t="inlineStr">
        <is>
          <t>D09</t>
        </is>
      </c>
      <c r="B108" s="8" t="inlineStr">
        <is>
          <t>I04</t>
        </is>
      </c>
      <c r="C108" s="8" t="inlineStr">
        <is>
          <t>Practice-Based Learning</t>
        </is>
      </c>
      <c r="D108" s="8" t="inlineStr">
        <is>
          <t>Extent of authentic projects, internships, field exposure and live problem-solving.</t>
        </is>
      </c>
      <c r="E108" s="8" t="inlineStr">
        <is>
          <t>Anchor 0–5 from domain-specific maturity anchor using direct sampled practice/work evidence; do not infer maturity from policy statements alone.</t>
        </is>
      </c>
      <c r="F108" s="8" t="inlineStr">
        <is>
          <t>0–5: 0 absent; 1 isolated/person-dependent; 2 repeatable in limited areas; 3 institutionally structured; 4 broad/cross-functional and consistently operating; 5 continuously improved/scaled.</t>
        </is>
      </c>
      <c r="G108" s="8" t="inlineStr">
        <is>
          <t>Use outcome only when a legitimate measurable result exists; otherwise N/A.</t>
        </is>
      </c>
      <c r="H108" s="8" t="inlineStr">
        <is>
          <t>Only genuine mandate/context inapplicability with documented assessor approval; missing evidence is never N/A.</t>
        </is>
      </c>
      <c r="I108" s="8" t="inlineStr">
        <is>
          <t>—</t>
        </is>
      </c>
      <c r="J108" s="8" t="inlineStr">
        <is>
          <t>E0=0.20; E1=0.40; E2=0.65; E3=0.85; E4=1.00, subject to corroboration/independence adjustment. Report separately.</t>
        </is>
      </c>
      <c r="K108" s="8" t="inlineStr">
        <is>
          <t>No score uplift from claims alone; lock denominator/exclusions before results; sample verification; cross-check with adjacent domains; high scores require corroboration.</t>
        </is>
      </c>
      <c r="L108" s="8" t="inlineStr">
        <is>
          <t>Use primary-owner rule; shared evidence may validate multiple metrics but the same activity cannot be scored twice across domains.</t>
        </is>
      </c>
      <c r="M108" s="8" t="inlineStr">
        <is>
          <t>100*((0.45*M)+(0.30*I)+(0.25*O))/5 when O exists; otherwise 100*((0.60*M)+(0.40*I))/5.</t>
        </is>
      </c>
      <c r="N108" s="8" t="inlineStr">
        <is>
          <t>D09 methodology/data owner</t>
        </is>
      </c>
      <c r="O108" s="8" t="inlineStr">
        <is>
          <t>PROVISIONAL—pilot validation required</t>
        </is>
      </c>
    </row>
    <row r="109">
      <c r="A109" s="8" t="inlineStr">
        <is>
          <t>D09</t>
        </is>
      </c>
      <c r="B109" s="8" t="inlineStr">
        <is>
          <t>I05</t>
        </is>
      </c>
      <c r="C109" s="8" t="inlineStr">
        <is>
          <t>Recruiter Confidence</t>
        </is>
      </c>
      <c r="D109" s="8" t="inlineStr">
        <is>
          <t>Strength and quality of recurring employer relationships.</t>
        </is>
      </c>
      <c r="E109" s="8" t="inlineStr">
        <is>
          <t>Anchor 0–5 from domain-specific maturity anchor using direct sampled practice/work evidence; do not infer maturity from policy statements alone.</t>
        </is>
      </c>
      <c r="F109" s="8" t="inlineStr">
        <is>
          <t>0–5: 0 absent; 1 isolated/person-dependent; 2 repeatable in limited areas; 3 institutionally structured; 4 broad/cross-functional and consistently operating; 5 continuously improved/scaled.</t>
        </is>
      </c>
      <c r="G109" s="8" t="inlineStr">
        <is>
          <t>Use outcome only when a legitimate measurable result exists; otherwise N/A.</t>
        </is>
      </c>
      <c r="H109" s="8" t="inlineStr">
        <is>
          <t>Only genuine mandate/context inapplicability with documented assessor approval; missing evidence is never N/A.</t>
        </is>
      </c>
      <c r="I109" s="8" t="inlineStr">
        <is>
          <t>—</t>
        </is>
      </c>
      <c r="J109" s="8" t="inlineStr">
        <is>
          <t>E0=0.20; E1=0.40; E2=0.65; E3=0.85; E4=1.00, subject to corroboration/independence adjustment. Report separately.</t>
        </is>
      </c>
      <c r="K109" s="8" t="inlineStr">
        <is>
          <t>No score uplift from claims alone; lock denominator/exclusions before results; sample verification; cross-check with adjacent domains; high scores require corroboration.</t>
        </is>
      </c>
      <c r="L109" s="8" t="inlineStr">
        <is>
          <t>Use primary-owner rule; shared evidence may validate multiple metrics but the same activity cannot be scored twice across domains.</t>
        </is>
      </c>
      <c r="M109" s="8" t="inlineStr">
        <is>
          <t>100*((0.45*M)+(0.30*I)+(0.25*O))/5 when O exists; otherwise 100*((0.60*M)+(0.40*I))/5.</t>
        </is>
      </c>
      <c r="N109" s="8" t="inlineStr">
        <is>
          <t>D09 methodology/data owner</t>
        </is>
      </c>
      <c r="O109" s="8" t="inlineStr">
        <is>
          <t>PROVISIONAL—pilot validation required</t>
        </is>
      </c>
    </row>
    <row r="110">
      <c r="A110" s="8" t="inlineStr">
        <is>
          <t>D09</t>
        </is>
      </c>
      <c r="B110" s="8" t="inlineStr">
        <is>
          <t>I06</t>
        </is>
      </c>
      <c r="C110" s="8" t="inlineStr">
        <is>
          <t>Placement Outcome Quality</t>
        </is>
      </c>
      <c r="D110" s="8" t="inlineStr">
        <is>
          <t>Quality, relevance and transparency of employment outcomes.</t>
        </is>
      </c>
      <c r="E110" s="8" t="inlineStr">
        <is>
          <t>Anchor 0–5 from domain-specific maturity anchor using direct sampled practice/work evidence; do not infer maturity from policy statements alone.</t>
        </is>
      </c>
      <c r="F110" s="8" t="inlineStr">
        <is>
          <t>0–5: 0 absent; 1 isolated/person-dependent; 2 repeatable in limited areas; 3 institutionally structured; 4 broad/cross-functional and consistently operating; 5 continuously improved/scaled.</t>
        </is>
      </c>
      <c r="G110" s="8" t="inlineStr">
        <is>
          <t>Use outcome only when a legitimate measurable result exists; otherwise N/A.</t>
        </is>
      </c>
      <c r="H110" s="8" t="inlineStr">
        <is>
          <t>Only genuine mandate/context inapplicability with documented assessor approval; missing evidence is never N/A.</t>
        </is>
      </c>
      <c r="I110" s="8" t="inlineStr">
        <is>
          <t>—</t>
        </is>
      </c>
      <c r="J110" s="8" t="inlineStr">
        <is>
          <t>E0=0.20; E1=0.40; E2=0.65; E3=0.85; E4=1.00, subject to corroboration/independence adjustment. Report separately.</t>
        </is>
      </c>
      <c r="K110" s="8" t="inlineStr">
        <is>
          <t>No score uplift from claims alone; lock denominator/exclusions before results; sample verification; cross-check with adjacent domains; high scores require corroboration.</t>
        </is>
      </c>
      <c r="L110" s="8" t="inlineStr">
        <is>
          <t>Use primary-owner rule; shared evidence may validate multiple metrics but the same activity cannot be scored twice across domains.</t>
        </is>
      </c>
      <c r="M110" s="8" t="inlineStr">
        <is>
          <t>100*((0.45*M)+(0.30*I)+(0.25*O))/5 when O exists; otherwise 100*((0.60*M)+(0.40*I))/5.</t>
        </is>
      </c>
      <c r="N110" s="8" t="inlineStr">
        <is>
          <t>D09 methodology/data owner</t>
        </is>
      </c>
      <c r="O110" s="8" t="inlineStr">
        <is>
          <t>PROVISIONAL—pilot validation required</t>
        </is>
      </c>
    </row>
    <row r="111">
      <c r="A111" s="8" t="inlineStr">
        <is>
          <t>D09</t>
        </is>
      </c>
      <c r="B111" s="8" t="inlineStr">
        <is>
          <t>I07</t>
        </is>
      </c>
      <c r="C111" s="8" t="inlineStr">
        <is>
          <t>Career Adaptability</t>
        </is>
      </c>
      <c r="D111" s="8" t="inlineStr">
        <is>
          <t>Preparation for changing roles, sectors and skill requirements.</t>
        </is>
      </c>
      <c r="E111" s="8" t="inlineStr">
        <is>
          <t>Anchor 0–5 from domain-specific maturity anchor using direct sampled practice/work evidence; do not infer maturity from policy statements alone.</t>
        </is>
      </c>
      <c r="F111" s="8" t="inlineStr">
        <is>
          <t>0–5: 0 absent; 1 isolated/person-dependent; 2 repeatable in limited areas; 3 institutionally structured; 4 broad/cross-functional and consistently operating; 5 continuously improved/scaled.</t>
        </is>
      </c>
      <c r="G111" s="8" t="inlineStr">
        <is>
          <t>Use outcome only when a legitimate measurable result exists; otherwise N/A.</t>
        </is>
      </c>
      <c r="H111" s="8" t="inlineStr">
        <is>
          <t>Only genuine mandate/context inapplicability with documented assessor approval; missing evidence is never N/A.</t>
        </is>
      </c>
      <c r="I111" s="8" t="inlineStr">
        <is>
          <t>—</t>
        </is>
      </c>
      <c r="J111" s="8" t="inlineStr">
        <is>
          <t>E0=0.20; E1=0.40; E2=0.65; E3=0.85; E4=1.00, subject to corroboration/independence adjustment. Report separately.</t>
        </is>
      </c>
      <c r="K111" s="8" t="inlineStr">
        <is>
          <t>No score uplift from claims alone; lock denominator/exclusions before results; sample verification; cross-check with adjacent domains; high scores require corroboration.</t>
        </is>
      </c>
      <c r="L111" s="8" t="inlineStr">
        <is>
          <t>Use primary-owner rule; shared evidence may validate multiple metrics but the same activity cannot be scored twice across domains.</t>
        </is>
      </c>
      <c r="M111" s="8" t="inlineStr">
        <is>
          <t>100*((0.45*M)+(0.30*I)+(0.25*O))/5 when O exists; otherwise 100*((0.60*M)+(0.40*I))/5.</t>
        </is>
      </c>
      <c r="N111" s="8" t="inlineStr">
        <is>
          <t>D09 methodology/data owner</t>
        </is>
      </c>
      <c r="O111" s="8" t="inlineStr">
        <is>
          <t>PROVISIONAL—pilot validation required</t>
        </is>
      </c>
    </row>
    <row r="112">
      <c r="A112" s="8" t="inlineStr">
        <is>
          <t>D09</t>
        </is>
      </c>
      <c r="B112" s="8" t="inlineStr">
        <is>
          <t>I08</t>
        </is>
      </c>
      <c r="C112" s="8" t="inlineStr">
        <is>
          <t>AI-Era Employability Readiness</t>
        </is>
      </c>
      <c r="D112" s="8" t="inlineStr">
        <is>
          <t>Preparation for AI-augmented and AI-disrupted work.</t>
        </is>
      </c>
      <c r="E112" s="8" t="inlineStr">
        <is>
          <t>Anchor 0–5 from domain-specific maturity anchor using direct sampled practice/work evidence; do not infer maturity from policy statements alone.</t>
        </is>
      </c>
      <c r="F112" s="8" t="inlineStr">
        <is>
          <t>0–5: 0 absent; 1 isolated/person-dependent; 2 repeatable in limited areas; 3 institutionally structured; 4 broad/cross-functional and consistently operating; 5 continuously improved/scaled.</t>
        </is>
      </c>
      <c r="G112" s="8" t="inlineStr">
        <is>
          <t>Use outcome only when a legitimate measurable result exists; otherwise N/A.</t>
        </is>
      </c>
      <c r="H112" s="8" t="inlineStr">
        <is>
          <t>Only genuine mandate/context inapplicability with documented assessor approval; missing evidence is never N/A.</t>
        </is>
      </c>
      <c r="I112" s="8" t="inlineStr">
        <is>
          <t>—</t>
        </is>
      </c>
      <c r="J112" s="8" t="inlineStr">
        <is>
          <t>E0=0.20; E1=0.40; E2=0.65; E3=0.85; E4=1.00, subject to corroboration/independence adjustment. Report separately.</t>
        </is>
      </c>
      <c r="K112" s="8" t="inlineStr">
        <is>
          <t>No score uplift from claims alone; lock denominator/exclusions before results; sample verification; cross-check with adjacent domains; high scores require corroboration.</t>
        </is>
      </c>
      <c r="L112" s="8" t="inlineStr">
        <is>
          <t>Use primary-owner rule; shared evidence may validate multiple metrics but the same activity cannot be scored twice across domains.</t>
        </is>
      </c>
      <c r="M112" s="8" t="inlineStr">
        <is>
          <t>100*((0.45*M)+(0.30*I)+(0.25*O))/5 when O exists; otherwise 100*((0.60*M)+(0.40*I))/5.</t>
        </is>
      </c>
      <c r="N112" s="8" t="inlineStr">
        <is>
          <t>D09 methodology/data owner</t>
        </is>
      </c>
      <c r="O112" s="8" t="inlineStr">
        <is>
          <t>PROVISIONAL—pilot validation required</t>
        </is>
      </c>
    </row>
    <row r="113">
      <c r="A113" s="8" t="inlineStr">
        <is>
          <t>D09</t>
        </is>
      </c>
      <c r="B113" s="8" t="inlineStr">
        <is>
          <t>I09</t>
        </is>
      </c>
      <c r="C113" s="8" t="inlineStr">
        <is>
          <t>Capability Signalling</t>
        </is>
      </c>
      <c r="D113" s="8" t="inlineStr">
        <is>
          <t>Student ability to demonstrate capability through portfolios, projects and evidence.</t>
        </is>
      </c>
      <c r="E113" s="8" t="inlineStr">
        <is>
          <t>Anchor 0–5 from domain-specific maturity anchor using direct sampled practice/work evidence; do not infer maturity from policy statements alone.</t>
        </is>
      </c>
      <c r="F113" s="8" t="inlineStr">
        <is>
          <t>0–5: 0 absent; 1 isolated/person-dependent; 2 repeatable in limited areas; 3 institutionally structured; 4 broad/cross-functional and consistently operating; 5 continuously improved/scaled.</t>
        </is>
      </c>
      <c r="G113" s="8" t="inlineStr">
        <is>
          <t>Use outcome only when a legitimate measurable result exists; otherwise N/A.</t>
        </is>
      </c>
      <c r="H113" s="8" t="inlineStr">
        <is>
          <t>Only genuine mandate/context inapplicability with documented assessor approval; missing evidence is never N/A.</t>
        </is>
      </c>
      <c r="I113" s="8" t="inlineStr">
        <is>
          <t>—</t>
        </is>
      </c>
      <c r="J113" s="8" t="inlineStr">
        <is>
          <t>E0=0.20; E1=0.40; E2=0.65; E3=0.85; E4=1.00, subject to corroboration/independence adjustment. Report separately.</t>
        </is>
      </c>
      <c r="K113" s="8" t="inlineStr">
        <is>
          <t>No score uplift from claims alone; lock denominator/exclusions before results; sample verification; cross-check with adjacent domains; high scores require corroboration.</t>
        </is>
      </c>
      <c r="L113" s="8" t="inlineStr">
        <is>
          <t>Use primary-owner rule; shared evidence may validate multiple metrics but the same activity cannot be scored twice across domains.</t>
        </is>
      </c>
      <c r="M113" s="8" t="inlineStr">
        <is>
          <t>100*((0.45*M)+(0.30*I)+(0.25*O))/5 when O exists; otherwise 100*((0.60*M)+(0.40*I))/5.</t>
        </is>
      </c>
      <c r="N113" s="8" t="inlineStr">
        <is>
          <t>D09 methodology/data owner</t>
        </is>
      </c>
      <c r="O113" s="8" t="inlineStr">
        <is>
          <t>PROVISIONAL—pilot validation required</t>
        </is>
      </c>
    </row>
    <row r="114">
      <c r="A114" s="8" t="inlineStr">
        <is>
          <t>D09</t>
        </is>
      </c>
      <c r="B114" s="8" t="inlineStr">
        <is>
          <t>I10</t>
        </is>
      </c>
      <c r="C114" s="8" t="inlineStr">
        <is>
          <t>Industry Co-Creation</t>
        </is>
      </c>
      <c r="D114" s="8" t="inlineStr">
        <is>
          <t>Extent to which industry participates in learning, projects, mentoring and innovation.</t>
        </is>
      </c>
      <c r="E114" s="8" t="inlineStr">
        <is>
          <t>Anchor 0–5 from domain-specific maturity anchor using direct sampled practice/work evidence; do not infer maturity from policy statements alone.</t>
        </is>
      </c>
      <c r="F114" s="8" t="inlineStr">
        <is>
          <t>0–5: 0 absent; 1 isolated/person-dependent; 2 repeatable in limited areas; 3 institutionally structured; 4 broad/cross-functional and consistently operating; 5 continuously improved/scaled.</t>
        </is>
      </c>
      <c r="G114" s="8" t="inlineStr">
        <is>
          <t>Use outcome only when a legitimate measurable result exists; otherwise N/A.</t>
        </is>
      </c>
      <c r="H114" s="8" t="inlineStr">
        <is>
          <t>Only genuine mandate/context inapplicability with documented assessor approval; missing evidence is never N/A.</t>
        </is>
      </c>
      <c r="I114" s="8" t="inlineStr">
        <is>
          <t>—</t>
        </is>
      </c>
      <c r="J114" s="8" t="inlineStr">
        <is>
          <t>E0=0.20; E1=0.40; E2=0.65; E3=0.85; E4=1.00, subject to corroboration/independence adjustment. Report separately.</t>
        </is>
      </c>
      <c r="K114" s="8" t="inlineStr">
        <is>
          <t>No score uplift from claims alone; lock denominator/exclusions before results; sample verification; cross-check with adjacent domains; high scores require corroboration.</t>
        </is>
      </c>
      <c r="L114" s="8" t="inlineStr">
        <is>
          <t>Use primary-owner rule; shared evidence may validate multiple metrics but the same activity cannot be scored twice across domains.</t>
        </is>
      </c>
      <c r="M114" s="8" t="inlineStr">
        <is>
          <t>100*((0.45*M)+(0.30*I)+(0.25*O))/5 when O exists; otherwise 100*((0.60*M)+(0.40*I))/5.</t>
        </is>
      </c>
      <c r="N114" s="8" t="inlineStr">
        <is>
          <t>D09 methodology/data owner</t>
        </is>
      </c>
      <c r="O114" s="8" t="inlineStr">
        <is>
          <t>PROVISIONAL—pilot validation required</t>
        </is>
      </c>
    </row>
    <row r="115">
      <c r="A115" s="8" t="inlineStr">
        <is>
          <t>D09</t>
        </is>
      </c>
      <c r="B115" s="8" t="inlineStr">
        <is>
          <t>I11</t>
        </is>
      </c>
      <c r="C115" s="8" t="inlineStr">
        <is>
          <t>Regional/Economic Relevance</t>
        </is>
      </c>
      <c r="D115" s="8" t="inlineStr">
        <is>
          <t>Alignment with the economic and social context in which the institution operates.</t>
        </is>
      </c>
      <c r="E115" s="8" t="inlineStr">
        <is>
          <t>Anchor 0–5 from domain-specific maturity anchor using direct sampled practice/work evidence; do not infer maturity from policy statements alone.</t>
        </is>
      </c>
      <c r="F115" s="8" t="inlineStr">
        <is>
          <t>0–5: 0 absent; 1 isolated/person-dependent; 2 repeatable in limited areas; 3 institutionally structured; 4 broad/cross-functional and consistently operating; 5 continuously improved/scaled.</t>
        </is>
      </c>
      <c r="G115" s="8" t="inlineStr">
        <is>
          <t>Use outcome only when a legitimate measurable result exists; otherwise N/A.</t>
        </is>
      </c>
      <c r="H115" s="8" t="inlineStr">
        <is>
          <t>Only genuine mandate/context inapplicability with documented assessor approval; missing evidence is never N/A.</t>
        </is>
      </c>
      <c r="I115" s="8" t="inlineStr">
        <is>
          <t>—</t>
        </is>
      </c>
      <c r="J115" s="8" t="inlineStr">
        <is>
          <t>E0=0.20; E1=0.40; E2=0.65; E3=0.85; E4=1.00, subject to corroboration/independence adjustment. Report separately.</t>
        </is>
      </c>
      <c r="K115" s="8" t="inlineStr">
        <is>
          <t>No score uplift from claims alone; lock denominator/exclusions before results; sample verification; cross-check with adjacent domains; high scores require corroboration.</t>
        </is>
      </c>
      <c r="L115" s="8" t="inlineStr">
        <is>
          <t>Use primary-owner rule; shared evidence may validate multiple metrics but the same activity cannot be scored twice across domains.</t>
        </is>
      </c>
      <c r="M115" s="8" t="inlineStr">
        <is>
          <t>100*((0.45*M)+(0.30*I)+(0.25*O))/5 when O exists; otherwise 100*((0.60*M)+(0.40*I))/5.</t>
        </is>
      </c>
      <c r="N115" s="8" t="inlineStr">
        <is>
          <t>D09 methodology/data owner</t>
        </is>
      </c>
      <c r="O115" s="8" t="inlineStr">
        <is>
          <t>PROVISIONAL—pilot validation required</t>
        </is>
      </c>
    </row>
    <row r="116">
      <c r="A116" s="8" t="inlineStr">
        <is>
          <t>D09</t>
        </is>
      </c>
      <c r="B116" s="8" t="inlineStr">
        <is>
          <t>I12</t>
        </is>
      </c>
      <c r="C116" s="8" t="inlineStr">
        <is>
          <t>Alumni Career Intelligence</t>
        </is>
      </c>
      <c r="D116" s="8" t="inlineStr">
        <is>
          <t>Use of alumni trajectories to understand and improve graduate outcomes.</t>
        </is>
      </c>
      <c r="E116" s="8" t="inlineStr">
        <is>
          <t>Anchor 0–5 from domain-specific maturity anchor using direct sampled practice/work evidence; do not infer maturity from policy statements alone.</t>
        </is>
      </c>
      <c r="F116" s="8" t="inlineStr">
        <is>
          <t>0–5: 0 absent; 1 isolated/person-dependent; 2 repeatable in limited areas; 3 institutionally structured; 4 broad/cross-functional and consistently operating; 5 continuously improved/scaled.</t>
        </is>
      </c>
      <c r="G116" s="8" t="inlineStr">
        <is>
          <t>Use outcome only when a legitimate measurable result exists; otherwise N/A.</t>
        </is>
      </c>
      <c r="H116" s="8" t="inlineStr">
        <is>
          <t>Only genuine mandate/context inapplicability with documented assessor approval; missing evidence is never N/A.</t>
        </is>
      </c>
      <c r="I116" s="8" t="inlineStr">
        <is>
          <t>—</t>
        </is>
      </c>
      <c r="J116" s="8" t="inlineStr">
        <is>
          <t>E0=0.20; E1=0.40; E2=0.65; E3=0.85; E4=1.00, subject to corroboration/independence adjustment. Report separately.</t>
        </is>
      </c>
      <c r="K116" s="8" t="inlineStr">
        <is>
          <t>No score uplift from claims alone; lock denominator/exclusions before results; sample verification; cross-check with adjacent domains; high scores require corroboration.</t>
        </is>
      </c>
      <c r="L116" s="8" t="inlineStr">
        <is>
          <t>Use primary-owner rule; shared evidence may validate multiple metrics but the same activity cannot be scored twice across domains.</t>
        </is>
      </c>
      <c r="M116" s="8" t="inlineStr">
        <is>
          <t>100*((0.45*M)+(0.30*I)+(0.25*O))/5 when O exists; otherwise 100*((0.60*M)+(0.40*I))/5.</t>
        </is>
      </c>
      <c r="N116" s="8" t="inlineStr">
        <is>
          <t>D09 methodology/data owner</t>
        </is>
      </c>
      <c r="O116" s="8" t="inlineStr">
        <is>
          <t>PROVISIONAL—pilot validation required</t>
        </is>
      </c>
    </row>
    <row r="117">
      <c r="A117" s="8" t="inlineStr">
        <is>
          <t>D10</t>
        </is>
      </c>
      <c r="B117" s="8" t="inlineStr">
        <is>
          <t>I01</t>
        </is>
      </c>
      <c r="C117" s="8" t="inlineStr">
        <is>
          <t>Research Strategy Maturity</t>
        </is>
      </c>
      <c r="D117" s="8" t="inlineStr">
        <is>
          <t>Whether research priorities are strategically defined and connected to institutional purpose and emerging needs.</t>
        </is>
      </c>
      <c r="E117" s="8" t="inlineStr">
        <is>
          <t>Anchor 0–5 from domain-specific maturity anchor using direct sampled practice/work evidence; do not infer maturity from policy statements alone.</t>
        </is>
      </c>
      <c r="F117" s="8" t="inlineStr">
        <is>
          <t>0–5: 0 absent; 1 isolated/person-dependent; 2 repeatable in limited areas; 3 institutionally structured; 4 broad/cross-functional and consistently operating; 5 continuously improved/scaled.</t>
        </is>
      </c>
      <c r="G117" s="8" t="inlineStr">
        <is>
          <t>Use outcome only when a legitimate measurable result exists; otherwise N/A.</t>
        </is>
      </c>
      <c r="H117" s="8" t="inlineStr">
        <is>
          <t>Only genuine mandate/context inapplicability with documented assessor approval; missing evidence is never N/A.</t>
        </is>
      </c>
      <c r="I117" s="8" t="inlineStr">
        <is>
          <t>—</t>
        </is>
      </c>
      <c r="J117" s="8" t="inlineStr">
        <is>
          <t>E0=0.20; E1=0.40; E2=0.65; E3=0.85; E4=1.00, subject to corroboration/independence adjustment. Report separately.</t>
        </is>
      </c>
      <c r="K117" s="8" t="inlineStr">
        <is>
          <t>No score uplift from claims alone; lock denominator/exclusions before results; sample verification; cross-check with adjacent domains; high scores require corroboration.</t>
        </is>
      </c>
      <c r="L117" s="8" t="inlineStr">
        <is>
          <t>Use primary-owner rule; shared evidence may validate multiple metrics but the same activity cannot be scored twice across domains.</t>
        </is>
      </c>
      <c r="M117" s="8" t="inlineStr">
        <is>
          <t>100*((0.45*M)+(0.30*I)+(0.25*O))/5 when O exists; otherwise 100*((0.60*M)+(0.40*I))/5.</t>
        </is>
      </c>
      <c r="N117" s="8" t="inlineStr">
        <is>
          <t>D10 methodology/data owner</t>
        </is>
      </c>
      <c r="O117" s="8" t="inlineStr">
        <is>
          <t>PROVISIONAL—pilot validation required</t>
        </is>
      </c>
    </row>
    <row r="118">
      <c r="A118" s="8" t="inlineStr">
        <is>
          <t>D10</t>
        </is>
      </c>
      <c r="B118" s="8" t="inlineStr">
        <is>
          <t>I02</t>
        </is>
      </c>
      <c r="C118" s="8" t="inlineStr">
        <is>
          <t>Research Portfolio Balance</t>
        </is>
      </c>
      <c r="D118" s="8" t="inlineStr">
        <is>
          <t>Breadth, depth, concentration and strategic coherence of the research portfolio.</t>
        </is>
      </c>
      <c r="E118" s="8" t="inlineStr">
        <is>
          <t>Anchor 0–5 from domain-specific maturity anchor using direct sampled practice/work evidence; do not infer maturity from policy statements alone.</t>
        </is>
      </c>
      <c r="F118" s="8" t="inlineStr">
        <is>
          <t>0–5: 0 absent; 1 isolated/person-dependent; 2 repeatable in limited areas; 3 institutionally structured; 4 broad/cross-functional and consistently operating; 5 continuously improved/scaled.</t>
        </is>
      </c>
      <c r="G118" s="8" t="inlineStr">
        <is>
          <t>Use outcome only when a legitimate measurable result exists; otherwise N/A.</t>
        </is>
      </c>
      <c r="H118" s="8" t="inlineStr">
        <is>
          <t>Only genuine mandate/context inapplicability with documented assessor approval; missing evidence is never N/A.</t>
        </is>
      </c>
      <c r="I118" s="8" t="inlineStr">
        <is>
          <t>—</t>
        </is>
      </c>
      <c r="J118" s="8" t="inlineStr">
        <is>
          <t>E0=0.20; E1=0.40; E2=0.65; E3=0.85; E4=1.00, subject to corroboration/independence adjustment. Report separately.</t>
        </is>
      </c>
      <c r="K118" s="8" t="inlineStr">
        <is>
          <t>No score uplift from claims alone; lock denominator/exclusions before results; sample verification; cross-check with adjacent domains; high scores require corroboration.</t>
        </is>
      </c>
      <c r="L118" s="8" t="inlineStr">
        <is>
          <t>Use primary-owner rule; shared evidence may validate multiple metrics but the same activity cannot be scored twice across domains.</t>
        </is>
      </c>
      <c r="M118" s="8" t="inlineStr">
        <is>
          <t>100*((0.45*M)+(0.30*I)+(0.25*O))/5 when O exists; otherwise 100*((0.60*M)+(0.40*I))/5.</t>
        </is>
      </c>
      <c r="N118" s="8" t="inlineStr">
        <is>
          <t>D10 methodology/data owner</t>
        </is>
      </c>
      <c r="O118" s="8" t="inlineStr">
        <is>
          <t>PROVISIONAL—pilot validation required</t>
        </is>
      </c>
    </row>
    <row r="119">
      <c r="A119" s="8" t="inlineStr">
        <is>
          <t>D10</t>
        </is>
      </c>
      <c r="B119" s="8" t="inlineStr">
        <is>
          <t>I03</t>
        </is>
      </c>
      <c r="C119" s="8" t="inlineStr">
        <is>
          <t>Interdisciplinary Research Capability</t>
        </is>
      </c>
      <c r="D119" s="8" t="inlineStr">
        <is>
          <t>Ability to bring disciplines together around meaningful questions.</t>
        </is>
      </c>
      <c r="E119" s="8" t="inlineStr">
        <is>
          <t>Anchor 0–5 from domain-specific maturity anchor using direct sampled practice/work evidence; do not infer maturity from policy statements alone.</t>
        </is>
      </c>
      <c r="F119" s="8" t="inlineStr">
        <is>
          <t>0–5: 0 absent; 1 isolated/person-dependent; 2 repeatable in limited areas; 3 institutionally structured; 4 broad/cross-functional and consistently operating; 5 continuously improved/scaled.</t>
        </is>
      </c>
      <c r="G119" s="8" t="inlineStr">
        <is>
          <t>Use outcome only when a legitimate measurable result exists; otherwise N/A.</t>
        </is>
      </c>
      <c r="H119" s="8" t="inlineStr">
        <is>
          <t>Only genuine mandate/context inapplicability with documented assessor approval; missing evidence is never N/A.</t>
        </is>
      </c>
      <c r="I119" s="8" t="inlineStr">
        <is>
          <t>—</t>
        </is>
      </c>
      <c r="J119" s="8" t="inlineStr">
        <is>
          <t>E0=0.20; E1=0.40; E2=0.65; E3=0.85; E4=1.00, subject to corroboration/independence adjustment. Report separately.</t>
        </is>
      </c>
      <c r="K119" s="8" t="inlineStr">
        <is>
          <t>No score uplift from claims alone; lock denominator/exclusions before results; sample verification; cross-check with adjacent domains; high scores require corroboration.</t>
        </is>
      </c>
      <c r="L119" s="8" t="inlineStr">
        <is>
          <t>Use primary-owner rule; shared evidence may validate multiple metrics but the same activity cannot be scored twice across domains.</t>
        </is>
      </c>
      <c r="M119" s="8" t="inlineStr">
        <is>
          <t>100*((0.45*M)+(0.30*I)+(0.25*O))/5 when O exists; otherwise 100*((0.60*M)+(0.40*I))/5.</t>
        </is>
      </c>
      <c r="N119" s="8" t="inlineStr">
        <is>
          <t>D10 methodology/data owner</t>
        </is>
      </c>
      <c r="O119" s="8" t="inlineStr">
        <is>
          <t>PROVISIONAL—pilot validation required</t>
        </is>
      </c>
    </row>
    <row r="120">
      <c r="A120" s="8" t="inlineStr">
        <is>
          <t>D10</t>
        </is>
      </c>
      <c r="B120" s="8" t="inlineStr">
        <is>
          <t>I04</t>
        </is>
      </c>
      <c r="C120" s="8" t="inlineStr">
        <is>
          <t>AI-Enabled Research Capability</t>
        </is>
      </c>
      <c r="D120" s="8" t="inlineStr">
        <is>
          <t>Responsible use of AI across discovery, analysis, experimentation and knowledge creation.</t>
        </is>
      </c>
      <c r="E120" s="8" t="inlineStr">
        <is>
          <t>Anchor 0–5 from domain-specific maturity anchor using direct sampled practice/work evidence; do not infer maturity from policy statements alone.</t>
        </is>
      </c>
      <c r="F120" s="8" t="inlineStr">
        <is>
          <t>0–5: 0 absent; 1 isolated/person-dependent; 2 repeatable in limited areas; 3 institutionally structured; 4 broad/cross-functional and consistently operating; 5 continuously improved/scaled.</t>
        </is>
      </c>
      <c r="G120" s="8" t="inlineStr">
        <is>
          <t>Use outcome only when a legitimate measurable result exists; otherwise N/A.</t>
        </is>
      </c>
      <c r="H120" s="8" t="inlineStr">
        <is>
          <t>Only genuine mandate/context inapplicability with documented assessor approval; missing evidence is never N/A.</t>
        </is>
      </c>
      <c r="I120" s="8" t="inlineStr">
        <is>
          <t>—</t>
        </is>
      </c>
      <c r="J120" s="8" t="inlineStr">
        <is>
          <t>E0=0.20; E1=0.40; E2=0.65; E3=0.85; E4=1.00, subject to corroboration/independence adjustment. Report separately.</t>
        </is>
      </c>
      <c r="K120" s="8" t="inlineStr">
        <is>
          <t>No score uplift from claims alone; lock denominator/exclusions before results; sample verification; cross-check with adjacent domains; high scores require corroboration.</t>
        </is>
      </c>
      <c r="L120" s="8" t="inlineStr">
        <is>
          <t>Use primary-owner rule; shared evidence may validate multiple metrics but the same activity cannot be scored twice across domains.</t>
        </is>
      </c>
      <c r="M120" s="8" t="inlineStr">
        <is>
          <t>100*((0.45*M)+(0.30*I)+(0.25*O))/5 when O exists; otherwise 100*((0.60*M)+(0.40*I))/5.</t>
        </is>
      </c>
      <c r="N120" s="8" t="inlineStr">
        <is>
          <t>D10 methodology/data owner</t>
        </is>
      </c>
      <c r="O120" s="8" t="inlineStr">
        <is>
          <t>PROVISIONAL—pilot validation required</t>
        </is>
      </c>
    </row>
    <row r="121">
      <c r="A121" s="8" t="inlineStr">
        <is>
          <t>D10</t>
        </is>
      </c>
      <c r="B121" s="8" t="inlineStr">
        <is>
          <t>I05</t>
        </is>
      </c>
      <c r="C121" s="8" t="inlineStr">
        <is>
          <t>Research Infrastructure Readiness</t>
        </is>
      </c>
      <c r="D121" s="8" t="inlineStr">
        <is>
          <t>Adequacy and accessibility of research infrastructure, data and tools.</t>
        </is>
      </c>
      <c r="E121" s="8" t="inlineStr">
        <is>
          <t>Anchor 0–5 from domain-specific maturity anchor using direct sampled practice/work evidence; do not infer maturity from policy statements alone.</t>
        </is>
      </c>
      <c r="F121" s="8" t="inlineStr">
        <is>
          <t>0–5: 0 absent; 1 isolated/person-dependent; 2 repeatable in limited areas; 3 institutionally structured; 4 broad/cross-functional and consistently operating; 5 continuously improved/scaled.</t>
        </is>
      </c>
      <c r="G121" s="8" t="inlineStr">
        <is>
          <t>Use outcome only when a legitimate measurable result exists; otherwise N/A.</t>
        </is>
      </c>
      <c r="H121" s="8" t="inlineStr">
        <is>
          <t>Only genuine mandate/context inapplicability with documented assessor approval; missing evidence is never N/A.</t>
        </is>
      </c>
      <c r="I121" s="8" t="inlineStr">
        <is>
          <t>—</t>
        </is>
      </c>
      <c r="J121" s="8" t="inlineStr">
        <is>
          <t>E0=0.20; E1=0.40; E2=0.65; E3=0.85; E4=1.00, subject to corroboration/independence adjustment. Report separately.</t>
        </is>
      </c>
      <c r="K121" s="8" t="inlineStr">
        <is>
          <t>No score uplift from claims alone; lock denominator/exclusions before results; sample verification; cross-check with adjacent domains; high scores require corroboration.</t>
        </is>
      </c>
      <c r="L121" s="8" t="inlineStr">
        <is>
          <t>Use primary-owner rule; shared evidence may validate multiple metrics but the same activity cannot be scored twice across domains.</t>
        </is>
      </c>
      <c r="M121" s="8" t="inlineStr">
        <is>
          <t>100*((0.45*M)+(0.30*I)+(0.25*O))/5 when O exists; otherwise 100*((0.60*M)+(0.40*I))/5.</t>
        </is>
      </c>
      <c r="N121" s="8" t="inlineStr">
        <is>
          <t>D10 methodology/data owner</t>
        </is>
      </c>
      <c r="O121" s="8" t="inlineStr">
        <is>
          <t>PROVISIONAL—pilot validation required</t>
        </is>
      </c>
    </row>
    <row r="122">
      <c r="A122" s="8" t="inlineStr">
        <is>
          <t>D10</t>
        </is>
      </c>
      <c r="B122" s="8" t="inlineStr">
        <is>
          <t>I06</t>
        </is>
      </c>
      <c r="C122" s="8" t="inlineStr">
        <is>
          <t>Researcher Capability</t>
        </is>
      </c>
      <c r="D122" s="8" t="inlineStr">
        <is>
          <t>Ability to develop and retain researchers and research-active faculty.</t>
        </is>
      </c>
      <c r="E122" s="8" t="inlineStr">
        <is>
          <t>Anchor 0–5 from domain-specific maturity anchor using direct sampled practice/work evidence; do not infer maturity from policy statements alone.</t>
        </is>
      </c>
      <c r="F122" s="8" t="inlineStr">
        <is>
          <t>0–5: 0 absent; 1 isolated/person-dependent; 2 repeatable in limited areas; 3 institutionally structured; 4 broad/cross-functional and consistently operating; 5 continuously improved/scaled.</t>
        </is>
      </c>
      <c r="G122" s="8" t="inlineStr">
        <is>
          <t>Use outcome only when a legitimate measurable result exists; otherwise N/A.</t>
        </is>
      </c>
      <c r="H122" s="8" t="inlineStr">
        <is>
          <t>Only genuine mandate/context inapplicability with documented assessor approval; missing evidence is never N/A.</t>
        </is>
      </c>
      <c r="I122" s="8" t="inlineStr">
        <is>
          <t>—</t>
        </is>
      </c>
      <c r="J122" s="8" t="inlineStr">
        <is>
          <t>E0=0.20; E1=0.40; E2=0.65; E3=0.85; E4=1.00, subject to corroboration/independence adjustment. Report separately.</t>
        </is>
      </c>
      <c r="K122" s="8" t="inlineStr">
        <is>
          <t>No score uplift from claims alone; lock denominator/exclusions before results; sample verification; cross-check with adjacent domains; high scores require corroboration.</t>
        </is>
      </c>
      <c r="L122" s="8" t="inlineStr">
        <is>
          <t>Use primary-owner rule; shared evidence may validate multiple metrics but the same activity cannot be scored twice across domains.</t>
        </is>
      </c>
      <c r="M122" s="8" t="inlineStr">
        <is>
          <t>100*((0.45*M)+(0.30*I)+(0.25*O))/5 when O exists; otherwise 100*((0.60*M)+(0.40*I))/5.</t>
        </is>
      </c>
      <c r="N122" s="8" t="inlineStr">
        <is>
          <t>D10 methodology/data owner</t>
        </is>
      </c>
      <c r="O122" s="8" t="inlineStr">
        <is>
          <t>PROVISIONAL—pilot validation required</t>
        </is>
      </c>
    </row>
    <row r="123">
      <c r="A123" s="8" t="inlineStr">
        <is>
          <t>D10</t>
        </is>
      </c>
      <c r="B123" s="8" t="inlineStr">
        <is>
          <t>I07</t>
        </is>
      </c>
      <c r="C123" s="8" t="inlineStr">
        <is>
          <t>Research Funding Capability</t>
        </is>
      </c>
      <c r="D123" s="8" t="inlineStr">
        <is>
          <t>Ability to identify, develop and secure competitive research resources.</t>
        </is>
      </c>
      <c r="E123" s="8" t="inlineStr">
        <is>
          <t>Anchor 0–5 from domain-specific maturity anchor using direct sampled practice/work evidence; do not infer maturity from policy statements alone.</t>
        </is>
      </c>
      <c r="F123" s="8" t="inlineStr">
        <is>
          <t>0–5: 0 absent; 1 isolated/person-dependent; 2 repeatable in limited areas; 3 institutionally structured; 4 broad/cross-functional and consistently operating; 5 continuously improved/scaled.</t>
        </is>
      </c>
      <c r="G123" s="8" t="inlineStr">
        <is>
          <t>Use outcome only when a legitimate measurable result exists; otherwise N/A.</t>
        </is>
      </c>
      <c r="H123" s="8" t="inlineStr">
        <is>
          <t>Only genuine mandate/context inapplicability with documented assessor approval; missing evidence is never N/A.</t>
        </is>
      </c>
      <c r="I123" s="8" t="inlineStr">
        <is>
          <t>—</t>
        </is>
      </c>
      <c r="J123" s="8" t="inlineStr">
        <is>
          <t>E0=0.20; E1=0.40; E2=0.65; E3=0.85; E4=1.00, subject to corroboration/independence adjustment. Report separately.</t>
        </is>
      </c>
      <c r="K123" s="8" t="inlineStr">
        <is>
          <t>No score uplift from claims alone; lock denominator/exclusions before results; sample verification; cross-check with adjacent domains; high scores require corroboration.</t>
        </is>
      </c>
      <c r="L123" s="8" t="inlineStr">
        <is>
          <t>Use primary-owner rule; shared evidence may validate multiple metrics but the same activity cannot be scored twice across domains.</t>
        </is>
      </c>
      <c r="M123" s="8" t="inlineStr">
        <is>
          <t>100*((0.45*M)+(0.30*I)+(0.25*O))/5 when O exists; otherwise 100*((0.60*M)+(0.40*I))/5.</t>
        </is>
      </c>
      <c r="N123" s="8" t="inlineStr">
        <is>
          <t>D10 methodology/data owner</t>
        </is>
      </c>
      <c r="O123" s="8" t="inlineStr">
        <is>
          <t>PROVISIONAL—pilot validation required</t>
        </is>
      </c>
    </row>
    <row r="124">
      <c r="A124" s="8" t="inlineStr">
        <is>
          <t>D10</t>
        </is>
      </c>
      <c r="B124" s="8" t="inlineStr">
        <is>
          <t>I08</t>
        </is>
      </c>
      <c r="C124" s="8" t="inlineStr">
        <is>
          <t>Knowledge Translation Capability</t>
        </is>
      </c>
      <c r="D124" s="8" t="inlineStr">
        <is>
          <t>Movement from research findings to application, policy, practice or public value.</t>
        </is>
      </c>
      <c r="E124" s="8" t="inlineStr">
        <is>
          <t>Anchor 0–5 from domain-specific maturity anchor using direct sampled practice/work evidence; do not infer maturity from policy statements alone.</t>
        </is>
      </c>
      <c r="F124" s="8" t="inlineStr">
        <is>
          <t>0–5: 0 absent; 1 isolated/person-dependent; 2 repeatable in limited areas; 3 institutionally structured; 4 broad/cross-functional and consistently operating; 5 continuously improved/scaled.</t>
        </is>
      </c>
      <c r="G124" s="8" t="inlineStr">
        <is>
          <t>Use outcome only when a legitimate measurable result exists; otherwise N/A.</t>
        </is>
      </c>
      <c r="H124" s="8" t="inlineStr">
        <is>
          <t>Only genuine mandate/context inapplicability with documented assessor approval; missing evidence is never N/A.</t>
        </is>
      </c>
      <c r="I124" s="8" t="inlineStr">
        <is>
          <t>—</t>
        </is>
      </c>
      <c r="J124" s="8" t="inlineStr">
        <is>
          <t>E0=0.20; E1=0.40; E2=0.65; E3=0.85; E4=1.00, subject to corroboration/independence adjustment. Report separately.</t>
        </is>
      </c>
      <c r="K124" s="8" t="inlineStr">
        <is>
          <t>No score uplift from claims alone; lock denominator/exclusions before results; sample verification; cross-check with adjacent domains; high scores require corroboration.</t>
        </is>
      </c>
      <c r="L124" s="8" t="inlineStr">
        <is>
          <t>Use primary-owner rule; shared evidence may validate multiple metrics but the same activity cannot be scored twice across domains.</t>
        </is>
      </c>
      <c r="M124" s="8" t="inlineStr">
        <is>
          <t>100*((0.45*M)+(0.30*I)+(0.25*O))/5 when O exists; otherwise 100*((0.60*M)+(0.40*I))/5.</t>
        </is>
      </c>
      <c r="N124" s="8" t="inlineStr">
        <is>
          <t>D10 methodology/data owner</t>
        </is>
      </c>
      <c r="O124" s="8" t="inlineStr">
        <is>
          <t>PROVISIONAL—pilot validation required</t>
        </is>
      </c>
    </row>
    <row r="125">
      <c r="A125" s="8" t="inlineStr">
        <is>
          <t>D10</t>
        </is>
      </c>
      <c r="B125" s="8" t="inlineStr">
        <is>
          <t>I09</t>
        </is>
      </c>
      <c r="C125" s="8" t="inlineStr">
        <is>
          <t>Industry-Linked Research</t>
        </is>
      </c>
      <c r="D125" s="8" t="inlineStr">
        <is>
          <t>Depth of meaningful research collaboration with industry and external organisations.</t>
        </is>
      </c>
      <c r="E125" s="8" t="inlineStr">
        <is>
          <t>Anchor 0–5 from domain-specific maturity anchor using direct sampled practice/work evidence; do not infer maturity from policy statements alone.</t>
        </is>
      </c>
      <c r="F125" s="8" t="inlineStr">
        <is>
          <t>0–5: 0 absent; 1 isolated/person-dependent; 2 repeatable in limited areas; 3 institutionally structured; 4 broad/cross-functional and consistently operating; 5 continuously improved/scaled.</t>
        </is>
      </c>
      <c r="G125" s="8" t="inlineStr">
        <is>
          <t>Use outcome only when a legitimate measurable result exists; otherwise N/A.</t>
        </is>
      </c>
      <c r="H125" s="8" t="inlineStr">
        <is>
          <t>Only genuine mandate/context inapplicability with documented assessor approval; missing evidence is never N/A.</t>
        </is>
      </c>
      <c r="I125" s="8" t="inlineStr">
        <is>
          <t>—</t>
        </is>
      </c>
      <c r="J125" s="8" t="inlineStr">
        <is>
          <t>E0=0.20; E1=0.40; E2=0.65; E3=0.85; E4=1.00, subject to corroboration/independence adjustment. Report separately.</t>
        </is>
      </c>
      <c r="K125" s="8" t="inlineStr">
        <is>
          <t>No score uplift from claims alone; lock denominator/exclusions before results; sample verification; cross-check with adjacent domains; high scores require corroboration.</t>
        </is>
      </c>
      <c r="L125" s="8" t="inlineStr">
        <is>
          <t>Use primary-owner rule; shared evidence may validate multiple metrics but the same activity cannot be scored twice across domains.</t>
        </is>
      </c>
      <c r="M125" s="8" t="inlineStr">
        <is>
          <t>100*((0.45*M)+(0.30*I)+(0.25*O))/5 when O exists; otherwise 100*((0.60*M)+(0.40*I))/5.</t>
        </is>
      </c>
      <c r="N125" s="8" t="inlineStr">
        <is>
          <t>D10 methodology/data owner</t>
        </is>
      </c>
      <c r="O125" s="8" t="inlineStr">
        <is>
          <t>PROVISIONAL—pilot validation required</t>
        </is>
      </c>
    </row>
    <row r="126">
      <c r="A126" s="8" t="inlineStr">
        <is>
          <t>D10</t>
        </is>
      </c>
      <c r="B126" s="8" t="inlineStr">
        <is>
          <t>I10</t>
        </is>
      </c>
      <c r="C126" s="8" t="inlineStr">
        <is>
          <t>Research-to-Innovation Pipeline</t>
        </is>
      </c>
      <c r="D126" s="8" t="inlineStr">
        <is>
          <t>Ability to move promising research toward prototypes, ventures, IP or implementation.</t>
        </is>
      </c>
      <c r="E126" s="8" t="inlineStr">
        <is>
          <t>Anchor 0–5 from domain-specific maturity anchor using direct sampled practice/work evidence; do not infer maturity from policy statements alone.</t>
        </is>
      </c>
      <c r="F126" s="8" t="inlineStr">
        <is>
          <t>0–5: 0 absent; 1 isolated/person-dependent; 2 repeatable in limited areas; 3 institutionally structured; 4 broad/cross-functional and consistently operating; 5 continuously improved/scaled.</t>
        </is>
      </c>
      <c r="G126" s="8" t="inlineStr">
        <is>
          <t>Use outcome only when a legitimate measurable result exists; otherwise N/A.</t>
        </is>
      </c>
      <c r="H126" s="8" t="inlineStr">
        <is>
          <t>Only genuine mandate/context inapplicability with documented assessor approval; missing evidence is never N/A.</t>
        </is>
      </c>
      <c r="I126" s="8" t="inlineStr">
        <is>
          <t>—</t>
        </is>
      </c>
      <c r="J126" s="8" t="inlineStr">
        <is>
          <t>E0=0.20; E1=0.40; E2=0.65; E3=0.85; E4=1.00, subject to corroboration/independence adjustment. Report separately.</t>
        </is>
      </c>
      <c r="K126" s="8" t="inlineStr">
        <is>
          <t>No score uplift from claims alone; lock denominator/exclusions before results; sample verification; cross-check with adjacent domains; high scores require corroboration.</t>
        </is>
      </c>
      <c r="L126" s="8" t="inlineStr">
        <is>
          <t>Use primary-owner rule; shared evidence may validate multiple metrics but the same activity cannot be scored twice across domains.</t>
        </is>
      </c>
      <c r="M126" s="8" t="inlineStr">
        <is>
          <t>100*((0.45*M)+(0.30*I)+(0.25*O))/5 when O exists; otherwise 100*((0.60*M)+(0.40*I))/5.</t>
        </is>
      </c>
      <c r="N126" s="8" t="inlineStr">
        <is>
          <t>D10 methodology/data owner</t>
        </is>
      </c>
      <c r="O126" s="8" t="inlineStr">
        <is>
          <t>PROVISIONAL—pilot validation required</t>
        </is>
      </c>
    </row>
    <row r="127">
      <c r="A127" s="8" t="inlineStr">
        <is>
          <t>D10</t>
        </is>
      </c>
      <c r="B127" s="8" t="inlineStr">
        <is>
          <t>I11</t>
        </is>
      </c>
      <c r="C127" s="8" t="inlineStr">
        <is>
          <t>IP &amp; Knowledge Assets</t>
        </is>
      </c>
      <c r="D127" s="8" t="inlineStr">
        <is>
          <t>Quality and strategic management of intellectual property and other knowledge assets.</t>
        </is>
      </c>
      <c r="E127" s="8" t="inlineStr">
        <is>
          <t>Anchor 0–5 from domain-specific maturity anchor using direct sampled practice/work evidence; do not infer maturity from policy statements alone.</t>
        </is>
      </c>
      <c r="F127" s="8" t="inlineStr">
        <is>
          <t>0–5: 0 absent; 1 isolated/person-dependent; 2 repeatable in limited areas; 3 institutionally structured; 4 broad/cross-functional and consistently operating; 5 continuously improved/scaled.</t>
        </is>
      </c>
      <c r="G127" s="8" t="inlineStr">
        <is>
          <t>Use outcome only when a legitimate measurable result exists; otherwise N/A.</t>
        </is>
      </c>
      <c r="H127" s="8" t="inlineStr">
        <is>
          <t>Only genuine mandate/context inapplicability with documented assessor approval; missing evidence is never N/A.</t>
        </is>
      </c>
      <c r="I127" s="8" t="inlineStr">
        <is>
          <t>—</t>
        </is>
      </c>
      <c r="J127" s="8" t="inlineStr">
        <is>
          <t>E0=0.20; E1=0.40; E2=0.65; E3=0.85; E4=1.00, subject to corroboration/independence adjustment. Report separately.</t>
        </is>
      </c>
      <c r="K127" s="8" t="inlineStr">
        <is>
          <t>No score uplift from claims alone; lock denominator/exclusions before results; sample verification; cross-check with adjacent domains; high scores require corroboration.</t>
        </is>
      </c>
      <c r="L127" s="8" t="inlineStr">
        <is>
          <t>Use primary-owner rule; shared evidence may validate multiple metrics but the same activity cannot be scored twice across domains.</t>
        </is>
      </c>
      <c r="M127" s="8" t="inlineStr">
        <is>
          <t>100*((0.45*M)+(0.30*I)+(0.25*O))/5 when O exists; otherwise 100*((0.60*M)+(0.40*I))/5.</t>
        </is>
      </c>
      <c r="N127" s="8" t="inlineStr">
        <is>
          <t>D10 methodology/data owner</t>
        </is>
      </c>
      <c r="O127" s="8" t="inlineStr">
        <is>
          <t>PROVISIONAL—pilot validation required</t>
        </is>
      </c>
    </row>
    <row r="128">
      <c r="A128" s="8" t="inlineStr">
        <is>
          <t>D10</t>
        </is>
      </c>
      <c r="B128" s="8" t="inlineStr">
        <is>
          <t>I12</t>
        </is>
      </c>
      <c r="C128" s="8" t="inlineStr">
        <is>
          <t>Research Integrity &amp; Responsible AI</t>
        </is>
      </c>
      <c r="D128" s="8" t="inlineStr">
        <is>
          <t>Integrity, reproducibility, ethics, authorship, data and responsible AI practices.</t>
        </is>
      </c>
      <c r="E128" s="8" t="inlineStr">
        <is>
          <t>Anchor 0–5 from domain-specific maturity anchor using direct sampled practice/work evidence; do not infer maturity from policy statements alone.</t>
        </is>
      </c>
      <c r="F128" s="8" t="inlineStr">
        <is>
          <t>0–5: 0 absent; 1 isolated/person-dependent; 2 repeatable in limited areas; 3 institutionally structured; 4 broad/cross-functional and consistently operating; 5 continuously improved/scaled.</t>
        </is>
      </c>
      <c r="G128" s="8" t="inlineStr">
        <is>
          <t>Use outcome only when a legitimate measurable result exists; otherwise N/A.</t>
        </is>
      </c>
      <c r="H128" s="8" t="inlineStr">
        <is>
          <t>Only genuine mandate/context inapplicability with documented assessor approval; missing evidence is never N/A.</t>
        </is>
      </c>
      <c r="I128" s="8" t="inlineStr">
        <is>
          <t>—</t>
        </is>
      </c>
      <c r="J128" s="8" t="inlineStr">
        <is>
          <t>E0=0.20; E1=0.40; E2=0.65; E3=0.85; E4=1.00, subject to corroboration/independence adjustment. Report separately.</t>
        </is>
      </c>
      <c r="K128" s="8" t="inlineStr">
        <is>
          <t>No score uplift from claims alone; lock denominator/exclusions before results; sample verification; cross-check with adjacent domains; high scores require corroboration.</t>
        </is>
      </c>
      <c r="L128" s="8" t="inlineStr">
        <is>
          <t>Use primary-owner rule; shared evidence may validate multiple metrics but the same activity cannot be scored twice across domains.</t>
        </is>
      </c>
      <c r="M128" s="8" t="inlineStr">
        <is>
          <t>100*((0.45*M)+(0.30*I)+(0.25*O))/5 when O exists; otherwise 100*((0.60*M)+(0.40*I))/5.</t>
        </is>
      </c>
      <c r="N128" s="8" t="inlineStr">
        <is>
          <t>D10 methodology/data owner</t>
        </is>
      </c>
      <c r="O128" s="8" t="inlineStr">
        <is>
          <t>PROVISIONAL—pilot validation required</t>
        </is>
      </c>
    </row>
    <row r="129">
      <c r="A129" s="8" t="inlineStr">
        <is>
          <t>D10</t>
        </is>
      </c>
      <c r="B129" s="8" t="inlineStr">
        <is>
          <t>I13</t>
        </is>
      </c>
      <c r="C129" s="8" t="inlineStr">
        <is>
          <t>Research Impact Evidence</t>
        </is>
      </c>
      <c r="D129" s="8" t="inlineStr">
        <is>
          <t>Evidence of scholarly, economic, social, technological or policy impact.</t>
        </is>
      </c>
      <c r="E129" s="8" t="inlineStr">
        <is>
          <t>Anchor 0–5 from domain-specific maturity anchor using direct sampled practice/work evidence; do not infer maturity from policy statements alone.</t>
        </is>
      </c>
      <c r="F129" s="8" t="inlineStr">
        <is>
          <t>0–5: 0 absent; 1 isolated/person-dependent; 2 repeatable in limited areas; 3 institutionally structured; 4 broad/cross-functional and consistently operating; 5 continuously improved/scaled.</t>
        </is>
      </c>
      <c r="G129" s="8" t="inlineStr">
        <is>
          <t>Use outcome only when a legitimate measurable result exists; otherwise N/A.</t>
        </is>
      </c>
      <c r="H129" s="8" t="inlineStr">
        <is>
          <t>Only genuine mandate/context inapplicability with documented assessor approval; missing evidence is never N/A.</t>
        </is>
      </c>
      <c r="I129" s="8" t="inlineStr">
        <is>
          <t>—</t>
        </is>
      </c>
      <c r="J129" s="8" t="inlineStr">
        <is>
          <t>E0=0.20; E1=0.40; E2=0.65; E3=0.85; E4=1.00, subject to corroboration/independence adjustment. Report separately.</t>
        </is>
      </c>
      <c r="K129" s="8" t="inlineStr">
        <is>
          <t>No score uplift from claims alone; lock denominator/exclusions before results; sample verification; cross-check with adjacent domains; high scores require corroboration.</t>
        </is>
      </c>
      <c r="L129" s="8" t="inlineStr">
        <is>
          <t>Use primary-owner rule; shared evidence may validate multiple metrics but the same activity cannot be scored twice across domains.</t>
        </is>
      </c>
      <c r="M129" s="8" t="inlineStr">
        <is>
          <t>100*((0.45*M)+(0.30*I)+(0.25*O))/5 when O exists; otherwise 100*((0.60*M)+(0.40*I))/5.</t>
        </is>
      </c>
      <c r="N129" s="8" t="inlineStr">
        <is>
          <t>D10 methodology/data owner</t>
        </is>
      </c>
      <c r="O129" s="8" t="inlineStr">
        <is>
          <t>PROVISIONAL—pilot validation required</t>
        </is>
      </c>
    </row>
    <row r="130">
      <c r="A130" s="8" t="inlineStr">
        <is>
          <t>D10</t>
        </is>
      </c>
      <c r="B130" s="8" t="inlineStr">
        <is>
          <t>I14</t>
        </is>
      </c>
      <c r="C130" s="8" t="inlineStr">
        <is>
          <t>Student Research Capability</t>
        </is>
      </c>
      <c r="D130" s="8" t="inlineStr">
        <is>
          <t>Extent to which students participate meaningfully in research and knowledge creation.</t>
        </is>
      </c>
      <c r="E130" s="8" t="inlineStr">
        <is>
          <t>Anchor 0–5 from domain-specific maturity anchor using direct sampled practice/work evidence; do not infer maturity from policy statements alone.</t>
        </is>
      </c>
      <c r="F130" s="8" t="inlineStr">
        <is>
          <t>0–5: 0 absent; 1 isolated/person-dependent; 2 repeatable in limited areas; 3 institutionally structured; 4 broad/cross-functional and consistently operating; 5 continuously improved/scaled.</t>
        </is>
      </c>
      <c r="G130" s="8" t="inlineStr">
        <is>
          <t>Use outcome only when a legitimate measurable result exists; otherwise N/A.</t>
        </is>
      </c>
      <c r="H130" s="8" t="inlineStr">
        <is>
          <t>Only genuine mandate/context inapplicability with documented assessor approval; missing evidence is never N/A.</t>
        </is>
      </c>
      <c r="I130" s="8" t="inlineStr">
        <is>
          <t>—</t>
        </is>
      </c>
      <c r="J130" s="8" t="inlineStr">
        <is>
          <t>E0=0.20; E1=0.40; E2=0.65; E3=0.85; E4=1.00, subject to corroboration/independence adjustment. Report separately.</t>
        </is>
      </c>
      <c r="K130" s="8" t="inlineStr">
        <is>
          <t>No score uplift from claims alone; lock denominator/exclusions before results; sample verification; cross-check with adjacent domains; high scores require corroboration.</t>
        </is>
      </c>
      <c r="L130" s="8" t="inlineStr">
        <is>
          <t>Use primary-owner rule; shared evidence may validate multiple metrics but the same activity cannot be scored twice across domains.</t>
        </is>
      </c>
      <c r="M130" s="8" t="inlineStr">
        <is>
          <t>100*((0.45*M)+(0.30*I)+(0.25*O))/5 when O exists; otherwise 100*((0.60*M)+(0.40*I))/5.</t>
        </is>
      </c>
      <c r="N130" s="8" t="inlineStr">
        <is>
          <t>D10 methodology/data owner</t>
        </is>
      </c>
      <c r="O130" s="8" t="inlineStr">
        <is>
          <t>PROVISIONAL—pilot validation required</t>
        </is>
      </c>
    </row>
    <row r="131">
      <c r="A131" s="8" t="inlineStr">
        <is>
          <t>D11</t>
        </is>
      </c>
      <c r="B131" s="8" t="inlineStr">
        <is>
          <t>I01</t>
        </is>
      </c>
      <c r="C131" s="8" t="inlineStr">
        <is>
          <t>External Change Sensing</t>
        </is>
      </c>
      <c r="D131" s="8" t="inlineStr">
        <is>
          <t>Ability to detect technological, economic, demographic, policy and learner changes.</t>
        </is>
      </c>
      <c r="E131" s="8" t="inlineStr">
        <is>
          <t>Anchor 0–5 from domain-specific maturity anchor using direct sampled practice/work evidence; do not infer maturity from policy statements alone.</t>
        </is>
      </c>
      <c r="F131" s="8" t="inlineStr">
        <is>
          <t>0–5: 0 absent; 1 isolated/person-dependent; 2 repeatable in limited areas; 3 institutionally structured; 4 broad/cross-functional and consistently operating; 5 continuously improved/scaled.</t>
        </is>
      </c>
      <c r="G131" s="8" t="inlineStr">
        <is>
          <t>Use outcome only when a legitimate measurable result exists; otherwise N/A.</t>
        </is>
      </c>
      <c r="H131" s="8" t="inlineStr">
        <is>
          <t>Only genuine mandate/context inapplicability with documented assessor approval; missing evidence is never N/A.</t>
        </is>
      </c>
      <c r="I131" s="8" t="inlineStr">
        <is>
          <t>—</t>
        </is>
      </c>
      <c r="J131" s="8" t="inlineStr">
        <is>
          <t>E0=0.20; E1=0.40; E2=0.65; E3=0.85; E4=1.00, subject to corroboration/independence adjustment. Report separately.</t>
        </is>
      </c>
      <c r="K131" s="8" t="inlineStr">
        <is>
          <t>No score uplift from claims alone; lock denominator/exclusions before results; sample verification; cross-check with adjacent domains; high scores require corroboration.</t>
        </is>
      </c>
      <c r="L131" s="8" t="inlineStr">
        <is>
          <t>Use primary-owner rule; shared evidence may validate multiple metrics but the same activity cannot be scored twice across domains.</t>
        </is>
      </c>
      <c r="M131" s="8" t="inlineStr">
        <is>
          <t>100*((0.45*M)+(0.30*I)+(0.25*O))/5 when O exists; otherwise 100*((0.60*M)+(0.40*I))/5.</t>
        </is>
      </c>
      <c r="N131" s="8" t="inlineStr">
        <is>
          <t>D11 methodology/data owner</t>
        </is>
      </c>
      <c r="O131" s="8" t="inlineStr">
        <is>
          <t>PROVISIONAL—pilot validation required</t>
        </is>
      </c>
    </row>
    <row r="132">
      <c r="A132" s="8" t="inlineStr">
        <is>
          <t>D11</t>
        </is>
      </c>
      <c r="B132" s="8" t="inlineStr">
        <is>
          <t>I02</t>
        </is>
      </c>
      <c r="C132" s="8" t="inlineStr">
        <is>
          <t>Strategic Response Agility</t>
        </is>
      </c>
      <c r="D132" s="8" t="inlineStr">
        <is>
          <t>Speed and quality with which significant changes become institutional decisions.</t>
        </is>
      </c>
      <c r="E132" s="8" t="inlineStr">
        <is>
          <t>Anchor 0–5 from domain-specific maturity anchor using direct sampled practice/work evidence; do not infer maturity from policy statements alone.</t>
        </is>
      </c>
      <c r="F132" s="8" t="inlineStr">
        <is>
          <t>0–5: 0 absent; 1 isolated/person-dependent; 2 repeatable in limited areas; 3 institutionally structured; 4 broad/cross-functional and consistently operating; 5 continuously improved/scaled.</t>
        </is>
      </c>
      <c r="G132" s="8" t="inlineStr">
        <is>
          <t>Use outcome only when a legitimate measurable result exists; otherwise N/A.</t>
        </is>
      </c>
      <c r="H132" s="8" t="inlineStr">
        <is>
          <t>Only genuine mandate/context inapplicability with documented assessor approval; missing evidence is never N/A.</t>
        </is>
      </c>
      <c r="I132" s="8" t="inlineStr">
        <is>
          <t>—</t>
        </is>
      </c>
      <c r="J132" s="8" t="inlineStr">
        <is>
          <t>E0=0.20; E1=0.40; E2=0.65; E3=0.85; E4=1.00, subject to corroboration/independence adjustment. Report separately.</t>
        </is>
      </c>
      <c r="K132" s="8" t="inlineStr">
        <is>
          <t>No score uplift from claims alone; lock denominator/exclusions before results; sample verification; cross-check with adjacent domains; high scores require corroboration.</t>
        </is>
      </c>
      <c r="L132" s="8" t="inlineStr">
        <is>
          <t>Use primary-owner rule; shared evidence may validate multiple metrics but the same activity cannot be scored twice across domains.</t>
        </is>
      </c>
      <c r="M132" s="8" t="inlineStr">
        <is>
          <t>100*((0.45*M)+(0.30*I)+(0.25*O))/5 when O exists; otherwise 100*((0.60*M)+(0.40*I))/5.</t>
        </is>
      </c>
      <c r="N132" s="8" t="inlineStr">
        <is>
          <t>D11 methodology/data owner</t>
        </is>
      </c>
      <c r="O132" s="8" t="inlineStr">
        <is>
          <t>PROVISIONAL—pilot validation required</t>
        </is>
      </c>
    </row>
    <row r="133">
      <c r="A133" s="8" t="inlineStr">
        <is>
          <t>D11</t>
        </is>
      </c>
      <c r="B133" s="8" t="inlineStr">
        <is>
          <t>I03</t>
        </is>
      </c>
      <c r="C133" s="8" t="inlineStr">
        <is>
          <t>Adaptive Decision Architecture</t>
        </is>
      </c>
      <c r="D133" s="8" t="inlineStr">
        <is>
          <t>Clarity of who can act, escalate and allocate resources when circumstances change.</t>
        </is>
      </c>
      <c r="E133" s="8" t="inlineStr">
        <is>
          <t>Anchor 0–5 from domain-specific maturity anchor using direct sampled practice/work evidence; do not infer maturity from policy statements alone.</t>
        </is>
      </c>
      <c r="F133" s="8" t="inlineStr">
        <is>
          <t>0–5: 0 absent; 1 isolated/person-dependent; 2 repeatable in limited areas; 3 institutionally structured; 4 broad/cross-functional and consistently operating; 5 continuously improved/scaled.</t>
        </is>
      </c>
      <c r="G133" s="8" t="inlineStr">
        <is>
          <t>Use outcome only when a legitimate measurable result exists; otherwise N/A.</t>
        </is>
      </c>
      <c r="H133" s="8" t="inlineStr">
        <is>
          <t>Only genuine mandate/context inapplicability with documented assessor approval; missing evidence is never N/A.</t>
        </is>
      </c>
      <c r="I133" s="8" t="inlineStr">
        <is>
          <t>—</t>
        </is>
      </c>
      <c r="J133" s="8" t="inlineStr">
        <is>
          <t>E0=0.20; E1=0.40; E2=0.65; E3=0.85; E4=1.00, subject to corroboration/independence adjustment. Report separately.</t>
        </is>
      </c>
      <c r="K133" s="8" t="inlineStr">
        <is>
          <t>No score uplift from claims alone; lock denominator/exclusions before results; sample verification; cross-check with adjacent domains; high scores require corroboration.</t>
        </is>
      </c>
      <c r="L133" s="8" t="inlineStr">
        <is>
          <t>Use primary-owner rule; shared evidence may validate multiple metrics but the same activity cannot be scored twice across domains.</t>
        </is>
      </c>
      <c r="M133" s="8" t="inlineStr">
        <is>
          <t>100*((0.45*M)+(0.30*I)+(0.25*O))/5 when O exists; otherwise 100*((0.60*M)+(0.40*I))/5.</t>
        </is>
      </c>
      <c r="N133" s="8" t="inlineStr">
        <is>
          <t>D11 methodology/data owner</t>
        </is>
      </c>
      <c r="O133" s="8" t="inlineStr">
        <is>
          <t>PROVISIONAL—pilot validation required</t>
        </is>
      </c>
    </row>
    <row r="134">
      <c r="A134" s="8" t="inlineStr">
        <is>
          <t>D11</t>
        </is>
      </c>
      <c r="B134" s="8" t="inlineStr">
        <is>
          <t>I04</t>
        </is>
      </c>
      <c r="C134" s="8" t="inlineStr">
        <is>
          <t>Resource Reallocation Agility</t>
        </is>
      </c>
      <c r="D134" s="8" t="inlineStr">
        <is>
          <t>Ability to redirect people, money, infrastructure and attention toward emerging priorities.</t>
        </is>
      </c>
      <c r="E134" s="8" t="inlineStr">
        <is>
          <t>Anchor 0–5 from domain-specific maturity anchor using direct sampled practice/work evidence; do not infer maturity from policy statements alone.</t>
        </is>
      </c>
      <c r="F134" s="8" t="inlineStr">
        <is>
          <t>0–5: 0 absent; 1 isolated/person-dependent; 2 repeatable in limited areas; 3 institutionally structured; 4 broad/cross-functional and consistently operating; 5 continuously improved/scaled.</t>
        </is>
      </c>
      <c r="G134" s="8" t="inlineStr">
        <is>
          <t>Use outcome only when a legitimate measurable result exists; otherwise N/A.</t>
        </is>
      </c>
      <c r="H134" s="8" t="inlineStr">
        <is>
          <t>Only genuine mandate/context inapplicability with documented assessor approval; missing evidence is never N/A.</t>
        </is>
      </c>
      <c r="I134" s="8" t="inlineStr">
        <is>
          <t>—</t>
        </is>
      </c>
      <c r="J134" s="8" t="inlineStr">
        <is>
          <t>E0=0.20; E1=0.40; E2=0.65; E3=0.85; E4=1.00, subject to corroboration/independence adjustment. Report separately.</t>
        </is>
      </c>
      <c r="K134" s="8" t="inlineStr">
        <is>
          <t>No score uplift from claims alone; lock denominator/exclusions before results; sample verification; cross-check with adjacent domains; high scores require corroboration.</t>
        </is>
      </c>
      <c r="L134" s="8" t="inlineStr">
        <is>
          <t>Use primary-owner rule; shared evidence may validate multiple metrics but the same activity cannot be scored twice across domains.</t>
        </is>
      </c>
      <c r="M134" s="8" t="inlineStr">
        <is>
          <t>100*((0.45*M)+(0.30*I)+(0.25*O))/5 when O exists; otherwise 100*((0.60*M)+(0.40*I))/5.</t>
        </is>
      </c>
      <c r="N134" s="8" t="inlineStr">
        <is>
          <t>D11 methodology/data owner</t>
        </is>
      </c>
      <c r="O134" s="8" t="inlineStr">
        <is>
          <t>PROVISIONAL—pilot validation required</t>
        </is>
      </c>
    </row>
    <row r="135">
      <c r="A135" s="8" t="inlineStr">
        <is>
          <t>D11</t>
        </is>
      </c>
      <c r="B135" s="8" t="inlineStr">
        <is>
          <t>I05</t>
        </is>
      </c>
      <c r="C135" s="8" t="inlineStr">
        <is>
          <t>Institutional Experimentation</t>
        </is>
      </c>
      <c r="D135" s="8" t="inlineStr">
        <is>
          <t>Ability to test new approaches without turning every experiment into a large programme.</t>
        </is>
      </c>
      <c r="E135" s="8" t="inlineStr">
        <is>
          <t>Anchor 0–5 from domain-specific maturity anchor using direct sampled practice/work evidence; do not infer maturity from policy statements alone.</t>
        </is>
      </c>
      <c r="F135" s="8" t="inlineStr">
        <is>
          <t>0–5: 0 absent; 1 isolated/person-dependent; 2 repeatable in limited areas; 3 institutionally structured; 4 broad/cross-functional and consistently operating; 5 continuously improved/scaled.</t>
        </is>
      </c>
      <c r="G135" s="8" t="inlineStr">
        <is>
          <t>Use outcome only when a legitimate measurable result exists; otherwise N/A.</t>
        </is>
      </c>
      <c r="H135" s="8" t="inlineStr">
        <is>
          <t>Only genuine mandate/context inapplicability with documented assessor approval; missing evidence is never N/A.</t>
        </is>
      </c>
      <c r="I135" s="8" t="inlineStr">
        <is>
          <t>—</t>
        </is>
      </c>
      <c r="J135" s="8" t="inlineStr">
        <is>
          <t>E0=0.20; E1=0.40; E2=0.65; E3=0.85; E4=1.00, subject to corroboration/independence adjustment. Report separately.</t>
        </is>
      </c>
      <c r="K135" s="8" t="inlineStr">
        <is>
          <t>No score uplift from claims alone; lock denominator/exclusions before results; sample verification; cross-check with adjacent domains; high scores require corroboration.</t>
        </is>
      </c>
      <c r="L135" s="8" t="inlineStr">
        <is>
          <t>Use primary-owner rule; shared evidence may validate multiple metrics but the same activity cannot be scored twice across domains.</t>
        </is>
      </c>
      <c r="M135" s="8" t="inlineStr">
        <is>
          <t>100*((0.45*M)+(0.30*I)+(0.25*O))/5 when O exists; otherwise 100*((0.60*M)+(0.40*I))/5.</t>
        </is>
      </c>
      <c r="N135" s="8" t="inlineStr">
        <is>
          <t>D11 methodology/data owner</t>
        </is>
      </c>
      <c r="O135" s="8" t="inlineStr">
        <is>
          <t>PROVISIONAL—pilot validation required</t>
        </is>
      </c>
    </row>
    <row r="136">
      <c r="A136" s="8" t="inlineStr">
        <is>
          <t>D11</t>
        </is>
      </c>
      <c r="B136" s="8" t="inlineStr">
        <is>
          <t>I06</t>
        </is>
      </c>
      <c r="C136" s="8" t="inlineStr">
        <is>
          <t>Failure-to-Learning Capability</t>
        </is>
      </c>
      <c r="D136" s="8" t="inlineStr">
        <is>
          <t>Whether unsuccessful initiatives produce institutional learning and changed practice.</t>
        </is>
      </c>
      <c r="E136" s="8" t="inlineStr">
        <is>
          <t>Anchor 0–5 from domain-specific maturity anchor using direct sampled practice/work evidence; do not infer maturity from policy statements alone.</t>
        </is>
      </c>
      <c r="F136" s="8" t="inlineStr">
        <is>
          <t>0–5: 0 absent; 1 isolated/person-dependent; 2 repeatable in limited areas; 3 institutionally structured; 4 broad/cross-functional and consistently operating; 5 continuously improved/scaled.</t>
        </is>
      </c>
      <c r="G136" s="8" t="inlineStr">
        <is>
          <t>Use outcome only when a legitimate measurable result exists; otherwise N/A.</t>
        </is>
      </c>
      <c r="H136" s="8" t="inlineStr">
        <is>
          <t>Only genuine mandate/context inapplicability with documented assessor approval; missing evidence is never N/A.</t>
        </is>
      </c>
      <c r="I136" s="8" t="inlineStr">
        <is>
          <t>—</t>
        </is>
      </c>
      <c r="J136" s="8" t="inlineStr">
        <is>
          <t>E0=0.20; E1=0.40; E2=0.65; E3=0.85; E4=1.00, subject to corroboration/independence adjustment. Report separately.</t>
        </is>
      </c>
      <c r="K136" s="8" t="inlineStr">
        <is>
          <t>No score uplift from claims alone; lock denominator/exclusions before results; sample verification; cross-check with adjacent domains; high scores require corroboration.</t>
        </is>
      </c>
      <c r="L136" s="8" t="inlineStr">
        <is>
          <t>Use primary-owner rule; shared evidence may validate multiple metrics but the same activity cannot be scored twice across domains.</t>
        </is>
      </c>
      <c r="M136" s="8" t="inlineStr">
        <is>
          <t>100*((0.45*M)+(0.30*I)+(0.25*O))/5 when O exists; otherwise 100*((0.60*M)+(0.40*I))/5.</t>
        </is>
      </c>
      <c r="N136" s="8" t="inlineStr">
        <is>
          <t>D11 methodology/data owner</t>
        </is>
      </c>
      <c r="O136" s="8" t="inlineStr">
        <is>
          <t>PROVISIONAL—pilot validation required</t>
        </is>
      </c>
    </row>
    <row r="137">
      <c r="A137" s="8" t="inlineStr">
        <is>
          <t>D11</t>
        </is>
      </c>
      <c r="B137" s="8" t="inlineStr">
        <is>
          <t>I07</t>
        </is>
      </c>
      <c r="C137" s="8" t="inlineStr">
        <is>
          <t>Change Management Capacity</t>
        </is>
      </c>
      <c r="D137" s="8" t="inlineStr">
        <is>
          <t>Ability to move people and systems through meaningful institutional change.</t>
        </is>
      </c>
      <c r="E137" s="8" t="inlineStr">
        <is>
          <t>Anchor 0–5 from domain-specific maturity anchor using direct sampled practice/work evidence; do not infer maturity from policy statements alone.</t>
        </is>
      </c>
      <c r="F137" s="8" t="inlineStr">
        <is>
          <t>0–5: 0 absent; 1 isolated/person-dependent; 2 repeatable in limited areas; 3 institutionally structured; 4 broad/cross-functional and consistently operating; 5 continuously improved/scaled.</t>
        </is>
      </c>
      <c r="G137" s="8" t="inlineStr">
        <is>
          <t>Use outcome only when a legitimate measurable result exists; otherwise N/A.</t>
        </is>
      </c>
      <c r="H137" s="8" t="inlineStr">
        <is>
          <t>Only genuine mandate/context inapplicability with documented assessor approval; missing evidence is never N/A.</t>
        </is>
      </c>
      <c r="I137" s="8" t="inlineStr">
        <is>
          <t>—</t>
        </is>
      </c>
      <c r="J137" s="8" t="inlineStr">
        <is>
          <t>E0=0.20; E1=0.40; E2=0.65; E3=0.85; E4=1.00, subject to corroboration/independence adjustment. Report separately.</t>
        </is>
      </c>
      <c r="K137" s="8" t="inlineStr">
        <is>
          <t>No score uplift from claims alone; lock denominator/exclusions before results; sample verification; cross-check with adjacent domains; high scores require corroboration.</t>
        </is>
      </c>
      <c r="L137" s="8" t="inlineStr">
        <is>
          <t>Use primary-owner rule; shared evidence may validate multiple metrics but the same activity cannot be scored twice across domains.</t>
        </is>
      </c>
      <c r="M137" s="8" t="inlineStr">
        <is>
          <t>100*((0.45*M)+(0.30*I)+(0.25*O))/5 when O exists; otherwise 100*((0.60*M)+(0.40*I))/5.</t>
        </is>
      </c>
      <c r="N137" s="8" t="inlineStr">
        <is>
          <t>D11 methodology/data owner</t>
        </is>
      </c>
      <c r="O137" s="8" t="inlineStr">
        <is>
          <t>PROVISIONAL—pilot validation required</t>
        </is>
      </c>
    </row>
    <row r="138">
      <c r="A138" s="8" t="inlineStr">
        <is>
          <t>D11</t>
        </is>
      </c>
      <c r="B138" s="8" t="inlineStr">
        <is>
          <t>I08</t>
        </is>
      </c>
      <c r="C138" s="8" t="inlineStr">
        <is>
          <t>Adaptive Leadership Alignment</t>
        </is>
      </c>
      <c r="D138" s="8" t="inlineStr">
        <is>
          <t>Extent to which leadership can align around changing priorities.</t>
        </is>
      </c>
      <c r="E138" s="8" t="inlineStr">
        <is>
          <t>Anchor 0–5 from domain-specific maturity anchor using direct sampled practice/work evidence; do not infer maturity from policy statements alone.</t>
        </is>
      </c>
      <c r="F138" s="8" t="inlineStr">
        <is>
          <t>0–5: 0 absent; 1 isolated/person-dependent; 2 repeatable in limited areas; 3 institutionally structured; 4 broad/cross-functional and consistently operating; 5 continuously improved/scaled.</t>
        </is>
      </c>
      <c r="G138" s="8" t="inlineStr">
        <is>
          <t>Use outcome only when a legitimate measurable result exists; otherwise N/A.</t>
        </is>
      </c>
      <c r="H138" s="8" t="inlineStr">
        <is>
          <t>Only genuine mandate/context inapplicability with documented assessor approval; missing evidence is never N/A.</t>
        </is>
      </c>
      <c r="I138" s="8" t="inlineStr">
        <is>
          <t>—</t>
        </is>
      </c>
      <c r="J138" s="8" t="inlineStr">
        <is>
          <t>E0=0.20; E1=0.40; E2=0.65; E3=0.85; E4=1.00, subject to corroboration/independence adjustment. Report separately.</t>
        </is>
      </c>
      <c r="K138" s="8" t="inlineStr">
        <is>
          <t>No score uplift from claims alone; lock denominator/exclusions before results; sample verification; cross-check with adjacent domains; high scores require corroboration.</t>
        </is>
      </c>
      <c r="L138" s="8" t="inlineStr">
        <is>
          <t>Use primary-owner rule; shared evidence may validate multiple metrics but the same activity cannot be scored twice across domains.</t>
        </is>
      </c>
      <c r="M138" s="8" t="inlineStr">
        <is>
          <t>100*((0.45*M)+(0.30*I)+(0.25*O))/5 when O exists; otherwise 100*((0.60*M)+(0.40*I))/5.</t>
        </is>
      </c>
      <c r="N138" s="8" t="inlineStr">
        <is>
          <t>D11 methodology/data owner</t>
        </is>
      </c>
      <c r="O138" s="8" t="inlineStr">
        <is>
          <t>PROVISIONAL—pilot validation required</t>
        </is>
      </c>
    </row>
    <row r="139">
      <c r="A139" s="8" t="inlineStr">
        <is>
          <t>D11</t>
        </is>
      </c>
      <c r="B139" s="8" t="inlineStr">
        <is>
          <t>I09</t>
        </is>
      </c>
      <c r="C139" s="8" t="inlineStr">
        <is>
          <t>Learner Signal Responsiveness</t>
        </is>
      </c>
      <c r="D139" s="8" t="inlineStr">
        <is>
          <t>Ability to detect and respond to changing student expectations and experience.</t>
        </is>
      </c>
      <c r="E139" s="8" t="inlineStr">
        <is>
          <t>Anchor 0–5 from domain-specific maturity anchor using direct sampled practice/work evidence; do not infer maturity from policy statements alone.</t>
        </is>
      </c>
      <c r="F139" s="8" t="inlineStr">
        <is>
          <t>0–5: 0 absent; 1 isolated/person-dependent; 2 repeatable in limited areas; 3 institutionally structured; 4 broad/cross-functional and consistently operating; 5 continuously improved/scaled.</t>
        </is>
      </c>
      <c r="G139" s="8" t="inlineStr">
        <is>
          <t>Use outcome only when a legitimate measurable result exists; otherwise N/A.</t>
        </is>
      </c>
      <c r="H139" s="8" t="inlineStr">
        <is>
          <t>Only genuine mandate/context inapplicability with documented assessor approval; missing evidence is never N/A.</t>
        </is>
      </c>
      <c r="I139" s="8" t="inlineStr">
        <is>
          <t>—</t>
        </is>
      </c>
      <c r="J139" s="8" t="inlineStr">
        <is>
          <t>E0=0.20; E1=0.40; E2=0.65; E3=0.85; E4=1.00, subject to corroboration/independence adjustment. Report separately.</t>
        </is>
      </c>
      <c r="K139" s="8" t="inlineStr">
        <is>
          <t>No score uplift from claims alone; lock denominator/exclusions before results; sample verification; cross-check with adjacent domains; high scores require corroboration.</t>
        </is>
      </c>
      <c r="L139" s="8" t="inlineStr">
        <is>
          <t>Use primary-owner rule; shared evidence may validate multiple metrics but the same activity cannot be scored twice across domains.</t>
        </is>
      </c>
      <c r="M139" s="8" t="inlineStr">
        <is>
          <t>100*((0.45*M)+(0.30*I)+(0.25*O))/5 when O exists; otherwise 100*((0.60*M)+(0.40*I))/5.</t>
        </is>
      </c>
      <c r="N139" s="8" t="inlineStr">
        <is>
          <t>D11 methodology/data owner</t>
        </is>
      </c>
      <c r="O139" s="8" t="inlineStr">
        <is>
          <t>PROVISIONAL—pilot validation required</t>
        </is>
      </c>
    </row>
    <row r="140">
      <c r="A140" s="8" t="inlineStr">
        <is>
          <t>D11</t>
        </is>
      </c>
      <c r="B140" s="8" t="inlineStr">
        <is>
          <t>I10</t>
        </is>
      </c>
      <c r="C140" s="8" t="inlineStr">
        <is>
          <t>Economic &amp; Workforce Responsiveness</t>
        </is>
      </c>
      <c r="D140" s="8" t="inlineStr">
        <is>
          <t>Ability to respond to changing industry and workforce conditions.</t>
        </is>
      </c>
      <c r="E140" s="8" t="inlineStr">
        <is>
          <t>Anchor 0–5 from domain-specific maturity anchor using direct sampled practice/work evidence; do not infer maturity from policy statements alone.</t>
        </is>
      </c>
      <c r="F140" s="8" t="inlineStr">
        <is>
          <t>0–5: 0 absent; 1 isolated/person-dependent; 2 repeatable in limited areas; 3 institutionally structured; 4 broad/cross-functional and consistently operating; 5 continuously improved/scaled.</t>
        </is>
      </c>
      <c r="G140" s="8" t="inlineStr">
        <is>
          <t>Use outcome only when a legitimate measurable result exists; otherwise N/A.</t>
        </is>
      </c>
      <c r="H140" s="8" t="inlineStr">
        <is>
          <t>Only genuine mandate/context inapplicability with documented assessor approval; missing evidence is never N/A.</t>
        </is>
      </c>
      <c r="I140" s="8" t="inlineStr">
        <is>
          <t>—</t>
        </is>
      </c>
      <c r="J140" s="8" t="inlineStr">
        <is>
          <t>E0=0.20; E1=0.40; E2=0.65; E3=0.85; E4=1.00, subject to corroboration/independence adjustment. Report separately.</t>
        </is>
      </c>
      <c r="K140" s="8" t="inlineStr">
        <is>
          <t>No score uplift from claims alone; lock denominator/exclusions before results; sample verification; cross-check with adjacent domains; high scores require corroboration.</t>
        </is>
      </c>
      <c r="L140" s="8" t="inlineStr">
        <is>
          <t>Use primary-owner rule; shared evidence may validate multiple metrics but the same activity cannot be scored twice across domains.</t>
        </is>
      </c>
      <c r="M140" s="8" t="inlineStr">
        <is>
          <t>100*((0.45*M)+(0.30*I)+(0.25*O))/5 when O exists; otherwise 100*((0.60*M)+(0.40*I))/5.</t>
        </is>
      </c>
      <c r="N140" s="8" t="inlineStr">
        <is>
          <t>D11 methodology/data owner</t>
        </is>
      </c>
      <c r="O140" s="8" t="inlineStr">
        <is>
          <t>PROVISIONAL—pilot validation required</t>
        </is>
      </c>
    </row>
    <row r="141">
      <c r="A141" s="8" t="inlineStr">
        <is>
          <t>D11</t>
        </is>
      </c>
      <c r="B141" s="8" t="inlineStr">
        <is>
          <t>I11</t>
        </is>
      </c>
      <c r="C141" s="8" t="inlineStr">
        <is>
          <t>Scenario Planning Capability</t>
        </is>
      </c>
      <c r="D141" s="8" t="inlineStr">
        <is>
          <t>Ability to prepare for multiple plausible futures rather than one forecast.</t>
        </is>
      </c>
      <c r="E141" s="8" t="inlineStr">
        <is>
          <t>Anchor 0–5 from domain-specific maturity anchor using direct sampled practice/work evidence; do not infer maturity from policy statements alone.</t>
        </is>
      </c>
      <c r="F141" s="8" t="inlineStr">
        <is>
          <t>0–5: 0 absent; 1 isolated/person-dependent; 2 repeatable in limited areas; 3 institutionally structured; 4 broad/cross-functional and consistently operating; 5 continuously improved/scaled.</t>
        </is>
      </c>
      <c r="G141" s="8" t="inlineStr">
        <is>
          <t>Use outcome only when a legitimate measurable result exists; otherwise N/A.</t>
        </is>
      </c>
      <c r="H141" s="8" t="inlineStr">
        <is>
          <t>Only genuine mandate/context inapplicability with documented assessor approval; missing evidence is never N/A.</t>
        </is>
      </c>
      <c r="I141" s="8" t="inlineStr">
        <is>
          <t>—</t>
        </is>
      </c>
      <c r="J141" s="8" t="inlineStr">
        <is>
          <t>E0=0.20; E1=0.40; E2=0.65; E3=0.85; E4=1.00, subject to corroboration/independence adjustment. Report separately.</t>
        </is>
      </c>
      <c r="K141" s="8" t="inlineStr">
        <is>
          <t>No score uplift from claims alone; lock denominator/exclusions before results; sample verification; cross-check with adjacent domains; high scores require corroboration.</t>
        </is>
      </c>
      <c r="L141" s="8" t="inlineStr">
        <is>
          <t>Use primary-owner rule; shared evidence may validate multiple metrics but the same activity cannot be scored twice across domains.</t>
        </is>
      </c>
      <c r="M141" s="8" t="inlineStr">
        <is>
          <t>100*((0.45*M)+(0.30*I)+(0.25*O))/5 when O exists; otherwise 100*((0.60*M)+(0.40*I))/5.</t>
        </is>
      </c>
      <c r="N141" s="8" t="inlineStr">
        <is>
          <t>D11 methodology/data owner</t>
        </is>
      </c>
      <c r="O141" s="8" t="inlineStr">
        <is>
          <t>PROVISIONAL—pilot validation required</t>
        </is>
      </c>
    </row>
    <row r="142">
      <c r="A142" s="8" t="inlineStr">
        <is>
          <t>D11</t>
        </is>
      </c>
      <c r="B142" s="8" t="inlineStr">
        <is>
          <t>I12</t>
        </is>
      </c>
      <c r="C142" s="8" t="inlineStr">
        <is>
          <t>Institutional Resilience</t>
        </is>
      </c>
      <c r="D142" s="8" t="inlineStr">
        <is>
          <t>Ability to maintain core educational quality while adapting to disruption.</t>
        </is>
      </c>
      <c r="E142" s="8" t="inlineStr">
        <is>
          <t>Anchor 0–5 from domain-specific maturity anchor using direct sampled practice/work evidence; do not infer maturity from policy statements alone.</t>
        </is>
      </c>
      <c r="F142" s="8" t="inlineStr">
        <is>
          <t>0–5: 0 absent; 1 isolated/person-dependent; 2 repeatable in limited areas; 3 institutionally structured; 4 broad/cross-functional and consistently operating; 5 continuously improved/scaled.</t>
        </is>
      </c>
      <c r="G142" s="8" t="inlineStr">
        <is>
          <t>Use outcome only when a legitimate measurable result exists; otherwise N/A.</t>
        </is>
      </c>
      <c r="H142" s="8" t="inlineStr">
        <is>
          <t>Only genuine mandate/context inapplicability with documented assessor approval; missing evidence is never N/A.</t>
        </is>
      </c>
      <c r="I142" s="8" t="inlineStr">
        <is>
          <t>—</t>
        </is>
      </c>
      <c r="J142" s="8" t="inlineStr">
        <is>
          <t>E0=0.20; E1=0.40; E2=0.65; E3=0.85; E4=1.00, subject to corroboration/independence adjustment. Report separately.</t>
        </is>
      </c>
      <c r="K142" s="8" t="inlineStr">
        <is>
          <t>No score uplift from claims alone; lock denominator/exclusions before results; sample verification; cross-check with adjacent domains; high scores require corroboration.</t>
        </is>
      </c>
      <c r="L142" s="8" t="inlineStr">
        <is>
          <t>Use primary-owner rule; shared evidence may validate multiple metrics but the same activity cannot be scored twice across domains.</t>
        </is>
      </c>
      <c r="M142" s="8" t="inlineStr">
        <is>
          <t>100*((0.45*M)+(0.30*I)+(0.25*O))/5 when O exists; otherwise 100*((0.60*M)+(0.40*I))/5.</t>
        </is>
      </c>
      <c r="N142" s="8" t="inlineStr">
        <is>
          <t>D11 methodology/data owner</t>
        </is>
      </c>
      <c r="O142" s="8" t="inlineStr">
        <is>
          <t>PROVISIONAL—pilot validation required</t>
        </is>
      </c>
    </row>
    <row r="143">
      <c r="A143" s="8" t="inlineStr">
        <is>
          <t>D11</t>
        </is>
      </c>
      <c r="B143" s="8" t="inlineStr">
        <is>
          <t>I13</t>
        </is>
      </c>
      <c r="C143" s="8" t="inlineStr">
        <is>
          <t>Institutional Learning System</t>
        </is>
      </c>
      <c r="D143" s="8" t="inlineStr">
        <is>
          <t>Ability to turn evidence, experience and external signals into repeated improvement.</t>
        </is>
      </c>
      <c r="E143" s="8" t="inlineStr">
        <is>
          <t>Anchor 0–5 from domain-specific maturity anchor using direct sampled practice/work evidence; do not infer maturity from policy statements alone.</t>
        </is>
      </c>
      <c r="F143" s="8" t="inlineStr">
        <is>
          <t>0–5: 0 absent; 1 isolated/person-dependent; 2 repeatable in limited areas; 3 institutionally structured; 4 broad/cross-functional and consistently operating; 5 continuously improved/scaled.</t>
        </is>
      </c>
      <c r="G143" s="8" t="inlineStr">
        <is>
          <t>Use outcome only when a legitimate measurable result exists; otherwise N/A.</t>
        </is>
      </c>
      <c r="H143" s="8" t="inlineStr">
        <is>
          <t>Only genuine mandate/context inapplicability with documented assessor approval; missing evidence is never N/A.</t>
        </is>
      </c>
      <c r="I143" s="8" t="inlineStr">
        <is>
          <t>—</t>
        </is>
      </c>
      <c r="J143" s="8" t="inlineStr">
        <is>
          <t>E0=0.20; E1=0.40; E2=0.65; E3=0.85; E4=1.00, subject to corroboration/independence adjustment. Report separately.</t>
        </is>
      </c>
      <c r="K143" s="8" t="inlineStr">
        <is>
          <t>No score uplift from claims alone; lock denominator/exclusions before results; sample verification; cross-check with adjacent domains; high scores require corroboration.</t>
        </is>
      </c>
      <c r="L143" s="8" t="inlineStr">
        <is>
          <t>Use primary-owner rule; shared evidence may validate multiple metrics but the same activity cannot be scored twice across domains.</t>
        </is>
      </c>
      <c r="M143" s="8" t="inlineStr">
        <is>
          <t>100*((0.45*M)+(0.30*I)+(0.25*O))/5 when O exists; otherwise 100*((0.60*M)+(0.40*I))/5.</t>
        </is>
      </c>
      <c r="N143" s="8" t="inlineStr">
        <is>
          <t>D11 methodology/data owner</t>
        </is>
      </c>
      <c r="O143" s="8" t="inlineStr">
        <is>
          <t>PROVISIONAL—pilot validation required</t>
        </is>
      </c>
    </row>
    <row r="144">
      <c r="A144" s="8" t="inlineStr">
        <is>
          <t>D11</t>
        </is>
      </c>
      <c r="B144" s="8" t="inlineStr">
        <is>
          <t>I14</t>
        </is>
      </c>
      <c r="C144" s="8" t="inlineStr">
        <is>
          <t>Future Transformation Capacity</t>
        </is>
      </c>
      <c r="D144" s="8" t="inlineStr">
        <is>
          <t>Overall ability to redesign the institution before external pressure forces change.</t>
        </is>
      </c>
      <c r="E144" s="8" t="inlineStr">
        <is>
          <t>Anchor 0–5 from domain-specific maturity anchor using direct sampled practice/work evidence; do not infer maturity from policy statements alone.</t>
        </is>
      </c>
      <c r="F144" s="8" t="inlineStr">
        <is>
          <t>0–5: 0 absent; 1 isolated/person-dependent; 2 repeatable in limited areas; 3 institutionally structured; 4 broad/cross-functional and consistently operating; 5 continuously improved/scaled.</t>
        </is>
      </c>
      <c r="G144" s="8" t="inlineStr">
        <is>
          <t>Use outcome only when a legitimate measurable result exists; otherwise N/A.</t>
        </is>
      </c>
      <c r="H144" s="8" t="inlineStr">
        <is>
          <t>Only genuine mandate/context inapplicability with documented assessor approval; missing evidence is never N/A.</t>
        </is>
      </c>
      <c r="I144" s="8" t="inlineStr">
        <is>
          <t>—</t>
        </is>
      </c>
      <c r="J144" s="8" t="inlineStr">
        <is>
          <t>E0=0.20; E1=0.40; E2=0.65; E3=0.85; E4=1.00, subject to corroboration/independence adjustment. Report separately.</t>
        </is>
      </c>
      <c r="K144" s="8" t="inlineStr">
        <is>
          <t>No score uplift from claims alone; lock denominator/exclusions before results; sample verification; cross-check with adjacent domains; high scores require corroboration.</t>
        </is>
      </c>
      <c r="L144" s="8" t="inlineStr">
        <is>
          <t>Use primary-owner rule; shared evidence may validate multiple metrics but the same activity cannot be scored twice across domains.</t>
        </is>
      </c>
      <c r="M144" s="8" t="inlineStr">
        <is>
          <t>100*((0.45*M)+(0.30*I)+(0.25*O))/5 when O exists; otherwise 100*((0.60*M)+(0.40*I))/5.</t>
        </is>
      </c>
      <c r="N144" s="8" t="inlineStr">
        <is>
          <t>D11 methodology/data owner</t>
        </is>
      </c>
      <c r="O144" s="8" t="inlineStr">
        <is>
          <t>PROVISIONAL—pilot validation required</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1.140625" customWidth="1" min="1" max="1"/>
    <col width="12.140625" customWidth="1" min="2" max="2"/>
    <col width="36.140625" customWidth="1" min="3" max="3"/>
    <col width="14.140625" customWidth="1" min="4" max="4"/>
    <col width="20.140625" customWidth="1" min="5" max="5"/>
    <col width="22.140625" customWidth="1" min="6" max="6"/>
    <col width="24.140625" customWidth="1" min="7" max="7"/>
    <col width="20.140625" customWidth="1" min="8" max="8"/>
    <col width="18.140625" customWidth="1" min="9" max="9"/>
    <col width="16.140625" customWidth="1" min="10" max="10"/>
    <col width="20.140625" customWidth="1" min="11" max="11"/>
    <col width="24.140625" customWidth="1" min="14" max="14"/>
    <col width="52.140625" customWidth="1" min="16" max="16"/>
  </cols>
  <sheetData>
    <row r="1">
      <c r="A1" s="7" t="inlineStr">
        <is>
          <t>Domain</t>
        </is>
      </c>
      <c r="B1" s="7" t="inlineStr">
        <is>
          <t>Metric ID</t>
        </is>
      </c>
      <c r="C1" s="7" t="inlineStr">
        <is>
          <t>Metric</t>
        </is>
      </c>
      <c r="D1" s="7" t="inlineStr">
        <is>
          <t>Applicable?</t>
        </is>
      </c>
      <c r="E1" s="7" t="inlineStr">
        <is>
          <t>Maturity M (0-5)</t>
        </is>
      </c>
      <c r="F1" s="7" t="inlineStr">
        <is>
          <t>Implementation I (0-5)</t>
        </is>
      </c>
      <c r="G1" s="7" t="inlineStr">
        <is>
          <t>Outcome O (0-5 or N/A)</t>
        </is>
      </c>
      <c r="H1" s="7" t="inlineStr">
        <is>
          <t>Evidence Level E0-E4</t>
        </is>
      </c>
      <c r="I1" s="7" t="inlineStr">
        <is>
          <t>Corroborated?</t>
        </is>
      </c>
      <c r="J1" s="7" t="inlineStr">
        <is>
          <t>Independent?</t>
        </is>
      </c>
      <c r="K1" s="7" t="inlineStr">
        <is>
          <t>Evidence Confidence</t>
        </is>
      </c>
      <c r="L1" s="7" t="inlineStr">
        <is>
          <t>Metric Score /100</t>
        </is>
      </c>
      <c r="M1" s="7" t="inlineStr">
        <is>
          <t>Required Maturity R</t>
        </is>
      </c>
      <c r="N1" s="7" t="inlineStr">
        <is>
          <t>Transformation Distance</t>
        </is>
      </c>
      <c r="O1" s="7" t="inlineStr">
        <is>
          <t>Validation Flag</t>
        </is>
      </c>
      <c r="P1" s="7" t="inlineStr">
        <is>
          <t>Assessor Notes</t>
        </is>
      </c>
    </row>
    <row r="2">
      <c r="A2" s="8" t="inlineStr">
        <is>
          <t>D01</t>
        </is>
      </c>
      <c r="B2" s="8" t="inlineStr">
        <is>
          <t>I01</t>
        </is>
      </c>
      <c r="C2" s="8" t="inlineStr">
        <is>
          <t>Strategic AI Integration</t>
        </is>
      </c>
      <c r="D2" s="8" t="inlineStr">
        <is>
          <t>Y</t>
        </is>
      </c>
      <c r="E2" s="6" t="n"/>
      <c r="F2" s="6" t="n"/>
      <c r="G2" s="6" t="n"/>
      <c r="H2" s="8" t="inlineStr">
        <is>
          <t>E0</t>
        </is>
      </c>
      <c r="I2" s="8" t="inlineStr">
        <is>
          <t>N</t>
        </is>
      </c>
      <c r="J2" s="8" t="inlineStr">
        <is>
          <t>N</t>
        </is>
      </c>
      <c r="K2" s="6">
        <f>IF(H2="E0",0.20,IF(H2="E1",0.40,IF(H2="E2",0.65,IF(H2="E3",0.85,IF(H2="E4",1.00,0)))))</f>
        <v/>
      </c>
      <c r="L2" s="6">
        <f>IF(D2="N","",IF(OR(E2="",F2=""),"",IF(G2="N/A",100*((0.60*E2)+(0.40*F2))/5,IF(G2="",100*((0.60*E2)+(0.40*F2))/5,100*((0.45*E2)+(0.30*F2)+(0.25*G2))/5))))</f>
        <v/>
      </c>
      <c r="M2" s="6">
        <f>IF(D2="N","",IFERROR(VLOOKUP(A2,'P0-4_Required_Maturity'!$A$2:$I$12,9,FALSE),3))</f>
        <v/>
      </c>
      <c r="N2" s="6">
        <f>IF(OR(E2="",M2=""),"",M2-E2)</f>
        <v/>
      </c>
      <c r="O2" s="6">
        <f>IF(D2="N","N/A",IF(OR(E2="",F2="",H2=""),"INCOMPLETE",IF(AND(L2&gt;=80,H2="E0"),"REVIEW",IF(AND(L2&gt;=80,OR(I2="N",J2="N")),"CORROBORATION REVIEW","OK"))))</f>
        <v/>
      </c>
      <c r="P2" s="6" t="n"/>
    </row>
    <row r="3">
      <c r="A3" s="8" t="inlineStr">
        <is>
          <t>D01</t>
        </is>
      </c>
      <c r="B3" s="8" t="inlineStr">
        <is>
          <t>I02</t>
        </is>
      </c>
      <c r="C3" s="8" t="inlineStr">
        <is>
          <t>Future Foresight Maturity</t>
        </is>
      </c>
      <c r="D3" s="8" t="inlineStr">
        <is>
          <t>Y</t>
        </is>
      </c>
      <c r="E3" s="6" t="n"/>
      <c r="F3" s="6" t="n"/>
      <c r="G3" s="6" t="n"/>
      <c r="H3" s="8" t="inlineStr">
        <is>
          <t>E0</t>
        </is>
      </c>
      <c r="I3" s="8" t="inlineStr">
        <is>
          <t>N</t>
        </is>
      </c>
      <c r="J3" s="8" t="inlineStr">
        <is>
          <t>N</t>
        </is>
      </c>
      <c r="K3" s="6">
        <f>IF(H3="E0",0.20,IF(H3="E1",0.40,IF(H3="E2",0.65,IF(H3="E3",0.85,IF(H3="E4",1.00,0)))))</f>
        <v/>
      </c>
      <c r="L3" s="6">
        <f>IF(D3="N","",IF(OR(E3="",F3=""),"",IF(G3="N/A",100*((0.60*E3)+(0.40*F3))/5,IF(G3="",100*((0.60*E3)+(0.40*F3))/5,100*((0.45*E3)+(0.30*F3)+(0.25*G3))/5))))</f>
        <v/>
      </c>
      <c r="M3" s="6">
        <f>IF(D3="N","",IFERROR(VLOOKUP(A3,'P0-4_Required_Maturity'!$A$2:$I$12,9,FALSE),3))</f>
        <v/>
      </c>
      <c r="N3" s="6">
        <f>IF(OR(E3="",M3=""),"",M3-E3)</f>
        <v/>
      </c>
      <c r="O3" s="6">
        <f>IF(D3="N","N/A",IF(OR(E3="",F3="",H3=""),"INCOMPLETE",IF(AND(L3&gt;=80,H3="E0"),"REVIEW",IF(AND(L3&gt;=80,OR(I3="N",J3="N")),"CORROBORATION REVIEW","OK"))))</f>
        <v/>
      </c>
      <c r="P3" s="6" t="n"/>
    </row>
    <row r="4">
      <c r="A4" s="8" t="inlineStr">
        <is>
          <t>D01</t>
        </is>
      </c>
      <c r="B4" s="8" t="inlineStr">
        <is>
          <t>I03</t>
        </is>
      </c>
      <c r="C4" s="8" t="inlineStr">
        <is>
          <t>Strategic Translation Rate</t>
        </is>
      </c>
      <c r="D4" s="8" t="inlineStr">
        <is>
          <t>Y</t>
        </is>
      </c>
      <c r="E4" s="6" t="n"/>
      <c r="F4" s="6" t="n"/>
      <c r="G4" s="6" t="n"/>
      <c r="H4" s="8" t="inlineStr">
        <is>
          <t>E0</t>
        </is>
      </c>
      <c r="I4" s="8" t="inlineStr">
        <is>
          <t>N</t>
        </is>
      </c>
      <c r="J4" s="8" t="inlineStr">
        <is>
          <t>N</t>
        </is>
      </c>
      <c r="K4" s="6">
        <f>IF(H4="E0",0.20,IF(H4="E1",0.40,IF(H4="E2",0.65,IF(H4="E3",0.85,IF(H4="E4",1.00,0)))))</f>
        <v/>
      </c>
      <c r="L4" s="6">
        <f>IF(D4="N","",IF(OR(E4="",F4=""),"",IF(G4="N/A",100*((0.60*E4)+(0.40*F4))/5,IF(G4="",100*((0.60*E4)+(0.40*F4))/5,100*((0.45*E4)+(0.30*F4)+(0.25*G4))/5))))</f>
        <v/>
      </c>
      <c r="M4" s="6">
        <f>IF(D4="N","",IFERROR(VLOOKUP(A4,'P0-4_Required_Maturity'!$A$2:$I$12,9,FALSE),3))</f>
        <v/>
      </c>
      <c r="N4" s="6">
        <f>IF(OR(E4="",M4=""),"",M4-E4)</f>
        <v/>
      </c>
      <c r="O4" s="6">
        <f>IF(D4="N","N/A",IF(OR(E4="",F4="",H4=""),"INCOMPLETE",IF(AND(L4&gt;=80,H4="E0"),"REVIEW",IF(AND(L4&gt;=80,OR(I4="N",J4="N")),"CORROBORATION REVIEW","OK"))))</f>
        <v/>
      </c>
      <c r="P4" s="6" t="n"/>
    </row>
    <row r="5">
      <c r="A5" s="8" t="inlineStr">
        <is>
          <t>D01</t>
        </is>
      </c>
      <c r="B5" s="8" t="inlineStr">
        <is>
          <t>I04</t>
        </is>
      </c>
      <c r="C5" s="8" t="inlineStr">
        <is>
          <t>Programme Future-Review Coverage</t>
        </is>
      </c>
      <c r="D5" s="8" t="inlineStr">
        <is>
          <t>Y</t>
        </is>
      </c>
      <c r="E5" s="6" t="n"/>
      <c r="F5" s="6" t="n"/>
      <c r="G5" s="6" t="n"/>
      <c r="H5" s="8" t="inlineStr">
        <is>
          <t>E0</t>
        </is>
      </c>
      <c r="I5" s="8" t="inlineStr">
        <is>
          <t>N</t>
        </is>
      </c>
      <c r="J5" s="8" t="inlineStr">
        <is>
          <t>N</t>
        </is>
      </c>
      <c r="K5" s="6">
        <f>IF(H5="E0",0.20,IF(H5="E1",0.40,IF(H5="E2",0.65,IF(H5="E3",0.85,IF(H5="E4",1.00,0)))))</f>
        <v/>
      </c>
      <c r="L5" s="6">
        <f>IF(D5="N","",IF(OR(E5="",F5=""),"",IF(G5="N/A",100*((0.60*E5)+(0.40*F5))/5,IF(G5="",100*((0.60*E5)+(0.40*F5))/5,100*((0.45*E5)+(0.30*F5)+(0.25*G5))/5))))</f>
        <v/>
      </c>
      <c r="M5" s="6">
        <f>IF(D5="N","",IFERROR(VLOOKUP(A5,'P0-4_Required_Maturity'!$A$2:$I$12,9,FALSE),3))</f>
        <v/>
      </c>
      <c r="N5" s="6">
        <f>IF(OR(E5="",M5=""),"",M5-E5)</f>
        <v/>
      </c>
      <c r="O5" s="6">
        <f>IF(D5="N","N/A",IF(OR(E5="",F5="",H5=""),"INCOMPLETE",IF(AND(L5&gt;=80,H5="E0"),"REVIEW",IF(AND(L5&gt;=80,OR(I5="N",J5="N")),"CORROBORATION REVIEW","OK"))))</f>
        <v/>
      </c>
      <c r="P5" s="6" t="n"/>
    </row>
    <row r="6">
      <c r="A6" s="8" t="inlineStr">
        <is>
          <t>D01</t>
        </is>
      </c>
      <c r="B6" s="8" t="inlineStr">
        <is>
          <t>I05</t>
        </is>
      </c>
      <c r="C6" s="8" t="inlineStr">
        <is>
          <t>Strategic Differentiation Clarity</t>
        </is>
      </c>
      <c r="D6" s="8" t="inlineStr">
        <is>
          <t>Y</t>
        </is>
      </c>
      <c r="E6" s="6" t="n"/>
      <c r="F6" s="6" t="n"/>
      <c r="G6" s="6" t="n"/>
      <c r="H6" s="8" t="inlineStr">
        <is>
          <t>E0</t>
        </is>
      </c>
      <c r="I6" s="8" t="inlineStr">
        <is>
          <t>N</t>
        </is>
      </c>
      <c r="J6" s="8" t="inlineStr">
        <is>
          <t>N</t>
        </is>
      </c>
      <c r="K6" s="6">
        <f>IF(H6="E0",0.20,IF(H6="E1",0.40,IF(H6="E2",0.65,IF(H6="E3",0.85,IF(H6="E4",1.00,0)))))</f>
        <v/>
      </c>
      <c r="L6" s="6">
        <f>IF(D6="N","",IF(OR(E6="",F6=""),"",IF(G6="N/A",100*((0.60*E6)+(0.40*F6))/5,IF(G6="",100*((0.60*E6)+(0.40*F6))/5,100*((0.45*E6)+(0.30*F6)+(0.25*G6))/5))))</f>
        <v/>
      </c>
      <c r="M6" s="6">
        <f>IF(D6="N","",IFERROR(VLOOKUP(A6,'P0-4_Required_Maturity'!$A$2:$I$12,9,FALSE),3))</f>
        <v/>
      </c>
      <c r="N6" s="6">
        <f>IF(OR(E6="",M6=""),"",M6-E6)</f>
        <v/>
      </c>
      <c r="O6" s="6">
        <f>IF(D6="N","N/A",IF(OR(E6="",F6="",H6=""),"INCOMPLETE",IF(AND(L6&gt;=80,H6="E0"),"REVIEW",IF(AND(L6&gt;=80,OR(I6="N",J6="N")),"CORROBORATION REVIEW","OK"))))</f>
        <v/>
      </c>
      <c r="P6" s="6" t="n"/>
    </row>
    <row r="7">
      <c r="A7" s="8" t="inlineStr">
        <is>
          <t>D01</t>
        </is>
      </c>
      <c r="B7" s="8" t="inlineStr">
        <is>
          <t>I06</t>
        </is>
      </c>
      <c r="C7" s="8" t="inlineStr">
        <is>
          <t>Foresight Response Architecture</t>
        </is>
      </c>
      <c r="D7" s="8" t="inlineStr">
        <is>
          <t>Y</t>
        </is>
      </c>
      <c r="E7" s="6" t="n"/>
      <c r="F7" s="6" t="n"/>
      <c r="G7" s="6" t="n"/>
      <c r="H7" s="8" t="inlineStr">
        <is>
          <t>E0</t>
        </is>
      </c>
      <c r="I7" s="8" t="inlineStr">
        <is>
          <t>N</t>
        </is>
      </c>
      <c r="J7" s="8" t="inlineStr">
        <is>
          <t>N</t>
        </is>
      </c>
      <c r="K7" s="6">
        <f>IF(H7="E0",0.20,IF(H7="E1",0.40,IF(H7="E2",0.65,IF(H7="E3",0.85,IF(H7="E4",1.00,0)))))</f>
        <v/>
      </c>
      <c r="L7" s="6">
        <f>IF(D7="N","",IF(OR(E7="",F7=""),"",IF(G7="N/A",100*((0.60*E7)+(0.40*F7))/5,IF(G7="",100*((0.60*E7)+(0.40*F7))/5,100*((0.45*E7)+(0.30*F7)+(0.25*G7))/5))))</f>
        <v/>
      </c>
      <c r="M7" s="6">
        <f>IF(D7="N","",IFERROR(VLOOKUP(A7,'P0-4_Required_Maturity'!$A$2:$I$12,9,FALSE),3))</f>
        <v/>
      </c>
      <c r="N7" s="6">
        <f>IF(OR(E7="",M7=""),"",M7-E7)</f>
        <v/>
      </c>
      <c r="O7" s="6">
        <f>IF(D7="N","N/A",IF(OR(E7="",F7="",H7=""),"INCOMPLETE",IF(AND(L7&gt;=80,H7="E0"),"REVIEW",IF(AND(L7&gt;=80,OR(I7="N",J7="N")),"CORROBORATION REVIEW","OK"))))</f>
        <v/>
      </c>
      <c r="P7" s="6" t="n"/>
    </row>
    <row r="8">
      <c r="A8" s="8" t="inlineStr">
        <is>
          <t>D01</t>
        </is>
      </c>
      <c r="B8" s="8" t="inlineStr">
        <is>
          <t>I07</t>
        </is>
      </c>
      <c r="C8" s="8" t="inlineStr">
        <is>
          <t>Resource Alignment</t>
        </is>
      </c>
      <c r="D8" s="8" t="inlineStr">
        <is>
          <t>Y</t>
        </is>
      </c>
      <c r="E8" s="6" t="n"/>
      <c r="F8" s="6" t="n"/>
      <c r="G8" s="6" t="n"/>
      <c r="H8" s="8" t="inlineStr">
        <is>
          <t>E0</t>
        </is>
      </c>
      <c r="I8" s="8" t="inlineStr">
        <is>
          <t>N</t>
        </is>
      </c>
      <c r="J8" s="8" t="inlineStr">
        <is>
          <t>N</t>
        </is>
      </c>
      <c r="K8" s="6">
        <f>IF(H8="E0",0.20,IF(H8="E1",0.40,IF(H8="E2",0.65,IF(H8="E3",0.85,IF(H8="E4",1.00,0)))))</f>
        <v/>
      </c>
      <c r="L8" s="6">
        <f>IF(D8="N","",IF(OR(E8="",F8=""),"",IF(G8="N/A",100*((0.60*E8)+(0.40*F8))/5,IF(G8="",100*((0.60*E8)+(0.40*F8))/5,100*((0.45*E8)+(0.30*F8)+(0.25*G8))/5))))</f>
        <v/>
      </c>
      <c r="M8" s="6">
        <f>IF(D8="N","",IFERROR(VLOOKUP(A8,'P0-4_Required_Maturity'!$A$2:$I$12,9,FALSE),3))</f>
        <v/>
      </c>
      <c r="N8" s="6">
        <f>IF(OR(E8="",M8=""),"",M8-E8)</f>
        <v/>
      </c>
      <c r="O8" s="6">
        <f>IF(D8="N","N/A",IF(OR(E8="",F8="",H8=""),"INCOMPLETE",IF(AND(L8&gt;=80,H8="E0"),"REVIEW",IF(AND(L8&gt;=80,OR(I8="N",J8="N")),"CORROBORATION REVIEW","OK"))))</f>
        <v/>
      </c>
      <c r="P8" s="6" t="n"/>
    </row>
    <row r="9">
      <c r="A9" s="8" t="inlineStr">
        <is>
          <t>D01</t>
        </is>
      </c>
      <c r="B9" s="8" t="inlineStr">
        <is>
          <t>I08</t>
        </is>
      </c>
      <c r="C9" s="8" t="inlineStr">
        <is>
          <t>Leadership Alignment</t>
        </is>
      </c>
      <c r="D9" s="8" t="inlineStr">
        <is>
          <t>Y</t>
        </is>
      </c>
      <c r="E9" s="6" t="n"/>
      <c r="F9" s="6" t="n"/>
      <c r="G9" s="6" t="n"/>
      <c r="H9" s="8" t="inlineStr">
        <is>
          <t>E0</t>
        </is>
      </c>
      <c r="I9" s="8" t="inlineStr">
        <is>
          <t>N</t>
        </is>
      </c>
      <c r="J9" s="8" t="inlineStr">
        <is>
          <t>N</t>
        </is>
      </c>
      <c r="K9" s="6">
        <f>IF(H9="E0",0.20,IF(H9="E1",0.40,IF(H9="E2",0.65,IF(H9="E3",0.85,IF(H9="E4",1.00,0)))))</f>
        <v/>
      </c>
      <c r="L9" s="6">
        <f>IF(D9="N","",IF(OR(E9="",F9=""),"",IF(G9="N/A",100*((0.60*E9)+(0.40*F9))/5,IF(G9="",100*((0.60*E9)+(0.40*F9))/5,100*((0.45*E9)+(0.30*F9)+(0.25*G9))/5))))</f>
        <v/>
      </c>
      <c r="M9" s="6">
        <f>IF(D9="N","",IFERROR(VLOOKUP(A9,'P0-4_Required_Maturity'!$A$2:$I$12,9,FALSE),3))</f>
        <v/>
      </c>
      <c r="N9" s="6">
        <f>IF(OR(E9="",M9=""),"",M9-E9)</f>
        <v/>
      </c>
      <c r="O9" s="6">
        <f>IF(D9="N","N/A",IF(OR(E9="",F9="",H9=""),"INCOMPLETE",IF(AND(L9&gt;=80,H9="E0"),"REVIEW",IF(AND(L9&gt;=80,OR(I9="N",J9="N")),"CORROBORATION REVIEW","OK"))))</f>
        <v/>
      </c>
      <c r="P9" s="6" t="n"/>
    </row>
    <row r="10">
      <c r="A10" s="8" t="inlineStr">
        <is>
          <t>D01</t>
        </is>
      </c>
      <c r="B10" s="8" t="inlineStr">
        <is>
          <t>I09</t>
        </is>
      </c>
      <c r="C10" s="8" t="inlineStr">
        <is>
          <t>Experimentation Effectiveness</t>
        </is>
      </c>
      <c r="D10" s="8" t="inlineStr">
        <is>
          <t>Y</t>
        </is>
      </c>
      <c r="E10" s="6" t="n"/>
      <c r="F10" s="6" t="n"/>
      <c r="G10" s="6" t="n"/>
      <c r="H10" s="8" t="inlineStr">
        <is>
          <t>E0</t>
        </is>
      </c>
      <c r="I10" s="8" t="inlineStr">
        <is>
          <t>N</t>
        </is>
      </c>
      <c r="J10" s="8" t="inlineStr">
        <is>
          <t>N</t>
        </is>
      </c>
      <c r="K10" s="6">
        <f>IF(H10="E0",0.20,IF(H10="E1",0.40,IF(H10="E2",0.65,IF(H10="E3",0.85,IF(H10="E4",1.00,0)))))</f>
        <v/>
      </c>
      <c r="L10" s="6">
        <f>IF(D10="N","",IF(OR(E10="",F10=""),"",IF(G10="N/A",100*((0.60*E10)+(0.40*F10))/5,IF(G10="",100*((0.60*E10)+(0.40*F10))/5,100*((0.45*E10)+(0.30*F10)+(0.25*G10))/5))))</f>
        <v/>
      </c>
      <c r="M10" s="6">
        <f>IF(D10="N","",IFERROR(VLOOKUP(A10,'P0-4_Required_Maturity'!$A$2:$I$12,9,FALSE),3))</f>
        <v/>
      </c>
      <c r="N10" s="6">
        <f>IF(OR(E10="",M10=""),"",M10-E10)</f>
        <v/>
      </c>
      <c r="O10" s="6">
        <f>IF(D10="N","N/A",IF(OR(E10="",F10="",H10=""),"INCOMPLETE",IF(AND(L10&gt;=80,H10="E0"),"REVIEW",IF(AND(L10&gt;=80,OR(I10="N",J10="N")),"CORROBORATION REVIEW","OK"))))</f>
        <v/>
      </c>
      <c r="P10" s="6" t="n"/>
    </row>
    <row r="11">
      <c r="A11" s="8" t="inlineStr">
        <is>
          <t>D01</t>
        </is>
      </c>
      <c r="B11" s="8" t="inlineStr">
        <is>
          <t>I10</t>
        </is>
      </c>
      <c r="C11" s="8" t="inlineStr">
        <is>
          <t>Strategic Learning Rate</t>
        </is>
      </c>
      <c r="D11" s="8" t="inlineStr">
        <is>
          <t>Y</t>
        </is>
      </c>
      <c r="E11" s="6" t="n"/>
      <c r="F11" s="6" t="n"/>
      <c r="G11" s="6" t="n"/>
      <c r="H11" s="8" t="inlineStr">
        <is>
          <t>E0</t>
        </is>
      </c>
      <c r="I11" s="8" t="inlineStr">
        <is>
          <t>N</t>
        </is>
      </c>
      <c r="J11" s="8" t="inlineStr">
        <is>
          <t>N</t>
        </is>
      </c>
      <c r="K11" s="6">
        <f>IF(H11="E0",0.20,IF(H11="E1",0.40,IF(H11="E2",0.65,IF(H11="E3",0.85,IF(H11="E4",1.00,0)))))</f>
        <v/>
      </c>
      <c r="L11" s="6">
        <f>IF(D11="N","",IF(OR(E11="",F11=""),"",IF(G11="N/A",100*((0.60*E11)+(0.40*F11))/5,IF(G11="",100*((0.60*E11)+(0.40*F11))/5,100*((0.45*E11)+(0.30*F11)+(0.25*G11))/5))))</f>
        <v/>
      </c>
      <c r="M11" s="6">
        <f>IF(D11="N","",IFERROR(VLOOKUP(A11,'P0-4_Required_Maturity'!$A$2:$I$12,9,FALSE),3))</f>
        <v/>
      </c>
      <c r="N11" s="6">
        <f>IF(OR(E11="",M11=""),"",M11-E11)</f>
        <v/>
      </c>
      <c r="O11" s="6">
        <f>IF(D11="N","N/A",IF(OR(E11="",F11="",H11=""),"INCOMPLETE",IF(AND(L11&gt;=80,H11="E0"),"REVIEW",IF(AND(L11&gt;=80,OR(I11="N",J11="N")),"CORROBORATION REVIEW","OK"))))</f>
        <v/>
      </c>
      <c r="P11" s="6" t="n"/>
    </row>
    <row r="12">
      <c r="A12" s="8" t="inlineStr">
        <is>
          <t>D02</t>
        </is>
      </c>
      <c r="B12" s="8" t="inlineStr">
        <is>
          <t>I01</t>
        </is>
      </c>
      <c r="C12" s="8" t="inlineStr">
        <is>
          <t>Governance Ownership</t>
        </is>
      </c>
      <c r="D12" s="8" t="inlineStr">
        <is>
          <t>Y</t>
        </is>
      </c>
      <c r="E12" s="6" t="n"/>
      <c r="F12" s="6" t="n"/>
      <c r="G12" s="6" t="n"/>
      <c r="H12" s="8" t="inlineStr">
        <is>
          <t>E0</t>
        </is>
      </c>
      <c r="I12" s="8" t="inlineStr">
        <is>
          <t>N</t>
        </is>
      </c>
      <c r="J12" s="8" t="inlineStr">
        <is>
          <t>N</t>
        </is>
      </c>
      <c r="K12" s="6">
        <f>IF(H12="E0",0.20,IF(H12="E1",0.40,IF(H12="E2",0.65,IF(H12="E3",0.85,IF(H12="E4",1.00,0)))))</f>
        <v/>
      </c>
      <c r="L12" s="6">
        <f>IF(D12="N","",IF(OR(E12="",F12=""),"",IF(G12="N/A",100*((0.60*E12)+(0.40*F12))/5,IF(G12="",100*((0.60*E12)+(0.40*F12))/5,100*((0.45*E12)+(0.30*F12)+(0.25*G12))/5))))</f>
        <v/>
      </c>
      <c r="M12" s="6">
        <f>IF(D12="N","",IFERROR(VLOOKUP(A12,'P0-4_Required_Maturity'!$A$2:$I$12,9,FALSE),3))</f>
        <v/>
      </c>
      <c r="N12" s="6">
        <f>IF(OR(E12="",M12=""),"",M12-E12)</f>
        <v/>
      </c>
      <c r="O12" s="6">
        <f>IF(D12="N","N/A",IF(OR(E12="",F12="",H12=""),"INCOMPLETE",IF(AND(L12&gt;=80,H12="E0"),"REVIEW",IF(AND(L12&gt;=80,OR(I12="N",J12="N")),"CORROBORATION REVIEW","OK"))))</f>
        <v/>
      </c>
      <c r="P12" s="6" t="n"/>
    </row>
    <row r="13">
      <c r="A13" s="8" t="inlineStr">
        <is>
          <t>D02</t>
        </is>
      </c>
      <c r="B13" s="8" t="inlineStr">
        <is>
          <t>I02</t>
        </is>
      </c>
      <c r="C13" s="8" t="inlineStr">
        <is>
          <t>Decision Architecture</t>
        </is>
      </c>
      <c r="D13" s="8" t="inlineStr">
        <is>
          <t>Y</t>
        </is>
      </c>
      <c r="E13" s="6" t="n"/>
      <c r="F13" s="6" t="n"/>
      <c r="G13" s="6" t="n"/>
      <c r="H13" s="8" t="inlineStr">
        <is>
          <t>E0</t>
        </is>
      </c>
      <c r="I13" s="8" t="inlineStr">
        <is>
          <t>N</t>
        </is>
      </c>
      <c r="J13" s="8" t="inlineStr">
        <is>
          <t>N</t>
        </is>
      </c>
      <c r="K13" s="6">
        <f>IF(H13="E0",0.20,IF(H13="E1",0.40,IF(H13="E2",0.65,IF(H13="E3",0.85,IF(H13="E4",1.00,0)))))</f>
        <v/>
      </c>
      <c r="L13" s="6">
        <f>IF(D13="N","",IF(OR(E13="",F13=""),"",IF(G13="N/A",100*((0.60*E13)+(0.40*F13))/5,IF(G13="",100*((0.60*E13)+(0.40*F13))/5,100*((0.45*E13)+(0.30*F13)+(0.25*G13))/5))))</f>
        <v/>
      </c>
      <c r="M13" s="6">
        <f>IF(D13="N","",IFERROR(VLOOKUP(A13,'P0-4_Required_Maturity'!$A$2:$I$12,9,FALSE),3))</f>
        <v/>
      </c>
      <c r="N13" s="6">
        <f>IF(OR(E13="",M13=""),"",M13-E13)</f>
        <v/>
      </c>
      <c r="O13" s="6">
        <f>IF(D13="N","N/A",IF(OR(E13="",F13="",H13=""),"INCOMPLETE",IF(AND(L13&gt;=80,H13="E0"),"REVIEW",IF(AND(L13&gt;=80,OR(I13="N",J13="N")),"CORROBORATION REVIEW","OK"))))</f>
        <v/>
      </c>
      <c r="P13" s="6" t="n"/>
    </row>
    <row r="14">
      <c r="A14" s="8" t="inlineStr">
        <is>
          <t>D02</t>
        </is>
      </c>
      <c r="B14" s="8" t="inlineStr">
        <is>
          <t>I03</t>
        </is>
      </c>
      <c r="C14" s="8" t="inlineStr">
        <is>
          <t>Responsible AI Maturity</t>
        </is>
      </c>
      <c r="D14" s="8" t="inlineStr">
        <is>
          <t>Y</t>
        </is>
      </c>
      <c r="E14" s="6" t="n"/>
      <c r="F14" s="6" t="n"/>
      <c r="G14" s="6" t="n"/>
      <c r="H14" s="8" t="inlineStr">
        <is>
          <t>E0</t>
        </is>
      </c>
      <c r="I14" s="8" t="inlineStr">
        <is>
          <t>N</t>
        </is>
      </c>
      <c r="J14" s="8" t="inlineStr">
        <is>
          <t>N</t>
        </is>
      </c>
      <c r="K14" s="6">
        <f>IF(H14="E0",0.20,IF(H14="E1",0.40,IF(H14="E2",0.65,IF(H14="E3",0.85,IF(H14="E4",1.00,0)))))</f>
        <v/>
      </c>
      <c r="L14" s="6">
        <f>IF(D14="N","",IF(OR(E14="",F14=""),"",IF(G14="N/A",100*((0.60*E14)+(0.40*F14))/5,IF(G14="",100*((0.60*E14)+(0.40*F14))/5,100*((0.45*E14)+(0.30*F14)+(0.25*G14))/5))))</f>
        <v/>
      </c>
      <c r="M14" s="6">
        <f>IF(D14="N","",IFERROR(VLOOKUP(A14,'P0-4_Required_Maturity'!$A$2:$I$12,9,FALSE),3))</f>
        <v/>
      </c>
      <c r="N14" s="6">
        <f>IF(OR(E14="",M14=""),"",M14-E14)</f>
        <v/>
      </c>
      <c r="O14" s="6">
        <f>IF(D14="N","N/A",IF(OR(E14="",F14="",H14=""),"INCOMPLETE",IF(AND(L14&gt;=80,H14="E0"),"REVIEW",IF(AND(L14&gt;=80,OR(I14="N",J14="N")),"CORROBORATION REVIEW","OK"))))</f>
        <v/>
      </c>
      <c r="P14" s="6" t="n"/>
    </row>
    <row r="15">
      <c r="A15" s="8" t="inlineStr">
        <is>
          <t>D02</t>
        </is>
      </c>
      <c r="B15" s="8" t="inlineStr">
        <is>
          <t>I04</t>
        </is>
      </c>
      <c r="C15" s="8" t="inlineStr">
        <is>
          <t>Data Governance Readiness</t>
        </is>
      </c>
      <c r="D15" s="8" t="inlineStr">
        <is>
          <t>Y</t>
        </is>
      </c>
      <c r="E15" s="6" t="n"/>
      <c r="F15" s="6" t="n"/>
      <c r="G15" s="6" t="n"/>
      <c r="H15" s="8" t="inlineStr">
        <is>
          <t>E0</t>
        </is>
      </c>
      <c r="I15" s="8" t="inlineStr">
        <is>
          <t>N</t>
        </is>
      </c>
      <c r="J15" s="8" t="inlineStr">
        <is>
          <t>N</t>
        </is>
      </c>
      <c r="K15" s="6">
        <f>IF(H15="E0",0.20,IF(H15="E1",0.40,IF(H15="E2",0.65,IF(H15="E3",0.85,IF(H15="E4",1.00,0)))))</f>
        <v/>
      </c>
      <c r="L15" s="6">
        <f>IF(D15="N","",IF(OR(E15="",F15=""),"",IF(G15="N/A",100*((0.60*E15)+(0.40*F15))/5,IF(G15="",100*((0.60*E15)+(0.40*F15))/5,100*((0.45*E15)+(0.30*F15)+(0.25*G15))/5))))</f>
        <v/>
      </c>
      <c r="M15" s="6">
        <f>IF(D15="N","",IFERROR(VLOOKUP(A15,'P0-4_Required_Maturity'!$A$2:$I$12,9,FALSE),3))</f>
        <v/>
      </c>
      <c r="N15" s="6">
        <f>IF(OR(E15="",M15=""),"",M15-E15)</f>
        <v/>
      </c>
      <c r="O15" s="6">
        <f>IF(D15="N","N/A",IF(OR(E15="",F15="",H15=""),"INCOMPLETE",IF(AND(L15&gt;=80,H15="E0"),"REVIEW",IF(AND(L15&gt;=80,OR(I15="N",J15="N")),"CORROBORATION REVIEW","OK"))))</f>
        <v/>
      </c>
      <c r="P15" s="6" t="n"/>
    </row>
    <row r="16">
      <c r="A16" s="8" t="inlineStr">
        <is>
          <t>D02</t>
        </is>
      </c>
      <c r="B16" s="8" t="inlineStr">
        <is>
          <t>I05</t>
        </is>
      </c>
      <c r="C16" s="8" t="inlineStr">
        <is>
          <t>Academic Integrity Governance</t>
        </is>
      </c>
      <c r="D16" s="8" t="inlineStr">
        <is>
          <t>Y</t>
        </is>
      </c>
      <c r="E16" s="6" t="n"/>
      <c r="F16" s="6" t="n"/>
      <c r="G16" s="6" t="n"/>
      <c r="H16" s="8" t="inlineStr">
        <is>
          <t>E0</t>
        </is>
      </c>
      <c r="I16" s="8" t="inlineStr">
        <is>
          <t>N</t>
        </is>
      </c>
      <c r="J16" s="8" t="inlineStr">
        <is>
          <t>N</t>
        </is>
      </c>
      <c r="K16" s="6">
        <f>IF(H16="E0",0.20,IF(H16="E1",0.40,IF(H16="E2",0.65,IF(H16="E3",0.85,IF(H16="E4",1.00,0)))))</f>
        <v/>
      </c>
      <c r="L16" s="6">
        <f>IF(D16="N","",IF(OR(E16="",F16=""),"",IF(G16="N/A",100*((0.60*E16)+(0.40*F16))/5,IF(G16="",100*((0.60*E16)+(0.40*F16))/5,100*((0.45*E16)+(0.30*F16)+(0.25*G16))/5))))</f>
        <v/>
      </c>
      <c r="M16" s="6">
        <f>IF(D16="N","",IFERROR(VLOOKUP(A16,'P0-4_Required_Maturity'!$A$2:$I$12,9,FALSE),3))</f>
        <v/>
      </c>
      <c r="N16" s="6">
        <f>IF(OR(E16="",M16=""),"",M16-E16)</f>
        <v/>
      </c>
      <c r="O16" s="6">
        <f>IF(D16="N","N/A",IF(OR(E16="",F16="",H16=""),"INCOMPLETE",IF(AND(L16&gt;=80,H16="E0"),"REVIEW",IF(AND(L16&gt;=80,OR(I16="N",J16="N")),"CORROBORATION REVIEW","OK"))))</f>
        <v/>
      </c>
      <c r="P16" s="6" t="n"/>
    </row>
    <row r="17">
      <c r="A17" s="8" t="inlineStr">
        <is>
          <t>D02</t>
        </is>
      </c>
      <c r="B17" s="8" t="inlineStr">
        <is>
          <t>I06</t>
        </is>
      </c>
      <c r="C17" s="8" t="inlineStr">
        <is>
          <t>Assessment Governance</t>
        </is>
      </c>
      <c r="D17" s="8" t="inlineStr">
        <is>
          <t>Y</t>
        </is>
      </c>
      <c r="E17" s="6" t="n"/>
      <c r="F17" s="6" t="n"/>
      <c r="G17" s="6" t="n"/>
      <c r="H17" s="8" t="inlineStr">
        <is>
          <t>E0</t>
        </is>
      </c>
      <c r="I17" s="8" t="inlineStr">
        <is>
          <t>N</t>
        </is>
      </c>
      <c r="J17" s="8" t="inlineStr">
        <is>
          <t>N</t>
        </is>
      </c>
      <c r="K17" s="6">
        <f>IF(H17="E0",0.20,IF(H17="E1",0.40,IF(H17="E2",0.65,IF(H17="E3",0.85,IF(H17="E4",1.00,0)))))</f>
        <v/>
      </c>
      <c r="L17" s="6">
        <f>IF(D17="N","",IF(OR(E17="",F17=""),"",IF(G17="N/A",100*((0.60*E17)+(0.40*F17))/5,IF(G17="",100*((0.60*E17)+(0.40*F17))/5,100*((0.45*E17)+(0.30*F17)+(0.25*G17))/5))))</f>
        <v/>
      </c>
      <c r="M17" s="6">
        <f>IF(D17="N","",IFERROR(VLOOKUP(A17,'P0-4_Required_Maturity'!$A$2:$I$12,9,FALSE),3))</f>
        <v/>
      </c>
      <c r="N17" s="6">
        <f>IF(OR(E17="",M17=""),"",M17-E17)</f>
        <v/>
      </c>
      <c r="O17" s="6">
        <f>IF(D17="N","N/A",IF(OR(E17="",F17="",H17=""),"INCOMPLETE",IF(AND(L17&gt;=80,H17="E0"),"REVIEW",IF(AND(L17&gt;=80,OR(I17="N",J17="N")),"CORROBORATION REVIEW","OK"))))</f>
        <v/>
      </c>
      <c r="P17" s="6" t="n"/>
    </row>
    <row r="18">
      <c r="A18" s="8" t="inlineStr">
        <is>
          <t>D02</t>
        </is>
      </c>
      <c r="B18" s="8" t="inlineStr">
        <is>
          <t>I07</t>
        </is>
      </c>
      <c r="C18" s="8" t="inlineStr">
        <is>
          <t>AI Risk Management</t>
        </is>
      </c>
      <c r="D18" s="8" t="inlineStr">
        <is>
          <t>Y</t>
        </is>
      </c>
      <c r="E18" s="6" t="n"/>
      <c r="F18" s="6" t="n"/>
      <c r="G18" s="6" t="n"/>
      <c r="H18" s="8" t="inlineStr">
        <is>
          <t>E0</t>
        </is>
      </c>
      <c r="I18" s="8" t="inlineStr">
        <is>
          <t>N</t>
        </is>
      </c>
      <c r="J18" s="8" t="inlineStr">
        <is>
          <t>N</t>
        </is>
      </c>
      <c r="K18" s="6">
        <f>IF(H18="E0",0.20,IF(H18="E1",0.40,IF(H18="E2",0.65,IF(H18="E3",0.85,IF(H18="E4",1.00,0)))))</f>
        <v/>
      </c>
      <c r="L18" s="6">
        <f>IF(D18="N","",IF(OR(E18="",F18=""),"",IF(G18="N/A",100*((0.60*E18)+(0.40*F18))/5,IF(G18="",100*((0.60*E18)+(0.40*F18))/5,100*((0.45*E18)+(0.30*F18)+(0.25*G18))/5))))</f>
        <v/>
      </c>
      <c r="M18" s="6">
        <f>IF(D18="N","",IFERROR(VLOOKUP(A18,'P0-4_Required_Maturity'!$A$2:$I$12,9,FALSE),3))</f>
        <v/>
      </c>
      <c r="N18" s="6">
        <f>IF(OR(E18="",M18=""),"",M18-E18)</f>
        <v/>
      </c>
      <c r="O18" s="6">
        <f>IF(D18="N","N/A",IF(OR(E18="",F18="",H18=""),"INCOMPLETE",IF(AND(L18&gt;=80,H18="E0"),"REVIEW",IF(AND(L18&gt;=80,OR(I18="N",J18="N")),"CORROBORATION REVIEW","OK"))))</f>
        <v/>
      </c>
      <c r="P18" s="6" t="n"/>
    </row>
    <row r="19">
      <c r="A19" s="8" t="inlineStr">
        <is>
          <t>D02</t>
        </is>
      </c>
      <c r="B19" s="8" t="inlineStr">
        <is>
          <t>I08</t>
        </is>
      </c>
      <c r="C19" s="8" t="inlineStr">
        <is>
          <t>Incident Responsiveness</t>
        </is>
      </c>
      <c r="D19" s="8" t="inlineStr">
        <is>
          <t>Y</t>
        </is>
      </c>
      <c r="E19" s="6" t="n"/>
      <c r="F19" s="6" t="n"/>
      <c r="G19" s="6" t="n"/>
      <c r="H19" s="8" t="inlineStr">
        <is>
          <t>E0</t>
        </is>
      </c>
      <c r="I19" s="8" t="inlineStr">
        <is>
          <t>N</t>
        </is>
      </c>
      <c r="J19" s="8" t="inlineStr">
        <is>
          <t>N</t>
        </is>
      </c>
      <c r="K19" s="6">
        <f>IF(H19="E0",0.20,IF(H19="E1",0.40,IF(H19="E2",0.65,IF(H19="E3",0.85,IF(H19="E4",1.00,0)))))</f>
        <v/>
      </c>
      <c r="L19" s="6">
        <f>IF(D19="N","",IF(OR(E19="",F19=""),"",IF(G19="N/A",100*((0.60*E19)+(0.40*F19))/5,IF(G19="",100*((0.60*E19)+(0.40*F19))/5,100*((0.45*E19)+(0.30*F19)+(0.25*G19))/5))))</f>
        <v/>
      </c>
      <c r="M19" s="6">
        <f>IF(D19="N","",IFERROR(VLOOKUP(A19,'P0-4_Required_Maturity'!$A$2:$I$12,9,FALSE),3))</f>
        <v/>
      </c>
      <c r="N19" s="6">
        <f>IF(OR(E19="",M19=""),"",M19-E19)</f>
        <v/>
      </c>
      <c r="O19" s="6">
        <f>IF(D19="N","N/A",IF(OR(E19="",F19="",H19=""),"INCOMPLETE",IF(AND(L19&gt;=80,H19="E0"),"REVIEW",IF(AND(L19&gt;=80,OR(I19="N",J19="N")),"CORROBORATION REVIEW","OK"))))</f>
        <v/>
      </c>
      <c r="P19" s="6" t="n"/>
    </row>
    <row r="20">
      <c r="A20" s="8" t="inlineStr">
        <is>
          <t>D02</t>
        </is>
      </c>
      <c r="B20" s="8" t="inlineStr">
        <is>
          <t>I09</t>
        </is>
      </c>
      <c r="C20" s="8" t="inlineStr">
        <is>
          <t>Human Accountability</t>
        </is>
      </c>
      <c r="D20" s="8" t="inlineStr">
        <is>
          <t>Y</t>
        </is>
      </c>
      <c r="E20" s="6" t="n"/>
      <c r="F20" s="6" t="n"/>
      <c r="G20" s="6" t="n"/>
      <c r="H20" s="8" t="inlineStr">
        <is>
          <t>E0</t>
        </is>
      </c>
      <c r="I20" s="8" t="inlineStr">
        <is>
          <t>N</t>
        </is>
      </c>
      <c r="J20" s="8" t="inlineStr">
        <is>
          <t>N</t>
        </is>
      </c>
      <c r="K20" s="6">
        <f>IF(H20="E0",0.20,IF(H20="E1",0.40,IF(H20="E2",0.65,IF(H20="E3",0.85,IF(H20="E4",1.00,0)))))</f>
        <v/>
      </c>
      <c r="L20" s="6">
        <f>IF(D20="N","",IF(OR(E20="",F20=""),"",IF(G20="N/A",100*((0.60*E20)+(0.40*F20))/5,IF(G20="",100*((0.60*E20)+(0.40*F20))/5,100*((0.45*E20)+(0.30*F20)+(0.25*G20))/5))))</f>
        <v/>
      </c>
      <c r="M20" s="6">
        <f>IF(D20="N","",IFERROR(VLOOKUP(A20,'P0-4_Required_Maturity'!$A$2:$I$12,9,FALSE),3))</f>
        <v/>
      </c>
      <c r="N20" s="6">
        <f>IF(OR(E20="",M20=""),"",M20-E20)</f>
        <v/>
      </c>
      <c r="O20" s="6">
        <f>IF(D20="N","N/A",IF(OR(E20="",F20="",H20=""),"INCOMPLETE",IF(AND(L20&gt;=80,H20="E0"),"REVIEW",IF(AND(L20&gt;=80,OR(I20="N",J20="N")),"CORROBORATION REVIEW","OK"))))</f>
        <v/>
      </c>
      <c r="P20" s="6" t="n"/>
    </row>
    <row r="21">
      <c r="A21" s="8" t="inlineStr">
        <is>
          <t>D02</t>
        </is>
      </c>
      <c r="B21" s="8" t="inlineStr">
        <is>
          <t>I10</t>
        </is>
      </c>
      <c r="C21" s="8" t="inlineStr">
        <is>
          <t>Vendor/Tool Governance</t>
        </is>
      </c>
      <c r="D21" s="8" t="inlineStr">
        <is>
          <t>Y</t>
        </is>
      </c>
      <c r="E21" s="6" t="n"/>
      <c r="F21" s="6" t="n"/>
      <c r="G21" s="6" t="n"/>
      <c r="H21" s="8" t="inlineStr">
        <is>
          <t>E0</t>
        </is>
      </c>
      <c r="I21" s="8" t="inlineStr">
        <is>
          <t>N</t>
        </is>
      </c>
      <c r="J21" s="8" t="inlineStr">
        <is>
          <t>N</t>
        </is>
      </c>
      <c r="K21" s="6">
        <f>IF(H21="E0",0.20,IF(H21="E1",0.40,IF(H21="E2",0.65,IF(H21="E3",0.85,IF(H21="E4",1.00,0)))))</f>
        <v/>
      </c>
      <c r="L21" s="6">
        <f>IF(D21="N","",IF(OR(E21="",F21=""),"",IF(G21="N/A",100*((0.60*E21)+(0.40*F21))/5,IF(G21="",100*((0.60*E21)+(0.40*F21))/5,100*((0.45*E21)+(0.30*F21)+(0.25*G21))/5))))</f>
        <v/>
      </c>
      <c r="M21" s="6">
        <f>IF(D21="N","",IFERROR(VLOOKUP(A21,'P0-4_Required_Maturity'!$A$2:$I$12,9,FALSE),3))</f>
        <v/>
      </c>
      <c r="N21" s="6">
        <f>IF(OR(E21="",M21=""),"",M21-E21)</f>
        <v/>
      </c>
      <c r="O21" s="6">
        <f>IF(D21="N","N/A",IF(OR(E21="",F21="",H21=""),"INCOMPLETE",IF(AND(L21&gt;=80,H21="E0"),"REVIEW",IF(AND(L21&gt;=80,OR(I21="N",J21="N")),"CORROBORATION REVIEW","OK"))))</f>
        <v/>
      </c>
      <c r="P21" s="6" t="n"/>
    </row>
    <row r="22">
      <c r="A22" s="8" t="inlineStr">
        <is>
          <t>D02</t>
        </is>
      </c>
      <c r="B22" s="8" t="inlineStr">
        <is>
          <t>I11</t>
        </is>
      </c>
      <c r="C22" s="8" t="inlineStr">
        <is>
          <t>IP Governance</t>
        </is>
      </c>
      <c r="D22" s="8" t="inlineStr">
        <is>
          <t>Y</t>
        </is>
      </c>
      <c r="E22" s="6" t="n"/>
      <c r="F22" s="6" t="n"/>
      <c r="G22" s="6" t="n"/>
      <c r="H22" s="8" t="inlineStr">
        <is>
          <t>E0</t>
        </is>
      </c>
      <c r="I22" s="8" t="inlineStr">
        <is>
          <t>N</t>
        </is>
      </c>
      <c r="J22" s="8" t="inlineStr">
        <is>
          <t>N</t>
        </is>
      </c>
      <c r="K22" s="6">
        <f>IF(H22="E0",0.20,IF(H22="E1",0.40,IF(H22="E2",0.65,IF(H22="E3",0.85,IF(H22="E4",1.00,0)))))</f>
        <v/>
      </c>
      <c r="L22" s="6">
        <f>IF(D22="N","",IF(OR(E22="",F22=""),"",IF(G22="N/A",100*((0.60*E22)+(0.40*F22))/5,IF(G22="",100*((0.60*E22)+(0.40*F22))/5,100*((0.45*E22)+(0.30*F22)+(0.25*G22))/5))))</f>
        <v/>
      </c>
      <c r="M22" s="6">
        <f>IF(D22="N","",IFERROR(VLOOKUP(A22,'P0-4_Required_Maturity'!$A$2:$I$12,9,FALSE),3))</f>
        <v/>
      </c>
      <c r="N22" s="6">
        <f>IF(OR(E22="",M22=""),"",M22-E22)</f>
        <v/>
      </c>
      <c r="O22" s="6">
        <f>IF(D22="N","N/A",IF(OR(E22="",F22="",H22=""),"INCOMPLETE",IF(AND(L22&gt;=80,H22="E0"),"REVIEW",IF(AND(L22&gt;=80,OR(I22="N",J22="N")),"CORROBORATION REVIEW","OK"))))</f>
        <v/>
      </c>
      <c r="P22" s="6" t="n"/>
    </row>
    <row r="23">
      <c r="A23" s="8" t="inlineStr">
        <is>
          <t>D02</t>
        </is>
      </c>
      <c r="B23" s="8" t="inlineStr">
        <is>
          <t>I12</t>
        </is>
      </c>
      <c r="C23" s="8" t="inlineStr">
        <is>
          <t>Research AI Governance</t>
        </is>
      </c>
      <c r="D23" s="8" t="inlineStr">
        <is>
          <t>Y</t>
        </is>
      </c>
      <c r="E23" s="6" t="n"/>
      <c r="F23" s="6" t="n"/>
      <c r="G23" s="6" t="n"/>
      <c r="H23" s="8" t="inlineStr">
        <is>
          <t>E0</t>
        </is>
      </c>
      <c r="I23" s="8" t="inlineStr">
        <is>
          <t>N</t>
        </is>
      </c>
      <c r="J23" s="8" t="inlineStr">
        <is>
          <t>N</t>
        </is>
      </c>
      <c r="K23" s="6">
        <f>IF(H23="E0",0.20,IF(H23="E1",0.40,IF(H23="E2",0.65,IF(H23="E3",0.85,IF(H23="E4",1.00,0)))))</f>
        <v/>
      </c>
      <c r="L23" s="6">
        <f>IF(D23="N","",IF(OR(E23="",F23=""),"",IF(G23="N/A",100*((0.60*E23)+(0.40*F23))/5,IF(G23="",100*((0.60*E23)+(0.40*F23))/5,100*((0.45*E23)+(0.30*F23)+(0.25*G23))/5))))</f>
        <v/>
      </c>
      <c r="M23" s="6">
        <f>IF(D23="N","",IFERROR(VLOOKUP(A23,'P0-4_Required_Maturity'!$A$2:$I$12,9,FALSE),3))</f>
        <v/>
      </c>
      <c r="N23" s="6">
        <f>IF(OR(E23="",M23=""),"",M23-E23)</f>
        <v/>
      </c>
      <c r="O23" s="6">
        <f>IF(D23="N","N/A",IF(OR(E23="",F23="",H23=""),"INCOMPLETE",IF(AND(L23&gt;=80,H23="E0"),"REVIEW",IF(AND(L23&gt;=80,OR(I23="N",J23="N")),"CORROBORATION REVIEW","OK"))))</f>
        <v/>
      </c>
      <c r="P23" s="6" t="n"/>
    </row>
    <row r="24">
      <c r="A24" s="8" t="inlineStr">
        <is>
          <t>D02</t>
        </is>
      </c>
      <c r="B24" s="8" t="inlineStr">
        <is>
          <t>I13</t>
        </is>
      </c>
      <c r="C24" s="8" t="inlineStr">
        <is>
          <t>Governance Review Adaptability</t>
        </is>
      </c>
      <c r="D24" s="8" t="inlineStr">
        <is>
          <t>Y</t>
        </is>
      </c>
      <c r="E24" s="6" t="n"/>
      <c r="F24" s="6" t="n"/>
      <c r="G24" s="6" t="n"/>
      <c r="H24" s="8" t="inlineStr">
        <is>
          <t>E0</t>
        </is>
      </c>
      <c r="I24" s="8" t="inlineStr">
        <is>
          <t>N</t>
        </is>
      </c>
      <c r="J24" s="8" t="inlineStr">
        <is>
          <t>N</t>
        </is>
      </c>
      <c r="K24" s="6">
        <f>IF(H24="E0",0.20,IF(H24="E1",0.40,IF(H24="E2",0.65,IF(H24="E3",0.85,IF(H24="E4",1.00,0)))))</f>
        <v/>
      </c>
      <c r="L24" s="6">
        <f>IF(D24="N","",IF(OR(E24="",F24=""),"",IF(G24="N/A",100*((0.60*E24)+(0.40*F24))/5,IF(G24="",100*((0.60*E24)+(0.40*F24))/5,100*((0.45*E24)+(0.30*F24)+(0.25*G24))/5))))</f>
        <v/>
      </c>
      <c r="M24" s="6">
        <f>IF(D24="N","",IFERROR(VLOOKUP(A24,'P0-4_Required_Maturity'!$A$2:$I$12,9,FALSE),3))</f>
        <v/>
      </c>
      <c r="N24" s="6">
        <f>IF(OR(E24="",M24=""),"",M24-E24)</f>
        <v/>
      </c>
      <c r="O24" s="6">
        <f>IF(D24="N","N/A",IF(OR(E24="",F24="",H24=""),"INCOMPLETE",IF(AND(L24&gt;=80,H24="E0"),"REVIEW",IF(AND(L24&gt;=80,OR(I24="N",J24="N")),"CORROBORATION REVIEW","OK"))))</f>
        <v/>
      </c>
      <c r="P24" s="6" t="n"/>
    </row>
    <row r="25">
      <c r="A25" s="8" t="inlineStr">
        <is>
          <t>D02</t>
        </is>
      </c>
      <c r="B25" s="8" t="inlineStr">
        <is>
          <t>I14</t>
        </is>
      </c>
      <c r="C25" s="8" t="inlineStr">
        <is>
          <t>Governance Effectiveness</t>
        </is>
      </c>
      <c r="D25" s="8" t="inlineStr">
        <is>
          <t>Y</t>
        </is>
      </c>
      <c r="E25" s="6" t="n"/>
      <c r="F25" s="6" t="n"/>
      <c r="G25" s="6" t="n"/>
      <c r="H25" s="8" t="inlineStr">
        <is>
          <t>E0</t>
        </is>
      </c>
      <c r="I25" s="8" t="inlineStr">
        <is>
          <t>N</t>
        </is>
      </c>
      <c r="J25" s="8" t="inlineStr">
        <is>
          <t>N</t>
        </is>
      </c>
      <c r="K25" s="6">
        <f>IF(H25="E0",0.20,IF(H25="E1",0.40,IF(H25="E2",0.65,IF(H25="E3",0.85,IF(H25="E4",1.00,0)))))</f>
        <v/>
      </c>
      <c r="L25" s="6">
        <f>IF(D25="N","",IF(OR(E25="",F25=""),"",IF(G25="N/A",100*((0.60*E25)+(0.40*F25))/5,IF(G25="",100*((0.60*E25)+(0.40*F25))/5,100*((0.45*E25)+(0.30*F25)+(0.25*G25))/5))))</f>
        <v/>
      </c>
      <c r="M25" s="6">
        <f>IF(D25="N","",IFERROR(VLOOKUP(A25,'P0-4_Required_Maturity'!$A$2:$I$12,9,FALSE),3))</f>
        <v/>
      </c>
      <c r="N25" s="6">
        <f>IF(OR(E25="",M25=""),"",M25-E25)</f>
        <v/>
      </c>
      <c r="O25" s="6">
        <f>IF(D25="N","N/A",IF(OR(E25="",F25="",H25=""),"INCOMPLETE",IF(AND(L25&gt;=80,H25="E0"),"REVIEW",IF(AND(L25&gt;=80,OR(I25="N",J25="N")),"CORROBORATION REVIEW","OK"))))</f>
        <v/>
      </c>
      <c r="P25" s="6" t="n"/>
    </row>
    <row r="26">
      <c r="A26" s="8" t="inlineStr">
        <is>
          <t>D03</t>
        </is>
      </c>
      <c r="B26" s="8" t="inlineStr">
        <is>
          <t>I01</t>
        </is>
      </c>
      <c r="C26" s="8" t="inlineStr">
        <is>
          <t>Foundational Knowledge Depth</t>
        </is>
      </c>
      <c r="D26" s="8" t="inlineStr">
        <is>
          <t>Y</t>
        </is>
      </c>
      <c r="E26" s="6" t="n"/>
      <c r="F26" s="6" t="n"/>
      <c r="G26" s="6" t="n"/>
      <c r="H26" s="8" t="inlineStr">
        <is>
          <t>E0</t>
        </is>
      </c>
      <c r="I26" s="8" t="inlineStr">
        <is>
          <t>N</t>
        </is>
      </c>
      <c r="J26" s="8" t="inlineStr">
        <is>
          <t>N</t>
        </is>
      </c>
      <c r="K26" s="6">
        <f>IF(H26="E0",0.20,IF(H26="E1",0.40,IF(H26="E2",0.65,IF(H26="E3",0.85,IF(H26="E4",1.00,0)))))</f>
        <v/>
      </c>
      <c r="L26" s="6">
        <f>IF(D26="N","",IF(OR(E26="",F26=""),"",IF(G26="N/A",100*((0.60*E26)+(0.40*F26))/5,IF(G26="",100*((0.60*E26)+(0.40*F26))/5,100*((0.45*E26)+(0.30*F26)+(0.25*G26))/5))))</f>
        <v/>
      </c>
      <c r="M26" s="6">
        <f>IF(D26="N","",IFERROR(VLOOKUP(A26,'P0-4_Required_Maturity'!$A$2:$I$12,9,FALSE),3))</f>
        <v/>
      </c>
      <c r="N26" s="6">
        <f>IF(OR(E26="",M26=""),"",M26-E26)</f>
        <v/>
      </c>
      <c r="O26" s="6">
        <f>IF(D26="N","N/A",IF(OR(E26="",F26="",H26=""),"INCOMPLETE",IF(AND(L26&gt;=80,H26="E0"),"REVIEW",IF(AND(L26&gt;=80,OR(I26="N",J26="N")),"CORROBORATION REVIEW","OK"))))</f>
        <v/>
      </c>
      <c r="P26" s="6" t="n"/>
    </row>
    <row r="27">
      <c r="A27" s="8" t="inlineStr">
        <is>
          <t>D03</t>
        </is>
      </c>
      <c r="B27" s="8" t="inlineStr">
        <is>
          <t>I02</t>
        </is>
      </c>
      <c r="C27" s="8" t="inlineStr">
        <is>
          <t>Critical Reasoning Development</t>
        </is>
      </c>
      <c r="D27" s="8" t="inlineStr">
        <is>
          <t>Y</t>
        </is>
      </c>
      <c r="E27" s="6" t="n"/>
      <c r="F27" s="6" t="n"/>
      <c r="G27" s="6" t="n"/>
      <c r="H27" s="8" t="inlineStr">
        <is>
          <t>E0</t>
        </is>
      </c>
      <c r="I27" s="8" t="inlineStr">
        <is>
          <t>N</t>
        </is>
      </c>
      <c r="J27" s="8" t="inlineStr">
        <is>
          <t>N</t>
        </is>
      </c>
      <c r="K27" s="6">
        <f>IF(H27="E0",0.20,IF(H27="E1",0.40,IF(H27="E2",0.65,IF(H27="E3",0.85,IF(H27="E4",1.00,0)))))</f>
        <v/>
      </c>
      <c r="L27" s="6">
        <f>IF(D27="N","",IF(OR(E27="",F27=""),"",IF(G27="N/A",100*((0.60*E27)+(0.40*F27))/5,IF(G27="",100*((0.60*E27)+(0.40*F27))/5,100*((0.45*E27)+(0.30*F27)+(0.25*G27))/5))))</f>
        <v/>
      </c>
      <c r="M27" s="6">
        <f>IF(D27="N","",IFERROR(VLOOKUP(A27,'P0-4_Required_Maturity'!$A$2:$I$12,9,FALSE),3))</f>
        <v/>
      </c>
      <c r="N27" s="6">
        <f>IF(OR(E27="",M27=""),"",M27-E27)</f>
        <v/>
      </c>
      <c r="O27" s="6">
        <f>IF(D27="N","N/A",IF(OR(E27="",F27="",H27=""),"INCOMPLETE",IF(AND(L27&gt;=80,H27="E0"),"REVIEW",IF(AND(L27&gt;=80,OR(I27="N",J27="N")),"CORROBORATION REVIEW","OK"))))</f>
        <v/>
      </c>
      <c r="P27" s="6" t="n"/>
    </row>
    <row r="28">
      <c r="A28" s="8" t="inlineStr">
        <is>
          <t>D03</t>
        </is>
      </c>
      <c r="B28" s="8" t="inlineStr">
        <is>
          <t>I03</t>
        </is>
      </c>
      <c r="C28" s="8" t="inlineStr">
        <is>
          <t>Question Formulation</t>
        </is>
      </c>
      <c r="D28" s="8" t="inlineStr">
        <is>
          <t>Y</t>
        </is>
      </c>
      <c r="E28" s="6" t="n"/>
      <c r="F28" s="6" t="n"/>
      <c r="G28" s="6" t="n"/>
      <c r="H28" s="8" t="inlineStr">
        <is>
          <t>E0</t>
        </is>
      </c>
      <c r="I28" s="8" t="inlineStr">
        <is>
          <t>N</t>
        </is>
      </c>
      <c r="J28" s="8" t="inlineStr">
        <is>
          <t>N</t>
        </is>
      </c>
      <c r="K28" s="6">
        <f>IF(H28="E0",0.20,IF(H28="E1",0.40,IF(H28="E2",0.65,IF(H28="E3",0.85,IF(H28="E4",1.00,0)))))</f>
        <v/>
      </c>
      <c r="L28" s="6">
        <f>IF(D28="N","",IF(OR(E28="",F28=""),"",IF(G28="N/A",100*((0.60*E28)+(0.40*F28))/5,IF(G28="",100*((0.60*E28)+(0.40*F28))/5,100*((0.45*E28)+(0.30*F28)+(0.25*G28))/5))))</f>
        <v/>
      </c>
      <c r="M28" s="6">
        <f>IF(D28="N","",IFERROR(VLOOKUP(A28,'P0-4_Required_Maturity'!$A$2:$I$12,9,FALSE),3))</f>
        <v/>
      </c>
      <c r="N28" s="6">
        <f>IF(OR(E28="",M28=""),"",M28-E28)</f>
        <v/>
      </c>
      <c r="O28" s="6">
        <f>IF(D28="N","N/A",IF(OR(E28="",F28="",H28=""),"INCOMPLETE",IF(AND(L28&gt;=80,H28="E0"),"REVIEW",IF(AND(L28&gt;=80,OR(I28="N",J28="N")),"CORROBORATION REVIEW","OK"))))</f>
        <v/>
      </c>
      <c r="P28" s="6" t="n"/>
    </row>
    <row r="29">
      <c r="A29" s="8" t="inlineStr">
        <is>
          <t>D03</t>
        </is>
      </c>
      <c r="B29" s="8" t="inlineStr">
        <is>
          <t>I04</t>
        </is>
      </c>
      <c r="C29" s="8" t="inlineStr">
        <is>
          <t>Analytical Reasoning</t>
        </is>
      </c>
      <c r="D29" s="8" t="inlineStr">
        <is>
          <t>Y</t>
        </is>
      </c>
      <c r="E29" s="6" t="n"/>
      <c r="F29" s="6" t="n"/>
      <c r="G29" s="6" t="n"/>
      <c r="H29" s="8" t="inlineStr">
        <is>
          <t>E0</t>
        </is>
      </c>
      <c r="I29" s="8" t="inlineStr">
        <is>
          <t>N</t>
        </is>
      </c>
      <c r="J29" s="8" t="inlineStr">
        <is>
          <t>N</t>
        </is>
      </c>
      <c r="K29" s="6">
        <f>IF(H29="E0",0.20,IF(H29="E1",0.40,IF(H29="E2",0.65,IF(H29="E3",0.85,IF(H29="E4",1.00,0)))))</f>
        <v/>
      </c>
      <c r="L29" s="6">
        <f>IF(D29="N","",IF(OR(E29="",F29=""),"",IF(G29="N/A",100*((0.60*E29)+(0.40*F29))/5,IF(G29="",100*((0.60*E29)+(0.40*F29))/5,100*((0.45*E29)+(0.30*F29)+(0.25*G29))/5))))</f>
        <v/>
      </c>
      <c r="M29" s="6">
        <f>IF(D29="N","",IFERROR(VLOOKUP(A29,'P0-4_Required_Maturity'!$A$2:$I$12,9,FALSE),3))</f>
        <v/>
      </c>
      <c r="N29" s="6">
        <f>IF(OR(E29="",M29=""),"",M29-E29)</f>
        <v/>
      </c>
      <c r="O29" s="6">
        <f>IF(D29="N","N/A",IF(OR(E29="",F29="",H29=""),"INCOMPLETE",IF(AND(L29&gt;=80,H29="E0"),"REVIEW",IF(AND(L29&gt;=80,OR(I29="N",J29="N")),"CORROBORATION REVIEW","OK"))))</f>
        <v/>
      </c>
      <c r="P29" s="6" t="n"/>
    </row>
    <row r="30">
      <c r="A30" s="8" t="inlineStr">
        <is>
          <t>D03</t>
        </is>
      </c>
      <c r="B30" s="8" t="inlineStr">
        <is>
          <t>I05</t>
        </is>
      </c>
      <c r="C30" s="8" t="inlineStr">
        <is>
          <t>Problem Formulation</t>
        </is>
      </c>
      <c r="D30" s="8" t="inlineStr">
        <is>
          <t>Y</t>
        </is>
      </c>
      <c r="E30" s="6" t="n"/>
      <c r="F30" s="6" t="n"/>
      <c r="G30" s="6" t="n"/>
      <c r="H30" s="8" t="inlineStr">
        <is>
          <t>E0</t>
        </is>
      </c>
      <c r="I30" s="8" t="inlineStr">
        <is>
          <t>N</t>
        </is>
      </c>
      <c r="J30" s="8" t="inlineStr">
        <is>
          <t>N</t>
        </is>
      </c>
      <c r="K30" s="6">
        <f>IF(H30="E0",0.20,IF(H30="E1",0.40,IF(H30="E2",0.65,IF(H30="E3",0.85,IF(H30="E4",1.00,0)))))</f>
        <v/>
      </c>
      <c r="L30" s="6">
        <f>IF(D30="N","",IF(OR(E30="",F30=""),"",IF(G30="N/A",100*((0.60*E30)+(0.40*F30))/5,IF(G30="",100*((0.60*E30)+(0.40*F30))/5,100*((0.45*E30)+(0.30*F30)+(0.25*G30))/5))))</f>
        <v/>
      </c>
      <c r="M30" s="6">
        <f>IF(D30="N","",IFERROR(VLOOKUP(A30,'P0-4_Required_Maturity'!$A$2:$I$12,9,FALSE),3))</f>
        <v/>
      </c>
      <c r="N30" s="6">
        <f>IF(OR(E30="",M30=""),"",M30-E30)</f>
        <v/>
      </c>
      <c r="O30" s="6">
        <f>IF(D30="N","N/A",IF(OR(E30="",F30="",H30=""),"INCOMPLETE",IF(AND(L30&gt;=80,H30="E0"),"REVIEW",IF(AND(L30&gt;=80,OR(I30="N",J30="N")),"CORROBORATION REVIEW","OK"))))</f>
        <v/>
      </c>
      <c r="P30" s="6" t="n"/>
    </row>
    <row r="31">
      <c r="A31" s="8" t="inlineStr">
        <is>
          <t>D03</t>
        </is>
      </c>
      <c r="B31" s="8" t="inlineStr">
        <is>
          <t>I06</t>
        </is>
      </c>
      <c r="C31" s="8" t="inlineStr">
        <is>
          <t>Creativity &amp; Originality</t>
        </is>
      </c>
      <c r="D31" s="8" t="inlineStr">
        <is>
          <t>Y</t>
        </is>
      </c>
      <c r="E31" s="6" t="n"/>
      <c r="F31" s="6" t="n"/>
      <c r="G31" s="6" t="n"/>
      <c r="H31" s="8" t="inlineStr">
        <is>
          <t>E0</t>
        </is>
      </c>
      <c r="I31" s="8" t="inlineStr">
        <is>
          <t>N</t>
        </is>
      </c>
      <c r="J31" s="8" t="inlineStr">
        <is>
          <t>N</t>
        </is>
      </c>
      <c r="K31" s="6">
        <f>IF(H31="E0",0.20,IF(H31="E1",0.40,IF(H31="E2",0.65,IF(H31="E3",0.85,IF(H31="E4",1.00,0)))))</f>
        <v/>
      </c>
      <c r="L31" s="6">
        <f>IF(D31="N","",IF(OR(E31="",F31=""),"",IF(G31="N/A",100*((0.60*E31)+(0.40*F31))/5,IF(G31="",100*((0.60*E31)+(0.40*F31))/5,100*((0.45*E31)+(0.30*F31)+(0.25*G31))/5))))</f>
        <v/>
      </c>
      <c r="M31" s="6">
        <f>IF(D31="N","",IFERROR(VLOOKUP(A31,'P0-4_Required_Maturity'!$A$2:$I$12,9,FALSE),3))</f>
        <v/>
      </c>
      <c r="N31" s="6">
        <f>IF(OR(E31="",M31=""),"",M31-E31)</f>
        <v/>
      </c>
      <c r="O31" s="6">
        <f>IF(D31="N","N/A",IF(OR(E31="",F31="",H31=""),"INCOMPLETE",IF(AND(L31&gt;=80,H31="E0"),"REVIEW",IF(AND(L31&gt;=80,OR(I31="N",J31="N")),"CORROBORATION REVIEW","OK"))))</f>
        <v/>
      </c>
      <c r="P31" s="6" t="n"/>
    </row>
    <row r="32">
      <c r="A32" s="8" t="inlineStr">
        <is>
          <t>D03</t>
        </is>
      </c>
      <c r="B32" s="8" t="inlineStr">
        <is>
          <t>I07</t>
        </is>
      </c>
      <c r="C32" s="8" t="inlineStr">
        <is>
          <t>Judgement Capability</t>
        </is>
      </c>
      <c r="D32" s="8" t="inlineStr">
        <is>
          <t>Y</t>
        </is>
      </c>
      <c r="E32" s="6" t="n"/>
      <c r="F32" s="6" t="n"/>
      <c r="G32" s="6" t="n"/>
      <c r="H32" s="8" t="inlineStr">
        <is>
          <t>E0</t>
        </is>
      </c>
      <c r="I32" s="8" t="inlineStr">
        <is>
          <t>N</t>
        </is>
      </c>
      <c r="J32" s="8" t="inlineStr">
        <is>
          <t>N</t>
        </is>
      </c>
      <c r="K32" s="6">
        <f>IF(H32="E0",0.20,IF(H32="E1",0.40,IF(H32="E2",0.65,IF(H32="E3",0.85,IF(H32="E4",1.00,0)))))</f>
        <v/>
      </c>
      <c r="L32" s="6">
        <f>IF(D32="N","",IF(OR(E32="",F32=""),"",IF(G32="N/A",100*((0.60*E32)+(0.40*F32))/5,IF(G32="",100*((0.60*E32)+(0.40*F32))/5,100*((0.45*E32)+(0.30*F32)+(0.25*G32))/5))))</f>
        <v/>
      </c>
      <c r="M32" s="6">
        <f>IF(D32="N","",IFERROR(VLOOKUP(A32,'P0-4_Required_Maturity'!$A$2:$I$12,9,FALSE),3))</f>
        <v/>
      </c>
      <c r="N32" s="6">
        <f>IF(OR(E32="",M32=""),"",M32-E32)</f>
        <v/>
      </c>
      <c r="O32" s="6">
        <f>IF(D32="N","N/A",IF(OR(E32="",F32="",H32=""),"INCOMPLETE",IF(AND(L32&gt;=80,H32="E0"),"REVIEW",IF(AND(L32&gt;=80,OR(I32="N",J32="N")),"CORROBORATION REVIEW","OK"))))</f>
        <v/>
      </c>
      <c r="P32" s="6" t="n"/>
    </row>
    <row r="33">
      <c r="A33" s="8" t="inlineStr">
        <is>
          <t>D03</t>
        </is>
      </c>
      <c r="B33" s="8" t="inlineStr">
        <is>
          <t>I08</t>
        </is>
      </c>
      <c r="C33" s="8" t="inlineStr">
        <is>
          <t>AI Verification Capability</t>
        </is>
      </c>
      <c r="D33" s="8" t="inlineStr">
        <is>
          <t>Y</t>
        </is>
      </c>
      <c r="E33" s="6" t="n"/>
      <c r="F33" s="6" t="n"/>
      <c r="G33" s="6" t="n"/>
      <c r="H33" s="8" t="inlineStr">
        <is>
          <t>E0</t>
        </is>
      </c>
      <c r="I33" s="8" t="inlineStr">
        <is>
          <t>N</t>
        </is>
      </c>
      <c r="J33" s="8" t="inlineStr">
        <is>
          <t>N</t>
        </is>
      </c>
      <c r="K33" s="6">
        <f>IF(H33="E0",0.20,IF(H33="E1",0.40,IF(H33="E2",0.65,IF(H33="E3",0.85,IF(H33="E4",1.00,0)))))</f>
        <v/>
      </c>
      <c r="L33" s="6">
        <f>IF(D33="N","",IF(OR(E33="",F33=""),"",IF(G33="N/A",100*((0.60*E33)+(0.40*F33))/5,IF(G33="",100*((0.60*E33)+(0.40*F33))/5,100*((0.45*E33)+(0.30*F33)+(0.25*G33))/5))))</f>
        <v/>
      </c>
      <c r="M33" s="6">
        <f>IF(D33="N","",IFERROR(VLOOKUP(A33,'P0-4_Required_Maturity'!$A$2:$I$12,9,FALSE),3))</f>
        <v/>
      </c>
      <c r="N33" s="6">
        <f>IF(OR(E33="",M33=""),"",M33-E33)</f>
        <v/>
      </c>
      <c r="O33" s="6">
        <f>IF(D33="N","N/A",IF(OR(E33="",F33="",H33=""),"INCOMPLETE",IF(AND(L33&gt;=80,H33="E0"),"REVIEW",IF(AND(L33&gt;=80,OR(I33="N",J33="N")),"CORROBORATION REVIEW","OK"))))</f>
        <v/>
      </c>
      <c r="P33" s="6" t="n"/>
    </row>
    <row r="34">
      <c r="A34" s="8" t="inlineStr">
        <is>
          <t>D03</t>
        </is>
      </c>
      <c r="B34" s="8" t="inlineStr">
        <is>
          <t>I09</t>
        </is>
      </c>
      <c r="C34" s="8" t="inlineStr">
        <is>
          <t>Metacognitive Capability</t>
        </is>
      </c>
      <c r="D34" s="8" t="inlineStr">
        <is>
          <t>Y</t>
        </is>
      </c>
      <c r="E34" s="6" t="n"/>
      <c r="F34" s="6" t="n"/>
      <c r="G34" s="6" t="n"/>
      <c r="H34" s="8" t="inlineStr">
        <is>
          <t>E0</t>
        </is>
      </c>
      <c r="I34" s="8" t="inlineStr">
        <is>
          <t>N</t>
        </is>
      </c>
      <c r="J34" s="8" t="inlineStr">
        <is>
          <t>N</t>
        </is>
      </c>
      <c r="K34" s="6">
        <f>IF(H34="E0",0.20,IF(H34="E1",0.40,IF(H34="E2",0.65,IF(H34="E3",0.85,IF(H34="E4",1.00,0)))))</f>
        <v/>
      </c>
      <c r="L34" s="6">
        <f>IF(D34="N","",IF(OR(E34="",F34=""),"",IF(G34="N/A",100*((0.60*E34)+(0.40*F34))/5,IF(G34="",100*((0.60*E34)+(0.40*F34))/5,100*((0.45*E34)+(0.30*F34)+(0.25*G34))/5))))</f>
        <v/>
      </c>
      <c r="M34" s="6">
        <f>IF(D34="N","",IFERROR(VLOOKUP(A34,'P0-4_Required_Maturity'!$A$2:$I$12,9,FALSE),3))</f>
        <v/>
      </c>
      <c r="N34" s="6">
        <f>IF(OR(E34="",M34=""),"",M34-E34)</f>
        <v/>
      </c>
      <c r="O34" s="6">
        <f>IF(D34="N","N/A",IF(OR(E34="",F34="",H34=""),"INCOMPLETE",IF(AND(L34&gt;=80,H34="E0"),"REVIEW",IF(AND(L34&gt;=80,OR(I34="N",J34="N")),"CORROBORATION REVIEW","OK"))))</f>
        <v/>
      </c>
      <c r="P34" s="6" t="n"/>
    </row>
    <row r="35">
      <c r="A35" s="8" t="inlineStr">
        <is>
          <t>D03</t>
        </is>
      </c>
      <c r="B35" s="8" t="inlineStr">
        <is>
          <t>I10</t>
        </is>
      </c>
      <c r="C35" s="8" t="inlineStr">
        <is>
          <t>Human-AI Collaboration</t>
        </is>
      </c>
      <c r="D35" s="8" t="inlineStr">
        <is>
          <t>Y</t>
        </is>
      </c>
      <c r="E35" s="6" t="n"/>
      <c r="F35" s="6" t="n"/>
      <c r="G35" s="6" t="n"/>
      <c r="H35" s="8" t="inlineStr">
        <is>
          <t>E0</t>
        </is>
      </c>
      <c r="I35" s="8" t="inlineStr">
        <is>
          <t>N</t>
        </is>
      </c>
      <c r="J35" s="8" t="inlineStr">
        <is>
          <t>N</t>
        </is>
      </c>
      <c r="K35" s="6">
        <f>IF(H35="E0",0.20,IF(H35="E1",0.40,IF(H35="E2",0.65,IF(H35="E3",0.85,IF(H35="E4",1.00,0)))))</f>
        <v/>
      </c>
      <c r="L35" s="6">
        <f>IF(D35="N","",IF(OR(E35="",F35=""),"",IF(G35="N/A",100*((0.60*E35)+(0.40*F35))/5,IF(G35="",100*((0.60*E35)+(0.40*F35))/5,100*((0.45*E35)+(0.30*F35)+(0.25*G35))/5))))</f>
        <v/>
      </c>
      <c r="M35" s="6">
        <f>IF(D35="N","",IFERROR(VLOOKUP(A35,'P0-4_Required_Maturity'!$A$2:$I$12,9,FALSE),3))</f>
        <v/>
      </c>
      <c r="N35" s="6">
        <f>IF(OR(E35="",M35=""),"",M35-E35)</f>
        <v/>
      </c>
      <c r="O35" s="6">
        <f>IF(D35="N","N/A",IF(OR(E35="",F35="",H35=""),"INCOMPLETE",IF(AND(L35&gt;=80,H35="E0"),"REVIEW",IF(AND(L35&gt;=80,OR(I35="N",J35="N")),"CORROBORATION REVIEW","OK"))))</f>
        <v/>
      </c>
      <c r="P35" s="6" t="n"/>
    </row>
    <row r="36">
      <c r="A36" s="8" t="inlineStr">
        <is>
          <t>D03</t>
        </is>
      </c>
      <c r="B36" s="8" t="inlineStr">
        <is>
          <t>I11</t>
        </is>
      </c>
      <c r="C36" s="8" t="inlineStr">
        <is>
          <t>Communication &amp; Defence</t>
        </is>
      </c>
      <c r="D36" s="8" t="inlineStr">
        <is>
          <t>Y</t>
        </is>
      </c>
      <c r="E36" s="6" t="n"/>
      <c r="F36" s="6" t="n"/>
      <c r="G36" s="6" t="n"/>
      <c r="H36" s="8" t="inlineStr">
        <is>
          <t>E0</t>
        </is>
      </c>
      <c r="I36" s="8" t="inlineStr">
        <is>
          <t>N</t>
        </is>
      </c>
      <c r="J36" s="8" t="inlineStr">
        <is>
          <t>N</t>
        </is>
      </c>
      <c r="K36" s="6">
        <f>IF(H36="E0",0.20,IF(H36="E1",0.40,IF(H36="E2",0.65,IF(H36="E3",0.85,IF(H36="E4",1.00,0)))))</f>
        <v/>
      </c>
      <c r="L36" s="6">
        <f>IF(D36="N","",IF(OR(E36="",F36=""),"",IF(G36="N/A",100*((0.60*E36)+(0.40*F36))/5,IF(G36="",100*((0.60*E36)+(0.40*F36))/5,100*((0.45*E36)+(0.30*F36)+(0.25*G36))/5))))</f>
        <v/>
      </c>
      <c r="M36" s="6">
        <f>IF(D36="N","",IFERROR(VLOOKUP(A36,'P0-4_Required_Maturity'!$A$2:$I$12,9,FALSE),3))</f>
        <v/>
      </c>
      <c r="N36" s="6">
        <f>IF(OR(E36="",M36=""),"",M36-E36)</f>
        <v/>
      </c>
      <c r="O36" s="6">
        <f>IF(D36="N","N/A",IF(OR(E36="",F36="",H36=""),"INCOMPLETE",IF(AND(L36&gt;=80,H36="E0"),"REVIEW",IF(AND(L36&gt;=80,OR(I36="N",J36="N")),"CORROBORATION REVIEW","OK"))))</f>
        <v/>
      </c>
      <c r="P36" s="6" t="n"/>
    </row>
    <row r="37">
      <c r="A37" s="8" t="inlineStr">
        <is>
          <t>D03</t>
        </is>
      </c>
      <c r="B37" s="8" t="inlineStr">
        <is>
          <t>I12</t>
        </is>
      </c>
      <c r="C37" s="8" t="inlineStr">
        <is>
          <t>Collaboration Capability</t>
        </is>
      </c>
      <c r="D37" s="8" t="inlineStr">
        <is>
          <t>Y</t>
        </is>
      </c>
      <c r="E37" s="6" t="n"/>
      <c r="F37" s="6" t="n"/>
      <c r="G37" s="6" t="n"/>
      <c r="H37" s="8" t="inlineStr">
        <is>
          <t>E0</t>
        </is>
      </c>
      <c r="I37" s="8" t="inlineStr">
        <is>
          <t>N</t>
        </is>
      </c>
      <c r="J37" s="8" t="inlineStr">
        <is>
          <t>N</t>
        </is>
      </c>
      <c r="K37" s="6">
        <f>IF(H37="E0",0.20,IF(H37="E1",0.40,IF(H37="E2",0.65,IF(H37="E3",0.85,IF(H37="E4",1.00,0)))))</f>
        <v/>
      </c>
      <c r="L37" s="6">
        <f>IF(D37="N","",IF(OR(E37="",F37=""),"",IF(G37="N/A",100*((0.60*E37)+(0.40*F37))/5,IF(G37="",100*((0.60*E37)+(0.40*F37))/5,100*((0.45*E37)+(0.30*F37)+(0.25*G37))/5))))</f>
        <v/>
      </c>
      <c r="M37" s="6">
        <f>IF(D37="N","",IFERROR(VLOOKUP(A37,'P0-4_Required_Maturity'!$A$2:$I$12,9,FALSE),3))</f>
        <v/>
      </c>
      <c r="N37" s="6">
        <f>IF(OR(E37="",M37=""),"",M37-E37)</f>
        <v/>
      </c>
      <c r="O37" s="6">
        <f>IF(D37="N","N/A",IF(OR(E37="",F37="",H37=""),"INCOMPLETE",IF(AND(L37&gt;=80,H37="E0"),"REVIEW",IF(AND(L37&gt;=80,OR(I37="N",J37="N")),"CORROBORATION REVIEW","OK"))))</f>
        <v/>
      </c>
      <c r="P37" s="6" t="n"/>
    </row>
    <row r="38">
      <c r="A38" s="8" t="inlineStr">
        <is>
          <t>D03</t>
        </is>
      </c>
      <c r="B38" s="8" t="inlineStr">
        <is>
          <t>I13</t>
        </is>
      </c>
      <c r="C38" s="8" t="inlineStr">
        <is>
          <t>Practical Capability</t>
        </is>
      </c>
      <c r="D38" s="8" t="inlineStr">
        <is>
          <t>Y</t>
        </is>
      </c>
      <c r="E38" s="6" t="n"/>
      <c r="F38" s="6" t="n"/>
      <c r="G38" s="6" t="n"/>
      <c r="H38" s="8" t="inlineStr">
        <is>
          <t>E0</t>
        </is>
      </c>
      <c r="I38" s="8" t="inlineStr">
        <is>
          <t>N</t>
        </is>
      </c>
      <c r="J38" s="8" t="inlineStr">
        <is>
          <t>N</t>
        </is>
      </c>
      <c r="K38" s="6">
        <f>IF(H38="E0",0.20,IF(H38="E1",0.40,IF(H38="E2",0.65,IF(H38="E3",0.85,IF(H38="E4",1.00,0)))))</f>
        <v/>
      </c>
      <c r="L38" s="6">
        <f>IF(D38="N","",IF(OR(E38="",F38=""),"",IF(G38="N/A",100*((0.60*E38)+(0.40*F38))/5,IF(G38="",100*((0.60*E38)+(0.40*F38))/5,100*((0.45*E38)+(0.30*F38)+(0.25*G38))/5))))</f>
        <v/>
      </c>
      <c r="M38" s="6">
        <f>IF(D38="N","",IFERROR(VLOOKUP(A38,'P0-4_Required_Maturity'!$A$2:$I$12,9,FALSE),3))</f>
        <v/>
      </c>
      <c r="N38" s="6">
        <f>IF(OR(E38="",M38=""),"",M38-E38)</f>
        <v/>
      </c>
      <c r="O38" s="6">
        <f>IF(D38="N","N/A",IF(OR(E38="",F38="",H38=""),"INCOMPLETE",IF(AND(L38&gt;=80,H38="E0"),"REVIEW",IF(AND(L38&gt;=80,OR(I38="N",J38="N")),"CORROBORATION REVIEW","OK"))))</f>
        <v/>
      </c>
      <c r="P38" s="6" t="n"/>
    </row>
    <row r="39">
      <c r="A39" s="8" t="inlineStr">
        <is>
          <t>D03</t>
        </is>
      </c>
      <c r="B39" s="8" t="inlineStr">
        <is>
          <t>I14</t>
        </is>
      </c>
      <c r="C39" s="8" t="inlineStr">
        <is>
          <t>Ethical/Social Judgement</t>
        </is>
      </c>
      <c r="D39" s="8" t="inlineStr">
        <is>
          <t>Y</t>
        </is>
      </c>
      <c r="E39" s="6" t="n"/>
      <c r="F39" s="6" t="n"/>
      <c r="G39" s="6" t="n"/>
      <c r="H39" s="8" t="inlineStr">
        <is>
          <t>E0</t>
        </is>
      </c>
      <c r="I39" s="8" t="inlineStr">
        <is>
          <t>N</t>
        </is>
      </c>
      <c r="J39" s="8" t="inlineStr">
        <is>
          <t>N</t>
        </is>
      </c>
      <c r="K39" s="6">
        <f>IF(H39="E0",0.20,IF(H39="E1",0.40,IF(H39="E2",0.65,IF(H39="E3",0.85,IF(H39="E4",1.00,0)))))</f>
        <v/>
      </c>
      <c r="L39" s="6">
        <f>IF(D39="N","",IF(OR(E39="",F39=""),"",IF(G39="N/A",100*((0.60*E39)+(0.40*F39))/5,IF(G39="",100*((0.60*E39)+(0.40*F39))/5,100*((0.45*E39)+(0.30*F39)+(0.25*G39))/5))))</f>
        <v/>
      </c>
      <c r="M39" s="6">
        <f>IF(D39="N","",IFERROR(VLOOKUP(A39,'P0-4_Required_Maturity'!$A$2:$I$12,9,FALSE),3))</f>
        <v/>
      </c>
      <c r="N39" s="6">
        <f>IF(OR(E39="",M39=""),"",M39-E39)</f>
        <v/>
      </c>
      <c r="O39" s="6">
        <f>IF(D39="N","N/A",IF(OR(E39="",F39="",H39=""),"INCOMPLETE",IF(AND(L39&gt;=80,H39="E0"),"REVIEW",IF(AND(L39&gt;=80,OR(I39="N",J39="N")),"CORROBORATION REVIEW","OK"))))</f>
        <v/>
      </c>
      <c r="P39" s="6" t="n"/>
    </row>
    <row r="40">
      <c r="A40" s="8" t="inlineStr">
        <is>
          <t>D03</t>
        </is>
      </c>
      <c r="B40" s="8" t="inlineStr">
        <is>
          <t>I15</t>
        </is>
      </c>
      <c r="C40" s="8" t="inlineStr">
        <is>
          <t>Intellectual Agency</t>
        </is>
      </c>
      <c r="D40" s="8" t="inlineStr">
        <is>
          <t>Y</t>
        </is>
      </c>
      <c r="E40" s="6" t="n"/>
      <c r="F40" s="6" t="n"/>
      <c r="G40" s="6" t="n"/>
      <c r="H40" s="8" t="inlineStr">
        <is>
          <t>E0</t>
        </is>
      </c>
      <c r="I40" s="8" t="inlineStr">
        <is>
          <t>N</t>
        </is>
      </c>
      <c r="J40" s="8" t="inlineStr">
        <is>
          <t>N</t>
        </is>
      </c>
      <c r="K40" s="6">
        <f>IF(H40="E0",0.20,IF(H40="E1",0.40,IF(H40="E2",0.65,IF(H40="E3",0.85,IF(H40="E4",1.00,0)))))</f>
        <v/>
      </c>
      <c r="L40" s="6">
        <f>IF(D40="N","",IF(OR(E40="",F40=""),"",IF(G40="N/A",100*((0.60*E40)+(0.40*F40))/5,IF(G40="",100*((0.60*E40)+(0.40*F40))/5,100*((0.45*E40)+(0.30*F40)+(0.25*G40))/5))))</f>
        <v/>
      </c>
      <c r="M40" s="6">
        <f>IF(D40="N","",IFERROR(VLOOKUP(A40,'P0-4_Required_Maturity'!$A$2:$I$12,9,FALSE),3))</f>
        <v/>
      </c>
      <c r="N40" s="6">
        <f>IF(OR(E40="",M40=""),"",M40-E40)</f>
        <v/>
      </c>
      <c r="O40" s="6">
        <f>IF(D40="N","N/A",IF(OR(E40="",F40="",H40=""),"INCOMPLETE",IF(AND(L40&gt;=80,H40="E0"),"REVIEW",IF(AND(L40&gt;=80,OR(I40="N",J40="N")),"CORROBORATION REVIEW","OK"))))</f>
        <v/>
      </c>
      <c r="P40" s="6" t="n"/>
    </row>
    <row r="41">
      <c r="A41" s="8" t="inlineStr">
        <is>
          <t>D03</t>
        </is>
      </c>
      <c r="B41" s="8" t="inlineStr">
        <is>
          <t>I16</t>
        </is>
      </c>
      <c r="C41" s="8" t="inlineStr">
        <is>
          <t>Transfer Capability</t>
        </is>
      </c>
      <c r="D41" s="8" t="inlineStr">
        <is>
          <t>Y</t>
        </is>
      </c>
      <c r="E41" s="6" t="n"/>
      <c r="F41" s="6" t="n"/>
      <c r="G41" s="6" t="n"/>
      <c r="H41" s="8" t="inlineStr">
        <is>
          <t>E0</t>
        </is>
      </c>
      <c r="I41" s="8" t="inlineStr">
        <is>
          <t>N</t>
        </is>
      </c>
      <c r="J41" s="8" t="inlineStr">
        <is>
          <t>N</t>
        </is>
      </c>
      <c r="K41" s="6">
        <f>IF(H41="E0",0.20,IF(H41="E1",0.40,IF(H41="E2",0.65,IF(H41="E3",0.85,IF(H41="E4",1.00,0)))))</f>
        <v/>
      </c>
      <c r="L41" s="6">
        <f>IF(D41="N","",IF(OR(E41="",F41=""),"",IF(G41="N/A",100*((0.60*E41)+(0.40*F41))/5,IF(G41="",100*((0.60*E41)+(0.40*F41))/5,100*((0.45*E41)+(0.30*F41)+(0.25*G41))/5))))</f>
        <v/>
      </c>
      <c r="M41" s="6">
        <f>IF(D41="N","",IFERROR(VLOOKUP(A41,'P0-4_Required_Maturity'!$A$2:$I$12,9,FALSE),3))</f>
        <v/>
      </c>
      <c r="N41" s="6">
        <f>IF(OR(E41="",M41=""),"",M41-E41)</f>
        <v/>
      </c>
      <c r="O41" s="6">
        <f>IF(D41="N","N/A",IF(OR(E41="",F41="",H41=""),"INCOMPLETE",IF(AND(L41&gt;=80,H41="E0"),"REVIEW",IF(AND(L41&gt;=80,OR(I41="N",J41="N")),"CORROBORATION REVIEW","OK"))))</f>
        <v/>
      </c>
      <c r="P41" s="6" t="n"/>
    </row>
    <row r="42">
      <c r="A42" s="8" t="inlineStr">
        <is>
          <t>D03</t>
        </is>
      </c>
      <c r="B42" s="8" t="inlineStr">
        <is>
          <t>I17</t>
        </is>
      </c>
      <c r="C42" s="8" t="inlineStr">
        <is>
          <t>Non-Technical Discipline AI Capability</t>
        </is>
      </c>
      <c r="D42" s="8" t="inlineStr">
        <is>
          <t>Y</t>
        </is>
      </c>
      <c r="E42" s="6" t="n"/>
      <c r="F42" s="6" t="n"/>
      <c r="G42" s="6" t="n"/>
      <c r="H42" s="8" t="inlineStr">
        <is>
          <t>E0</t>
        </is>
      </c>
      <c r="I42" s="8" t="inlineStr">
        <is>
          <t>N</t>
        </is>
      </c>
      <c r="J42" s="8" t="inlineStr">
        <is>
          <t>N</t>
        </is>
      </c>
      <c r="K42" s="6">
        <f>IF(H42="E0",0.20,IF(H42="E1",0.40,IF(H42="E2",0.65,IF(H42="E3",0.85,IF(H42="E4",1.00,0)))))</f>
        <v/>
      </c>
      <c r="L42" s="6">
        <f>IF(D42="N","",IF(OR(E42="",F42=""),"",IF(G42="N/A",100*((0.60*E42)+(0.40*F42))/5,IF(G42="",100*((0.60*E42)+(0.40*F42))/5,100*((0.45*E42)+(0.30*F42)+(0.25*G42))/5))))</f>
        <v/>
      </c>
      <c r="M42" s="6">
        <f>IF(D42="N","",IFERROR(VLOOKUP(A42,'P0-4_Required_Maturity'!$A$2:$I$12,9,FALSE),3))</f>
        <v/>
      </c>
      <c r="N42" s="6">
        <f>IF(OR(E42="",M42=""),"",M42-E42)</f>
        <v/>
      </c>
      <c r="O42" s="6">
        <f>IF(D42="N","N/A",IF(OR(E42="",F42="",H42=""),"INCOMPLETE",IF(AND(L42&gt;=80,H42="E0"),"REVIEW",IF(AND(L42&gt;=80,OR(I42="N",J42="N")),"CORROBORATION REVIEW","OK"))))</f>
        <v/>
      </c>
      <c r="P42" s="6" t="n"/>
    </row>
    <row r="43">
      <c r="A43" s="8" t="inlineStr">
        <is>
          <t>D04</t>
        </is>
      </c>
      <c r="B43" s="8" t="inlineStr">
        <is>
          <t>I01</t>
        </is>
      </c>
      <c r="C43" s="8" t="inlineStr">
        <is>
          <t>Curriculum Sensing Maturity</t>
        </is>
      </c>
      <c r="D43" s="8" t="inlineStr">
        <is>
          <t>Y</t>
        </is>
      </c>
      <c r="E43" s="6" t="n"/>
      <c r="F43" s="6" t="n"/>
      <c r="G43" s="6" t="n"/>
      <c r="H43" s="8" t="inlineStr">
        <is>
          <t>E0</t>
        </is>
      </c>
      <c r="I43" s="8" t="inlineStr">
        <is>
          <t>N</t>
        </is>
      </c>
      <c r="J43" s="8" t="inlineStr">
        <is>
          <t>N</t>
        </is>
      </c>
      <c r="K43" s="6">
        <f>IF(H43="E0",0.20,IF(H43="E1",0.40,IF(H43="E2",0.65,IF(H43="E3",0.85,IF(H43="E4",1.00,0)))))</f>
        <v/>
      </c>
      <c r="L43" s="6">
        <f>IF(D43="N","",IF(OR(E43="",F43=""),"",IF(G43="N/A",100*((0.60*E43)+(0.40*F43))/5,IF(G43="",100*((0.60*E43)+(0.40*F43))/5,100*((0.45*E43)+(0.30*F43)+(0.25*G43))/5))))</f>
        <v/>
      </c>
      <c r="M43" s="6">
        <f>IF(D43="N","",IFERROR(VLOOKUP(A43,'P0-4_Required_Maturity'!$A$2:$I$12,9,FALSE),3))</f>
        <v/>
      </c>
      <c r="N43" s="6">
        <f>IF(OR(E43="",M43=""),"",M43-E43)</f>
        <v/>
      </c>
      <c r="O43" s="6">
        <f>IF(D43="N","N/A",IF(OR(E43="",F43="",H43=""),"INCOMPLETE",IF(AND(L43&gt;=80,H43="E0"),"REVIEW",IF(AND(L43&gt;=80,OR(I43="N",J43="N")),"CORROBORATION REVIEW","OK"))))</f>
        <v/>
      </c>
      <c r="P43" s="6" t="n"/>
    </row>
    <row r="44">
      <c r="A44" s="8" t="inlineStr">
        <is>
          <t>D04</t>
        </is>
      </c>
      <c r="B44" s="8" t="inlineStr">
        <is>
          <t>I02</t>
        </is>
      </c>
      <c r="C44" s="8" t="inlineStr">
        <is>
          <t>Future Learning Outcome Alignment</t>
        </is>
      </c>
      <c r="D44" s="8" t="inlineStr">
        <is>
          <t>Y</t>
        </is>
      </c>
      <c r="E44" s="6" t="n"/>
      <c r="F44" s="6" t="n"/>
      <c r="G44" s="6" t="n"/>
      <c r="H44" s="8" t="inlineStr">
        <is>
          <t>E0</t>
        </is>
      </c>
      <c r="I44" s="8" t="inlineStr">
        <is>
          <t>N</t>
        </is>
      </c>
      <c r="J44" s="8" t="inlineStr">
        <is>
          <t>N</t>
        </is>
      </c>
      <c r="K44" s="6">
        <f>IF(H44="E0",0.20,IF(H44="E1",0.40,IF(H44="E2",0.65,IF(H44="E3",0.85,IF(H44="E4",1.00,0)))))</f>
        <v/>
      </c>
      <c r="L44" s="6">
        <f>IF(D44="N","",IF(OR(E44="",F44=""),"",IF(G44="N/A",100*((0.60*E44)+(0.40*F44))/5,IF(G44="",100*((0.60*E44)+(0.40*F44))/5,100*((0.45*E44)+(0.30*F44)+(0.25*G44))/5))))</f>
        <v/>
      </c>
      <c r="M44" s="6">
        <f>IF(D44="N","",IFERROR(VLOOKUP(A44,'P0-4_Required_Maturity'!$A$2:$I$12,9,FALSE),3))</f>
        <v/>
      </c>
      <c r="N44" s="6">
        <f>IF(OR(E44="",M44=""),"",M44-E44)</f>
        <v/>
      </c>
      <c r="O44" s="6">
        <f>IF(D44="N","N/A",IF(OR(E44="",F44="",H44=""),"INCOMPLETE",IF(AND(L44&gt;=80,H44="E0"),"REVIEW",IF(AND(L44&gt;=80,OR(I44="N",J44="N")),"CORROBORATION REVIEW","OK"))))</f>
        <v/>
      </c>
      <c r="P44" s="6" t="n"/>
    </row>
    <row r="45">
      <c r="A45" s="8" t="inlineStr">
        <is>
          <t>D04</t>
        </is>
      </c>
      <c r="B45" s="8" t="inlineStr">
        <is>
          <t>I03</t>
        </is>
      </c>
      <c r="C45" s="8" t="inlineStr">
        <is>
          <t>Programme Review Effectiveness</t>
        </is>
      </c>
      <c r="D45" s="8" t="inlineStr">
        <is>
          <t>Y</t>
        </is>
      </c>
      <c r="E45" s="6" t="n"/>
      <c r="F45" s="6" t="n"/>
      <c r="G45" s="6" t="n"/>
      <c r="H45" s="8" t="inlineStr">
        <is>
          <t>E0</t>
        </is>
      </c>
      <c r="I45" s="8" t="inlineStr">
        <is>
          <t>N</t>
        </is>
      </c>
      <c r="J45" s="8" t="inlineStr">
        <is>
          <t>N</t>
        </is>
      </c>
      <c r="K45" s="6">
        <f>IF(H45="E0",0.20,IF(H45="E1",0.40,IF(H45="E2",0.65,IF(H45="E3",0.85,IF(H45="E4",1.00,0)))))</f>
        <v/>
      </c>
      <c r="L45" s="6">
        <f>IF(D45="N","",IF(OR(E45="",F45=""),"",IF(G45="N/A",100*((0.60*E45)+(0.40*F45))/5,IF(G45="",100*((0.60*E45)+(0.40*F45))/5,100*((0.45*E45)+(0.30*F45)+(0.25*G45))/5))))</f>
        <v/>
      </c>
      <c r="M45" s="6">
        <f>IF(D45="N","",IFERROR(VLOOKUP(A45,'P0-4_Required_Maturity'!$A$2:$I$12,9,FALSE),3))</f>
        <v/>
      </c>
      <c r="N45" s="6">
        <f>IF(OR(E45="",M45=""),"",M45-E45)</f>
        <v/>
      </c>
      <c r="O45" s="6">
        <f>IF(D45="N","N/A",IF(OR(E45="",F45="",H45=""),"INCOMPLETE",IF(AND(L45&gt;=80,H45="E0"),"REVIEW",IF(AND(L45&gt;=80,OR(I45="N",J45="N")),"CORROBORATION REVIEW","OK"))))</f>
        <v/>
      </c>
      <c r="P45" s="6" t="n"/>
    </row>
    <row r="46">
      <c r="A46" s="8" t="inlineStr">
        <is>
          <t>D04</t>
        </is>
      </c>
      <c r="B46" s="8" t="inlineStr">
        <is>
          <t>I04</t>
        </is>
      </c>
      <c r="C46" s="8" t="inlineStr">
        <is>
          <t>Disciplinary AI Integration Depth</t>
        </is>
      </c>
      <c r="D46" s="8" t="inlineStr">
        <is>
          <t>Y</t>
        </is>
      </c>
      <c r="E46" s="6" t="n"/>
      <c r="F46" s="6" t="n"/>
      <c r="G46" s="6" t="n"/>
      <c r="H46" s="8" t="inlineStr">
        <is>
          <t>E0</t>
        </is>
      </c>
      <c r="I46" s="8" t="inlineStr">
        <is>
          <t>N</t>
        </is>
      </c>
      <c r="J46" s="8" t="inlineStr">
        <is>
          <t>N</t>
        </is>
      </c>
      <c r="K46" s="6">
        <f>IF(H46="E0",0.20,IF(H46="E1",0.40,IF(H46="E2",0.65,IF(H46="E3",0.85,IF(H46="E4",1.00,0)))))</f>
        <v/>
      </c>
      <c r="L46" s="6">
        <f>IF(D46="N","",IF(OR(E46="",F46=""),"",IF(G46="N/A",100*((0.60*E46)+(0.40*F46))/5,IF(G46="",100*((0.60*E46)+(0.40*F46))/5,100*((0.45*E46)+(0.30*F46)+(0.25*G46))/5))))</f>
        <v/>
      </c>
      <c r="M46" s="6">
        <f>IF(D46="N","",IFERROR(VLOOKUP(A46,'P0-4_Required_Maturity'!$A$2:$I$12,9,FALSE),3))</f>
        <v/>
      </c>
      <c r="N46" s="6">
        <f>IF(OR(E46="",M46=""),"",M46-E46)</f>
        <v/>
      </c>
      <c r="O46" s="6">
        <f>IF(D46="N","N/A",IF(OR(E46="",F46="",H46=""),"INCOMPLETE",IF(AND(L46&gt;=80,H46="E0"),"REVIEW",IF(AND(L46&gt;=80,OR(I46="N",J46="N")),"CORROBORATION REVIEW","OK"))))</f>
        <v/>
      </c>
      <c r="P46" s="6" t="n"/>
    </row>
    <row r="47">
      <c r="A47" s="8" t="inlineStr">
        <is>
          <t>D04</t>
        </is>
      </c>
      <c r="B47" s="8" t="inlineStr">
        <is>
          <t>I05</t>
        </is>
      </c>
      <c r="C47" s="8" t="inlineStr">
        <is>
          <t>Content Obsolescence Response</t>
        </is>
      </c>
      <c r="D47" s="8" t="inlineStr">
        <is>
          <t>Y</t>
        </is>
      </c>
      <c r="E47" s="6" t="n"/>
      <c r="F47" s="6" t="n"/>
      <c r="G47" s="6" t="n"/>
      <c r="H47" s="8" t="inlineStr">
        <is>
          <t>E0</t>
        </is>
      </c>
      <c r="I47" s="8" t="inlineStr">
        <is>
          <t>N</t>
        </is>
      </c>
      <c r="J47" s="8" t="inlineStr">
        <is>
          <t>N</t>
        </is>
      </c>
      <c r="K47" s="6">
        <f>IF(H47="E0",0.20,IF(H47="E1",0.40,IF(H47="E2",0.65,IF(H47="E3",0.85,IF(H47="E4",1.00,0)))))</f>
        <v/>
      </c>
      <c r="L47" s="6">
        <f>IF(D47="N","",IF(OR(E47="",F47=""),"",IF(G47="N/A",100*((0.60*E47)+(0.40*F47))/5,IF(G47="",100*((0.60*E47)+(0.40*F47))/5,100*((0.45*E47)+(0.30*F47)+(0.25*G47))/5))))</f>
        <v/>
      </c>
      <c r="M47" s="6">
        <f>IF(D47="N","",IFERROR(VLOOKUP(A47,'P0-4_Required_Maturity'!$A$2:$I$12,9,FALSE),3))</f>
        <v/>
      </c>
      <c r="N47" s="6">
        <f>IF(OR(E47="",M47=""),"",M47-E47)</f>
        <v/>
      </c>
      <c r="O47" s="6">
        <f>IF(D47="N","N/A",IF(OR(E47="",F47="",H47=""),"INCOMPLETE",IF(AND(L47&gt;=80,H47="E0"),"REVIEW",IF(AND(L47&gt;=80,OR(I47="N",J47="N")),"CORROBORATION REVIEW","OK"))))</f>
        <v/>
      </c>
      <c r="P47" s="6" t="n"/>
    </row>
    <row r="48">
      <c r="A48" s="8" t="inlineStr">
        <is>
          <t>D04</t>
        </is>
      </c>
      <c r="B48" s="8" t="inlineStr">
        <is>
          <t>I06</t>
        </is>
      </c>
      <c r="C48" s="8" t="inlineStr">
        <is>
          <t>Experiential Learning Strength</t>
        </is>
      </c>
      <c r="D48" s="8" t="inlineStr">
        <is>
          <t>Y</t>
        </is>
      </c>
      <c r="E48" s="6" t="n"/>
      <c r="F48" s="6" t="n"/>
      <c r="G48" s="6" t="n"/>
      <c r="H48" s="8" t="inlineStr">
        <is>
          <t>E0</t>
        </is>
      </c>
      <c r="I48" s="8" t="inlineStr">
        <is>
          <t>N</t>
        </is>
      </c>
      <c r="J48" s="8" t="inlineStr">
        <is>
          <t>N</t>
        </is>
      </c>
      <c r="K48" s="6">
        <f>IF(H48="E0",0.20,IF(H48="E1",0.40,IF(H48="E2",0.65,IF(H48="E3",0.85,IF(H48="E4",1.00,0)))))</f>
        <v/>
      </c>
      <c r="L48" s="6">
        <f>IF(D48="N","",IF(OR(E48="",F48=""),"",IF(G48="N/A",100*((0.60*E48)+(0.40*F48))/5,IF(G48="",100*((0.60*E48)+(0.40*F48))/5,100*((0.45*E48)+(0.30*F48)+(0.25*G48))/5))))</f>
        <v/>
      </c>
      <c r="M48" s="6">
        <f>IF(D48="N","",IFERROR(VLOOKUP(A48,'P0-4_Required_Maturity'!$A$2:$I$12,9,FALSE),3))</f>
        <v/>
      </c>
      <c r="N48" s="6">
        <f>IF(OR(E48="",M48=""),"",M48-E48)</f>
        <v/>
      </c>
      <c r="O48" s="6">
        <f>IF(D48="N","N/A",IF(OR(E48="",F48="",H48=""),"INCOMPLETE",IF(AND(L48&gt;=80,H48="E0"),"REVIEW",IF(AND(L48&gt;=80,OR(I48="N",J48="N")),"CORROBORATION REVIEW","OK"))))</f>
        <v/>
      </c>
      <c r="P48" s="6" t="n"/>
    </row>
    <row r="49">
      <c r="A49" s="8" t="inlineStr">
        <is>
          <t>D04</t>
        </is>
      </c>
      <c r="B49" s="8" t="inlineStr">
        <is>
          <t>I07</t>
        </is>
      </c>
      <c r="C49" s="8" t="inlineStr">
        <is>
          <t>Interdisciplinary Flexibility</t>
        </is>
      </c>
      <c r="D49" s="8" t="inlineStr">
        <is>
          <t>Y</t>
        </is>
      </c>
      <c r="E49" s="6" t="n"/>
      <c r="F49" s="6" t="n"/>
      <c r="G49" s="6" t="n"/>
      <c r="H49" s="8" t="inlineStr">
        <is>
          <t>E0</t>
        </is>
      </c>
      <c r="I49" s="8" t="inlineStr">
        <is>
          <t>N</t>
        </is>
      </c>
      <c r="J49" s="8" t="inlineStr">
        <is>
          <t>N</t>
        </is>
      </c>
      <c r="K49" s="6">
        <f>IF(H49="E0",0.20,IF(H49="E1",0.40,IF(H49="E2",0.65,IF(H49="E3",0.85,IF(H49="E4",1.00,0)))))</f>
        <v/>
      </c>
      <c r="L49" s="6">
        <f>IF(D49="N","",IF(OR(E49="",F49=""),"",IF(G49="N/A",100*((0.60*E49)+(0.40*F49))/5,IF(G49="",100*((0.60*E49)+(0.40*F49))/5,100*((0.45*E49)+(0.30*F49)+(0.25*G49))/5))))</f>
        <v/>
      </c>
      <c r="M49" s="6">
        <f>IF(D49="N","",IFERROR(VLOOKUP(A49,'P0-4_Required_Maturity'!$A$2:$I$12,9,FALSE),3))</f>
        <v/>
      </c>
      <c r="N49" s="6">
        <f>IF(OR(E49="",M49=""),"",M49-E49)</f>
        <v/>
      </c>
      <c r="O49" s="6">
        <f>IF(D49="N","N/A",IF(OR(E49="",F49="",H49=""),"INCOMPLETE",IF(AND(L49&gt;=80,H49="E0"),"REVIEW",IF(AND(L49&gt;=80,OR(I49="N",J49="N")),"CORROBORATION REVIEW","OK"))))</f>
        <v/>
      </c>
      <c r="P49" s="6" t="n"/>
    </row>
    <row r="50">
      <c r="A50" s="8" t="inlineStr">
        <is>
          <t>D04</t>
        </is>
      </c>
      <c r="B50" s="8" t="inlineStr">
        <is>
          <t>I08</t>
        </is>
      </c>
      <c r="C50" s="8" t="inlineStr">
        <is>
          <t>Programme Agility</t>
        </is>
      </c>
      <c r="D50" s="8" t="inlineStr">
        <is>
          <t>Y</t>
        </is>
      </c>
      <c r="E50" s="6" t="n"/>
      <c r="F50" s="6" t="n"/>
      <c r="G50" s="6" t="n"/>
      <c r="H50" s="8" t="inlineStr">
        <is>
          <t>E0</t>
        </is>
      </c>
      <c r="I50" s="8" t="inlineStr">
        <is>
          <t>N</t>
        </is>
      </c>
      <c r="J50" s="8" t="inlineStr">
        <is>
          <t>N</t>
        </is>
      </c>
      <c r="K50" s="6">
        <f>IF(H50="E0",0.20,IF(H50="E1",0.40,IF(H50="E2",0.65,IF(H50="E3",0.85,IF(H50="E4",1.00,0)))))</f>
        <v/>
      </c>
      <c r="L50" s="6">
        <f>IF(D50="N","",IF(OR(E50="",F50=""),"",IF(G50="N/A",100*((0.60*E50)+(0.40*F50))/5,IF(G50="",100*((0.60*E50)+(0.40*F50))/5,100*((0.45*E50)+(0.30*F50)+(0.25*G50))/5))))</f>
        <v/>
      </c>
      <c r="M50" s="6">
        <f>IF(D50="N","",IFERROR(VLOOKUP(A50,'P0-4_Required_Maturity'!$A$2:$I$12,9,FALSE),3))</f>
        <v/>
      </c>
      <c r="N50" s="6">
        <f>IF(OR(E50="",M50=""),"",M50-E50)</f>
        <v/>
      </c>
      <c r="O50" s="6">
        <f>IF(D50="N","N/A",IF(OR(E50="",F50="",H50=""),"INCOMPLETE",IF(AND(L50&gt;=80,H50="E0"),"REVIEW",IF(AND(L50&gt;=80,OR(I50="N",J50="N")),"CORROBORATION REVIEW","OK"))))</f>
        <v/>
      </c>
      <c r="P50" s="6" t="n"/>
    </row>
    <row r="51">
      <c r="A51" s="8" t="inlineStr">
        <is>
          <t>D04</t>
        </is>
      </c>
      <c r="B51" s="8" t="inlineStr">
        <is>
          <t>I09</t>
        </is>
      </c>
      <c r="C51" s="8" t="inlineStr">
        <is>
          <t>External Validation Strength</t>
        </is>
      </c>
      <c r="D51" s="8" t="inlineStr">
        <is>
          <t>Y</t>
        </is>
      </c>
      <c r="E51" s="6" t="n"/>
      <c r="F51" s="6" t="n"/>
      <c r="G51" s="6" t="n"/>
      <c r="H51" s="8" t="inlineStr">
        <is>
          <t>E0</t>
        </is>
      </c>
      <c r="I51" s="8" t="inlineStr">
        <is>
          <t>N</t>
        </is>
      </c>
      <c r="J51" s="8" t="inlineStr">
        <is>
          <t>N</t>
        </is>
      </c>
      <c r="K51" s="6">
        <f>IF(H51="E0",0.20,IF(H51="E1",0.40,IF(H51="E2",0.65,IF(H51="E3",0.85,IF(H51="E4",1.00,0)))))</f>
        <v/>
      </c>
      <c r="L51" s="6">
        <f>IF(D51="N","",IF(OR(E51="",F51=""),"",IF(G51="N/A",100*((0.60*E51)+(0.40*F51))/5,IF(G51="",100*((0.60*E51)+(0.40*F51))/5,100*((0.45*E51)+(0.30*F51)+(0.25*G51))/5))))</f>
        <v/>
      </c>
      <c r="M51" s="6">
        <f>IF(D51="N","",IFERROR(VLOOKUP(A51,'P0-4_Required_Maturity'!$A$2:$I$12,9,FALSE),3))</f>
        <v/>
      </c>
      <c r="N51" s="6">
        <f>IF(OR(E51="",M51=""),"",M51-E51)</f>
        <v/>
      </c>
      <c r="O51" s="6">
        <f>IF(D51="N","N/A",IF(OR(E51="",F51="",H51=""),"INCOMPLETE",IF(AND(L51&gt;=80,H51="E0"),"REVIEW",IF(AND(L51&gt;=80,OR(I51="N",J51="N")),"CORROBORATION REVIEW","OK"))))</f>
        <v/>
      </c>
      <c r="P51" s="6" t="n"/>
    </row>
    <row r="52">
      <c r="A52" s="8" t="inlineStr">
        <is>
          <t>D04</t>
        </is>
      </c>
      <c r="B52" s="8" t="inlineStr">
        <is>
          <t>I10</t>
        </is>
      </c>
      <c r="C52" s="8" t="inlineStr">
        <is>
          <t>External Learning Ecosystem</t>
        </is>
      </c>
      <c r="D52" s="8" t="inlineStr">
        <is>
          <t>Y</t>
        </is>
      </c>
      <c r="E52" s="6" t="n"/>
      <c r="F52" s="6" t="n"/>
      <c r="G52" s="6" t="n"/>
      <c r="H52" s="8" t="inlineStr">
        <is>
          <t>E0</t>
        </is>
      </c>
      <c r="I52" s="8" t="inlineStr">
        <is>
          <t>N</t>
        </is>
      </c>
      <c r="J52" s="8" t="inlineStr">
        <is>
          <t>N</t>
        </is>
      </c>
      <c r="K52" s="6">
        <f>IF(H52="E0",0.20,IF(H52="E1",0.40,IF(H52="E2",0.65,IF(H52="E3",0.85,IF(H52="E4",1.00,0)))))</f>
        <v/>
      </c>
      <c r="L52" s="6">
        <f>IF(D52="N","",IF(OR(E52="",F52=""),"",IF(G52="N/A",100*((0.60*E52)+(0.40*F52))/5,IF(G52="",100*((0.60*E52)+(0.40*F52))/5,100*((0.45*E52)+(0.30*F52)+(0.25*G52))/5))))</f>
        <v/>
      </c>
      <c r="M52" s="6">
        <f>IF(D52="N","",IFERROR(VLOOKUP(A52,'P0-4_Required_Maturity'!$A$2:$I$12,9,FALSE),3))</f>
        <v/>
      </c>
      <c r="N52" s="6">
        <f>IF(OR(E52="",M52=""),"",M52-E52)</f>
        <v/>
      </c>
      <c r="O52" s="6">
        <f>IF(D52="N","N/A",IF(OR(E52="",F52="",H52=""),"INCOMPLETE",IF(AND(L52&gt;=80,H52="E0"),"REVIEW",IF(AND(L52&gt;=80,OR(I52="N",J52="N")),"CORROBORATION REVIEW","OK"))))</f>
        <v/>
      </c>
      <c r="P52" s="6" t="n"/>
    </row>
    <row r="53">
      <c r="A53" s="8" t="inlineStr">
        <is>
          <t>D04</t>
        </is>
      </c>
      <c r="B53" s="8" t="inlineStr">
        <is>
          <t>I11</t>
        </is>
      </c>
      <c r="C53" s="8" t="inlineStr">
        <is>
          <t>Transfer Capability</t>
        </is>
      </c>
      <c r="D53" s="8" t="inlineStr">
        <is>
          <t>Y</t>
        </is>
      </c>
      <c r="E53" s="6" t="n"/>
      <c r="F53" s="6" t="n"/>
      <c r="G53" s="6" t="n"/>
      <c r="H53" s="8" t="inlineStr">
        <is>
          <t>E0</t>
        </is>
      </c>
      <c r="I53" s="8" t="inlineStr">
        <is>
          <t>N</t>
        </is>
      </c>
      <c r="J53" s="8" t="inlineStr">
        <is>
          <t>N</t>
        </is>
      </c>
      <c r="K53" s="6">
        <f>IF(H53="E0",0.20,IF(H53="E1",0.40,IF(H53="E2",0.65,IF(H53="E3",0.85,IF(H53="E4",1.00,0)))))</f>
        <v/>
      </c>
      <c r="L53" s="6">
        <f>IF(D53="N","",IF(OR(E53="",F53=""),"",IF(G53="N/A",100*((0.60*E53)+(0.40*F53))/5,IF(G53="",100*((0.60*E53)+(0.40*F53))/5,100*((0.45*E53)+(0.30*F53)+(0.25*G53))/5))))</f>
        <v/>
      </c>
      <c r="M53" s="6">
        <f>IF(D53="N","",IFERROR(VLOOKUP(A53,'P0-4_Required_Maturity'!$A$2:$I$12,9,FALSE),3))</f>
        <v/>
      </c>
      <c r="N53" s="6">
        <f>IF(OR(E53="",M53=""),"",M53-E53)</f>
        <v/>
      </c>
      <c r="O53" s="6">
        <f>IF(D53="N","N/A",IF(OR(E53="",F53="",H53=""),"INCOMPLETE",IF(AND(L53&gt;=80,H53="E0"),"REVIEW",IF(AND(L53&gt;=80,OR(I53="N",J53="N")),"CORROBORATION REVIEW","OK"))))</f>
        <v/>
      </c>
      <c r="P53" s="6" t="n"/>
    </row>
    <row r="54">
      <c r="A54" s="8" t="inlineStr">
        <is>
          <t>D04</t>
        </is>
      </c>
      <c r="B54" s="8" t="inlineStr">
        <is>
          <t>I12</t>
        </is>
      </c>
      <c r="C54" s="8" t="inlineStr">
        <is>
          <t>Portfolio Foresight</t>
        </is>
      </c>
      <c r="D54" s="8" t="inlineStr">
        <is>
          <t>Y</t>
        </is>
      </c>
      <c r="E54" s="6" t="n"/>
      <c r="F54" s="6" t="n"/>
      <c r="G54" s="6" t="n"/>
      <c r="H54" s="8" t="inlineStr">
        <is>
          <t>E0</t>
        </is>
      </c>
      <c r="I54" s="8" t="inlineStr">
        <is>
          <t>N</t>
        </is>
      </c>
      <c r="J54" s="8" t="inlineStr">
        <is>
          <t>N</t>
        </is>
      </c>
      <c r="K54" s="6">
        <f>IF(H54="E0",0.20,IF(H54="E1",0.40,IF(H54="E2",0.65,IF(H54="E3",0.85,IF(H54="E4",1.00,0)))))</f>
        <v/>
      </c>
      <c r="L54" s="6">
        <f>IF(D54="N","",IF(OR(E54="",F54=""),"",IF(G54="N/A",100*((0.60*E54)+(0.40*F54))/5,IF(G54="",100*((0.60*E54)+(0.40*F54))/5,100*((0.45*E54)+(0.30*F54)+(0.25*G54))/5))))</f>
        <v/>
      </c>
      <c r="M54" s="6">
        <f>IF(D54="N","",IFERROR(VLOOKUP(A54,'P0-4_Required_Maturity'!$A$2:$I$12,9,FALSE),3))</f>
        <v/>
      </c>
      <c r="N54" s="6">
        <f>IF(OR(E54="",M54=""),"",M54-E54)</f>
        <v/>
      </c>
      <c r="O54" s="6">
        <f>IF(D54="N","N/A",IF(OR(E54="",F54="",H54=""),"INCOMPLETE",IF(AND(L54&gt;=80,H54="E0"),"REVIEW",IF(AND(L54&gt;=80,OR(I54="N",J54="N")),"CORROBORATION REVIEW","OK"))))</f>
        <v/>
      </c>
      <c r="P54" s="6" t="n"/>
    </row>
    <row r="55">
      <c r="A55" s="8" t="inlineStr">
        <is>
          <t>D05</t>
        </is>
      </c>
      <c r="B55" s="8" t="inlineStr">
        <is>
          <t>I01</t>
        </is>
      </c>
      <c r="C55" s="8" t="inlineStr">
        <is>
          <t>Faculty AI Literacy Maturity</t>
        </is>
      </c>
      <c r="D55" s="8" t="inlineStr">
        <is>
          <t>Y</t>
        </is>
      </c>
      <c r="E55" s="6" t="n"/>
      <c r="F55" s="6" t="n"/>
      <c r="G55" s="6" t="n"/>
      <c r="H55" s="8" t="inlineStr">
        <is>
          <t>E0</t>
        </is>
      </c>
      <c r="I55" s="8" t="inlineStr">
        <is>
          <t>N</t>
        </is>
      </c>
      <c r="J55" s="8" t="inlineStr">
        <is>
          <t>N</t>
        </is>
      </c>
      <c r="K55" s="6">
        <f>IF(H55="E0",0.20,IF(H55="E1",0.40,IF(H55="E2",0.65,IF(H55="E3",0.85,IF(H55="E4",1.00,0)))))</f>
        <v/>
      </c>
      <c r="L55" s="6">
        <f>IF(D55="N","",IF(OR(E55="",F55=""),"",IF(G55="N/A",100*((0.60*E55)+(0.40*F55))/5,IF(G55="",100*((0.60*E55)+(0.40*F55))/5,100*((0.45*E55)+(0.30*F55)+(0.25*G55))/5))))</f>
        <v/>
      </c>
      <c r="M55" s="6">
        <f>IF(D55="N","",IFERROR(VLOOKUP(A55,'P0-4_Required_Maturity'!$A$2:$I$12,9,FALSE),3))</f>
        <v/>
      </c>
      <c r="N55" s="6">
        <f>IF(OR(E55="",M55=""),"",M55-E55)</f>
        <v/>
      </c>
      <c r="O55" s="6">
        <f>IF(D55="N","N/A",IF(OR(E55="",F55="",H55=""),"INCOMPLETE",IF(AND(L55&gt;=80,H55="E0"),"REVIEW",IF(AND(L55&gt;=80,OR(I55="N",J55="N")),"CORROBORATION REVIEW","OK"))))</f>
        <v/>
      </c>
      <c r="P55" s="6" t="n"/>
    </row>
    <row r="56">
      <c r="A56" s="8" t="inlineStr">
        <is>
          <t>D05</t>
        </is>
      </c>
      <c r="B56" s="8" t="inlineStr">
        <is>
          <t>I02</t>
        </is>
      </c>
      <c r="C56" s="8" t="inlineStr">
        <is>
          <t>Discipline-Specific AI Practice</t>
        </is>
      </c>
      <c r="D56" s="8" t="inlineStr">
        <is>
          <t>Y</t>
        </is>
      </c>
      <c r="E56" s="6" t="n"/>
      <c r="F56" s="6" t="n"/>
      <c r="G56" s="6" t="n"/>
      <c r="H56" s="8" t="inlineStr">
        <is>
          <t>E0</t>
        </is>
      </c>
      <c r="I56" s="8" t="inlineStr">
        <is>
          <t>N</t>
        </is>
      </c>
      <c r="J56" s="8" t="inlineStr">
        <is>
          <t>N</t>
        </is>
      </c>
      <c r="K56" s="6">
        <f>IF(H56="E0",0.20,IF(H56="E1",0.40,IF(H56="E2",0.65,IF(H56="E3",0.85,IF(H56="E4",1.00,0)))))</f>
        <v/>
      </c>
      <c r="L56" s="6">
        <f>IF(D56="N","",IF(OR(E56="",F56=""),"",IF(G56="N/A",100*((0.60*E56)+(0.40*F56))/5,IF(G56="",100*((0.60*E56)+(0.40*F56))/5,100*((0.45*E56)+(0.30*F56)+(0.25*G56))/5))))</f>
        <v/>
      </c>
      <c r="M56" s="6">
        <f>IF(D56="N","",IFERROR(VLOOKUP(A56,'P0-4_Required_Maturity'!$A$2:$I$12,9,FALSE),3))</f>
        <v/>
      </c>
      <c r="N56" s="6">
        <f>IF(OR(E56="",M56=""),"",M56-E56)</f>
        <v/>
      </c>
      <c r="O56" s="6">
        <f>IF(D56="N","N/A",IF(OR(E56="",F56="",H56=""),"INCOMPLETE",IF(AND(L56&gt;=80,H56="E0"),"REVIEW",IF(AND(L56&gt;=80,OR(I56="N",J56="N")),"CORROBORATION REVIEW","OK"))))</f>
        <v/>
      </c>
      <c r="P56" s="6" t="n"/>
    </row>
    <row r="57">
      <c r="A57" s="8" t="inlineStr">
        <is>
          <t>D05</t>
        </is>
      </c>
      <c r="B57" s="8" t="inlineStr">
        <is>
          <t>I03</t>
        </is>
      </c>
      <c r="C57" s="8" t="inlineStr">
        <is>
          <t>AI-Enhanced Pedagogy</t>
        </is>
      </c>
      <c r="D57" s="8" t="inlineStr">
        <is>
          <t>Y</t>
        </is>
      </c>
      <c r="E57" s="6" t="n"/>
      <c r="F57" s="6" t="n"/>
      <c r="G57" s="6" t="n"/>
      <c r="H57" s="8" t="inlineStr">
        <is>
          <t>E0</t>
        </is>
      </c>
      <c r="I57" s="8" t="inlineStr">
        <is>
          <t>N</t>
        </is>
      </c>
      <c r="J57" s="8" t="inlineStr">
        <is>
          <t>N</t>
        </is>
      </c>
      <c r="K57" s="6">
        <f>IF(H57="E0",0.20,IF(H57="E1",0.40,IF(H57="E2",0.65,IF(H57="E3",0.85,IF(H57="E4",1.00,0)))))</f>
        <v/>
      </c>
      <c r="L57" s="6">
        <f>IF(D57="N","",IF(OR(E57="",F57=""),"",IF(G57="N/A",100*((0.60*E57)+(0.40*F57))/5,IF(G57="",100*((0.60*E57)+(0.40*F57))/5,100*((0.45*E57)+(0.30*F57)+(0.25*G57))/5))))</f>
        <v/>
      </c>
      <c r="M57" s="6">
        <f>IF(D57="N","",IFERROR(VLOOKUP(A57,'P0-4_Required_Maturity'!$A$2:$I$12,9,FALSE),3))</f>
        <v/>
      </c>
      <c r="N57" s="6">
        <f>IF(OR(E57="",M57=""),"",M57-E57)</f>
        <v/>
      </c>
      <c r="O57" s="6">
        <f>IF(D57="N","N/A",IF(OR(E57="",F57="",H57=""),"INCOMPLETE",IF(AND(L57&gt;=80,H57="E0"),"REVIEW",IF(AND(L57&gt;=80,OR(I57="N",J57="N")),"CORROBORATION REVIEW","OK"))))</f>
        <v/>
      </c>
      <c r="P57" s="6" t="n"/>
    </row>
    <row r="58">
      <c r="A58" s="8" t="inlineStr">
        <is>
          <t>D05</t>
        </is>
      </c>
      <c r="B58" s="8" t="inlineStr">
        <is>
          <t>I04</t>
        </is>
      </c>
      <c r="C58" s="8" t="inlineStr">
        <is>
          <t>Assessment Redesign Capability</t>
        </is>
      </c>
      <c r="D58" s="8" t="inlineStr">
        <is>
          <t>Y</t>
        </is>
      </c>
      <c r="E58" s="6" t="n"/>
      <c r="F58" s="6" t="n"/>
      <c r="G58" s="6" t="n"/>
      <c r="H58" s="8" t="inlineStr">
        <is>
          <t>E0</t>
        </is>
      </c>
      <c r="I58" s="8" t="inlineStr">
        <is>
          <t>N</t>
        </is>
      </c>
      <c r="J58" s="8" t="inlineStr">
        <is>
          <t>N</t>
        </is>
      </c>
      <c r="K58" s="6">
        <f>IF(H58="E0",0.20,IF(H58="E1",0.40,IF(H58="E2",0.65,IF(H58="E3",0.85,IF(H58="E4",1.00,0)))))</f>
        <v/>
      </c>
      <c r="L58" s="6">
        <f>IF(D58="N","",IF(OR(E58="",F58=""),"",IF(G58="N/A",100*((0.60*E58)+(0.40*F58))/5,IF(G58="",100*((0.60*E58)+(0.40*F58))/5,100*((0.45*E58)+(0.30*F58)+(0.25*G58))/5))))</f>
        <v/>
      </c>
      <c r="M58" s="6">
        <f>IF(D58="N","",IFERROR(VLOOKUP(A58,'P0-4_Required_Maturity'!$A$2:$I$12,9,FALSE),3))</f>
        <v/>
      </c>
      <c r="N58" s="6">
        <f>IF(OR(E58="",M58=""),"",M58-E58)</f>
        <v/>
      </c>
      <c r="O58" s="6">
        <f>IF(D58="N","N/A",IF(OR(E58="",F58="",H58=""),"INCOMPLETE",IF(AND(L58&gt;=80,H58="E0"),"REVIEW",IF(AND(L58&gt;=80,OR(I58="N",J58="N")),"CORROBORATION REVIEW","OK"))))</f>
        <v/>
      </c>
      <c r="P58" s="6" t="n"/>
    </row>
    <row r="59">
      <c r="A59" s="8" t="inlineStr">
        <is>
          <t>D05</t>
        </is>
      </c>
      <c r="B59" s="8" t="inlineStr">
        <is>
          <t>I05</t>
        </is>
      </c>
      <c r="C59" s="8" t="inlineStr">
        <is>
          <t>Faculty Learning &amp; Development Effectiveness</t>
        </is>
      </c>
      <c r="D59" s="8" t="inlineStr">
        <is>
          <t>Y</t>
        </is>
      </c>
      <c r="E59" s="6" t="n"/>
      <c r="F59" s="6" t="n"/>
      <c r="G59" s="6" t="n"/>
      <c r="H59" s="8" t="inlineStr">
        <is>
          <t>E0</t>
        </is>
      </c>
      <c r="I59" s="8" t="inlineStr">
        <is>
          <t>N</t>
        </is>
      </c>
      <c r="J59" s="8" t="inlineStr">
        <is>
          <t>N</t>
        </is>
      </c>
      <c r="K59" s="6">
        <f>IF(H59="E0",0.20,IF(H59="E1",0.40,IF(H59="E2",0.65,IF(H59="E3",0.85,IF(H59="E4",1.00,0)))))</f>
        <v/>
      </c>
      <c r="L59" s="6">
        <f>IF(D59="N","",IF(OR(E59="",F59=""),"",IF(G59="N/A",100*((0.60*E59)+(0.40*F59))/5,IF(G59="",100*((0.60*E59)+(0.40*F59))/5,100*((0.45*E59)+(0.30*F59)+(0.25*G59))/5))))</f>
        <v/>
      </c>
      <c r="M59" s="6">
        <f>IF(D59="N","",IFERROR(VLOOKUP(A59,'P0-4_Required_Maturity'!$A$2:$I$12,9,FALSE),3))</f>
        <v/>
      </c>
      <c r="N59" s="6">
        <f>IF(OR(E59="",M59=""),"",M59-E59)</f>
        <v/>
      </c>
      <c r="O59" s="6">
        <f>IF(D59="N","N/A",IF(OR(E59="",F59="",H59=""),"INCOMPLETE",IF(AND(L59&gt;=80,H59="E0"),"REVIEW",IF(AND(L59&gt;=80,OR(I59="N",J59="N")),"CORROBORATION REVIEW","OK"))))</f>
        <v/>
      </c>
      <c r="P59" s="6" t="n"/>
    </row>
    <row r="60">
      <c r="A60" s="8" t="inlineStr">
        <is>
          <t>D05</t>
        </is>
      </c>
      <c r="B60" s="8" t="inlineStr">
        <is>
          <t>I06</t>
        </is>
      </c>
      <c r="C60" s="8" t="inlineStr">
        <is>
          <t>Peer Learning &amp; Communities</t>
        </is>
      </c>
      <c r="D60" s="8" t="inlineStr">
        <is>
          <t>Y</t>
        </is>
      </c>
      <c r="E60" s="6" t="n"/>
      <c r="F60" s="6" t="n"/>
      <c r="G60" s="6" t="n"/>
      <c r="H60" s="8" t="inlineStr">
        <is>
          <t>E0</t>
        </is>
      </c>
      <c r="I60" s="8" t="inlineStr">
        <is>
          <t>N</t>
        </is>
      </c>
      <c r="J60" s="8" t="inlineStr">
        <is>
          <t>N</t>
        </is>
      </c>
      <c r="K60" s="6">
        <f>IF(H60="E0",0.20,IF(H60="E1",0.40,IF(H60="E2",0.65,IF(H60="E3",0.85,IF(H60="E4",1.00,0)))))</f>
        <v/>
      </c>
      <c r="L60" s="6">
        <f>IF(D60="N","",IF(OR(E60="",F60=""),"",IF(G60="N/A",100*((0.60*E60)+(0.40*F60))/5,IF(G60="",100*((0.60*E60)+(0.40*F60))/5,100*((0.45*E60)+(0.30*F60)+(0.25*G60))/5))))</f>
        <v/>
      </c>
      <c r="M60" s="6">
        <f>IF(D60="N","",IFERROR(VLOOKUP(A60,'P0-4_Required_Maturity'!$A$2:$I$12,9,FALSE),3))</f>
        <v/>
      </c>
      <c r="N60" s="6">
        <f>IF(OR(E60="",M60=""),"",M60-E60)</f>
        <v/>
      </c>
      <c r="O60" s="6">
        <f>IF(D60="N","N/A",IF(OR(E60="",F60="",H60=""),"INCOMPLETE",IF(AND(L60&gt;=80,H60="E0"),"REVIEW",IF(AND(L60&gt;=80,OR(I60="N",J60="N")),"CORROBORATION REVIEW","OK"))))</f>
        <v/>
      </c>
      <c r="P60" s="6" t="n"/>
    </row>
    <row r="61">
      <c r="A61" s="8" t="inlineStr">
        <is>
          <t>D05</t>
        </is>
      </c>
      <c r="B61" s="8" t="inlineStr">
        <is>
          <t>I07</t>
        </is>
      </c>
      <c r="C61" s="8" t="inlineStr">
        <is>
          <t>AI Research &amp; Knowledge Creation</t>
        </is>
      </c>
      <c r="D61" s="8" t="inlineStr">
        <is>
          <t>Y</t>
        </is>
      </c>
      <c r="E61" s="6" t="n"/>
      <c r="F61" s="6" t="n"/>
      <c r="G61" s="6" t="n"/>
      <c r="H61" s="8" t="inlineStr">
        <is>
          <t>E0</t>
        </is>
      </c>
      <c r="I61" s="8" t="inlineStr">
        <is>
          <t>N</t>
        </is>
      </c>
      <c r="J61" s="8" t="inlineStr">
        <is>
          <t>N</t>
        </is>
      </c>
      <c r="K61" s="6">
        <f>IF(H61="E0",0.20,IF(H61="E1",0.40,IF(H61="E2",0.65,IF(H61="E3",0.85,IF(H61="E4",1.00,0)))))</f>
        <v/>
      </c>
      <c r="L61" s="6">
        <f>IF(D61="N","",IF(OR(E61="",F61=""),"",IF(G61="N/A",100*((0.60*E61)+(0.40*F61))/5,IF(G61="",100*((0.60*E61)+(0.40*F61))/5,100*((0.45*E61)+(0.30*F61)+(0.25*G61))/5))))</f>
        <v/>
      </c>
      <c r="M61" s="6">
        <f>IF(D61="N","",IFERROR(VLOOKUP(A61,'P0-4_Required_Maturity'!$A$2:$I$12,9,FALSE),3))</f>
        <v/>
      </c>
      <c r="N61" s="6">
        <f>IF(OR(E61="",M61=""),"",M61-E61)</f>
        <v/>
      </c>
      <c r="O61" s="6">
        <f>IF(D61="N","N/A",IF(OR(E61="",F61="",H61=""),"INCOMPLETE",IF(AND(L61&gt;=80,H61="E0"),"REVIEW",IF(AND(L61&gt;=80,OR(I61="N",J61="N")),"CORROBORATION REVIEW","OK"))))</f>
        <v/>
      </c>
      <c r="P61" s="6" t="n"/>
    </row>
    <row r="62">
      <c r="A62" s="8" t="inlineStr">
        <is>
          <t>D05</t>
        </is>
      </c>
      <c r="B62" s="8" t="inlineStr">
        <is>
          <t>I08</t>
        </is>
      </c>
      <c r="C62" s="8" t="inlineStr">
        <is>
          <t>Academic Role Redesign</t>
        </is>
      </c>
      <c r="D62" s="8" t="inlineStr">
        <is>
          <t>Y</t>
        </is>
      </c>
      <c r="E62" s="6" t="n"/>
      <c r="F62" s="6" t="n"/>
      <c r="G62" s="6" t="n"/>
      <c r="H62" s="8" t="inlineStr">
        <is>
          <t>E0</t>
        </is>
      </c>
      <c r="I62" s="8" t="inlineStr">
        <is>
          <t>N</t>
        </is>
      </c>
      <c r="J62" s="8" t="inlineStr">
        <is>
          <t>N</t>
        </is>
      </c>
      <c r="K62" s="6">
        <f>IF(H62="E0",0.20,IF(H62="E1",0.40,IF(H62="E2",0.65,IF(H62="E3",0.85,IF(H62="E4",1.00,0)))))</f>
        <v/>
      </c>
      <c r="L62" s="6">
        <f>IF(D62="N","",IF(OR(E62="",F62=""),"",IF(G62="N/A",100*((0.60*E62)+(0.40*F62))/5,IF(G62="",100*((0.60*E62)+(0.40*F62))/5,100*((0.45*E62)+(0.30*F62)+(0.25*G62))/5))))</f>
        <v/>
      </c>
      <c r="M62" s="6">
        <f>IF(D62="N","",IFERROR(VLOOKUP(A62,'P0-4_Required_Maturity'!$A$2:$I$12,9,FALSE),3))</f>
        <v/>
      </c>
      <c r="N62" s="6">
        <f>IF(OR(E62="",M62=""),"",M62-E62)</f>
        <v/>
      </c>
      <c r="O62" s="6">
        <f>IF(D62="N","N/A",IF(OR(E62="",F62="",H62=""),"INCOMPLETE",IF(AND(L62&gt;=80,H62="E0"),"REVIEW",IF(AND(L62&gt;=80,OR(I62="N",J62="N")),"CORROBORATION REVIEW","OK"))))</f>
        <v/>
      </c>
      <c r="P62" s="6" t="n"/>
    </row>
    <row r="63">
      <c r="A63" s="8" t="inlineStr">
        <is>
          <t>D05</t>
        </is>
      </c>
      <c r="B63" s="8" t="inlineStr">
        <is>
          <t>I09</t>
        </is>
      </c>
      <c r="C63" s="8" t="inlineStr">
        <is>
          <t>Workload &amp; Workflow Transformation</t>
        </is>
      </c>
      <c r="D63" s="8" t="inlineStr">
        <is>
          <t>Y</t>
        </is>
      </c>
      <c r="E63" s="6" t="n"/>
      <c r="F63" s="6" t="n"/>
      <c r="G63" s="6" t="n"/>
      <c r="H63" s="8" t="inlineStr">
        <is>
          <t>E0</t>
        </is>
      </c>
      <c r="I63" s="8" t="inlineStr">
        <is>
          <t>N</t>
        </is>
      </c>
      <c r="J63" s="8" t="inlineStr">
        <is>
          <t>N</t>
        </is>
      </c>
      <c r="K63" s="6">
        <f>IF(H63="E0",0.20,IF(H63="E1",0.40,IF(H63="E2",0.65,IF(H63="E3",0.85,IF(H63="E4",1.00,0)))))</f>
        <v/>
      </c>
      <c r="L63" s="6">
        <f>IF(D63="N","",IF(OR(E63="",F63=""),"",IF(G63="N/A",100*((0.60*E63)+(0.40*F63))/5,IF(G63="",100*((0.60*E63)+(0.40*F63))/5,100*((0.45*E63)+(0.30*F63)+(0.25*G63))/5))))</f>
        <v/>
      </c>
      <c r="M63" s="6">
        <f>IF(D63="N","",IFERROR(VLOOKUP(A63,'P0-4_Required_Maturity'!$A$2:$I$12,9,FALSE),3))</f>
        <v/>
      </c>
      <c r="N63" s="6">
        <f>IF(OR(E63="",M63=""),"",M63-E63)</f>
        <v/>
      </c>
      <c r="O63" s="6">
        <f>IF(D63="N","N/A",IF(OR(E63="",F63="",H63=""),"INCOMPLETE",IF(AND(L63&gt;=80,H63="E0"),"REVIEW",IF(AND(L63&gt;=80,OR(I63="N",J63="N")),"CORROBORATION REVIEW","OK"))))</f>
        <v/>
      </c>
      <c r="P63" s="6" t="n"/>
    </row>
    <row r="64">
      <c r="A64" s="8" t="inlineStr">
        <is>
          <t>D05</t>
        </is>
      </c>
      <c r="B64" s="8" t="inlineStr">
        <is>
          <t>I10</t>
        </is>
      </c>
      <c r="C64" s="8" t="inlineStr">
        <is>
          <t>Faculty Support Infrastructure</t>
        </is>
      </c>
      <c r="D64" s="8" t="inlineStr">
        <is>
          <t>Y</t>
        </is>
      </c>
      <c r="E64" s="6" t="n"/>
      <c r="F64" s="6" t="n"/>
      <c r="G64" s="6" t="n"/>
      <c r="H64" s="8" t="inlineStr">
        <is>
          <t>E0</t>
        </is>
      </c>
      <c r="I64" s="8" t="inlineStr">
        <is>
          <t>N</t>
        </is>
      </c>
      <c r="J64" s="8" t="inlineStr">
        <is>
          <t>N</t>
        </is>
      </c>
      <c r="K64" s="6">
        <f>IF(H64="E0",0.20,IF(H64="E1",0.40,IF(H64="E2",0.65,IF(H64="E3",0.85,IF(H64="E4",1.00,0)))))</f>
        <v/>
      </c>
      <c r="L64" s="6">
        <f>IF(D64="N","",IF(OR(E64="",F64=""),"",IF(G64="N/A",100*((0.60*E64)+(0.40*F64))/5,IF(G64="",100*((0.60*E64)+(0.40*F64))/5,100*((0.45*E64)+(0.30*F64)+(0.25*G64))/5))))</f>
        <v/>
      </c>
      <c r="M64" s="6">
        <f>IF(D64="N","",IFERROR(VLOOKUP(A64,'P0-4_Required_Maturity'!$A$2:$I$12,9,FALSE),3))</f>
        <v/>
      </c>
      <c r="N64" s="6">
        <f>IF(OR(E64="",M64=""),"",M64-E64)</f>
        <v/>
      </c>
      <c r="O64" s="6">
        <f>IF(D64="N","N/A",IF(OR(E64="",F64="",H64=""),"INCOMPLETE",IF(AND(L64&gt;=80,H64="E0"),"REVIEW",IF(AND(L64&gt;=80,OR(I64="N",J64="N")),"CORROBORATION REVIEW","OK"))))</f>
        <v/>
      </c>
      <c r="P64" s="6" t="n"/>
    </row>
    <row r="65">
      <c r="A65" s="8" t="inlineStr">
        <is>
          <t>D05</t>
        </is>
      </c>
      <c r="B65" s="8" t="inlineStr">
        <is>
          <t>I11</t>
        </is>
      </c>
      <c r="C65" s="8" t="inlineStr">
        <is>
          <t>Academic Leadership for AI</t>
        </is>
      </c>
      <c r="D65" s="8" t="inlineStr">
        <is>
          <t>Y</t>
        </is>
      </c>
      <c r="E65" s="6" t="n"/>
      <c r="F65" s="6" t="n"/>
      <c r="G65" s="6" t="n"/>
      <c r="H65" s="8" t="inlineStr">
        <is>
          <t>E0</t>
        </is>
      </c>
      <c r="I65" s="8" t="inlineStr">
        <is>
          <t>N</t>
        </is>
      </c>
      <c r="J65" s="8" t="inlineStr">
        <is>
          <t>N</t>
        </is>
      </c>
      <c r="K65" s="6">
        <f>IF(H65="E0",0.20,IF(H65="E1",0.40,IF(H65="E2",0.65,IF(H65="E3",0.85,IF(H65="E4",1.00,0)))))</f>
        <v/>
      </c>
      <c r="L65" s="6">
        <f>IF(D65="N","",IF(OR(E65="",F65=""),"",IF(G65="N/A",100*((0.60*E65)+(0.40*F65))/5,IF(G65="",100*((0.60*E65)+(0.40*F65))/5,100*((0.45*E65)+(0.30*F65)+(0.25*G65))/5))))</f>
        <v/>
      </c>
      <c r="M65" s="6">
        <f>IF(D65="N","",IFERROR(VLOOKUP(A65,'P0-4_Required_Maturity'!$A$2:$I$12,9,FALSE),3))</f>
        <v/>
      </c>
      <c r="N65" s="6">
        <f>IF(OR(E65="",M65=""),"",M65-E65)</f>
        <v/>
      </c>
      <c r="O65" s="6">
        <f>IF(D65="N","N/A",IF(OR(E65="",F65="",H65=""),"INCOMPLETE",IF(AND(L65&gt;=80,H65="E0"),"REVIEW",IF(AND(L65&gt;=80,OR(I65="N",J65="N")),"CORROBORATION REVIEW","OK"))))</f>
        <v/>
      </c>
      <c r="P65" s="6" t="n"/>
    </row>
    <row r="66">
      <c r="A66" s="8" t="inlineStr">
        <is>
          <t>D05</t>
        </is>
      </c>
      <c r="B66" s="8" t="inlineStr">
        <is>
          <t>I12</t>
        </is>
      </c>
      <c r="C66" s="8" t="inlineStr">
        <is>
          <t>Faculty Adoption Learning Loop</t>
        </is>
      </c>
      <c r="D66" s="8" t="inlineStr">
        <is>
          <t>Y</t>
        </is>
      </c>
      <c r="E66" s="6" t="n"/>
      <c r="F66" s="6" t="n"/>
      <c r="G66" s="6" t="n"/>
      <c r="H66" s="8" t="inlineStr">
        <is>
          <t>E0</t>
        </is>
      </c>
      <c r="I66" s="8" t="inlineStr">
        <is>
          <t>N</t>
        </is>
      </c>
      <c r="J66" s="8" t="inlineStr">
        <is>
          <t>N</t>
        </is>
      </c>
      <c r="K66" s="6">
        <f>IF(H66="E0",0.20,IF(H66="E1",0.40,IF(H66="E2",0.65,IF(H66="E3",0.85,IF(H66="E4",1.00,0)))))</f>
        <v/>
      </c>
      <c r="L66" s="6">
        <f>IF(D66="N","",IF(OR(E66="",F66=""),"",IF(G66="N/A",100*((0.60*E66)+(0.40*F66))/5,IF(G66="",100*((0.60*E66)+(0.40*F66))/5,100*((0.45*E66)+(0.30*F66)+(0.25*G66))/5))))</f>
        <v/>
      </c>
      <c r="M66" s="6">
        <f>IF(D66="N","",IFERROR(VLOOKUP(A66,'P0-4_Required_Maturity'!$A$2:$I$12,9,FALSE),3))</f>
        <v/>
      </c>
      <c r="N66" s="6">
        <f>IF(OR(E66="",M66=""),"",M66-E66)</f>
        <v/>
      </c>
      <c r="O66" s="6">
        <f>IF(D66="N","N/A",IF(OR(E66="",F66="",H66=""),"INCOMPLETE",IF(AND(L66&gt;=80,H66="E0"),"REVIEW",IF(AND(L66&gt;=80,OR(I66="N",J66="N")),"CORROBORATION REVIEW","OK"))))</f>
        <v/>
      </c>
      <c r="P66" s="6" t="n"/>
    </row>
    <row r="67">
      <c r="A67" s="8" t="inlineStr">
        <is>
          <t>D06</t>
        </is>
      </c>
      <c r="B67" s="8" t="inlineStr">
        <is>
          <t>I01</t>
        </is>
      </c>
      <c r="C67" s="8" t="inlineStr">
        <is>
          <t>Student AI Literacy</t>
        </is>
      </c>
      <c r="D67" s="8" t="inlineStr">
        <is>
          <t>Y</t>
        </is>
      </c>
      <c r="E67" s="6" t="n"/>
      <c r="F67" s="6" t="n"/>
      <c r="G67" s="6" t="n"/>
      <c r="H67" s="8" t="inlineStr">
        <is>
          <t>E0</t>
        </is>
      </c>
      <c r="I67" s="8" t="inlineStr">
        <is>
          <t>N</t>
        </is>
      </c>
      <c r="J67" s="8" t="inlineStr">
        <is>
          <t>N</t>
        </is>
      </c>
      <c r="K67" s="6">
        <f>IF(H67="E0",0.20,IF(H67="E1",0.40,IF(H67="E2",0.65,IF(H67="E3",0.85,IF(H67="E4",1.00,0)))))</f>
        <v/>
      </c>
      <c r="L67" s="6">
        <f>IF(D67="N","",IF(OR(E67="",F67=""),"",IF(G67="N/A",100*((0.60*E67)+(0.40*F67))/5,IF(G67="",100*((0.60*E67)+(0.40*F67))/5,100*((0.45*E67)+(0.30*F67)+(0.25*G67))/5))))</f>
        <v/>
      </c>
      <c r="M67" s="6">
        <f>IF(D67="N","",IFERROR(VLOOKUP(A67,'P0-4_Required_Maturity'!$A$2:$I$12,9,FALSE),3))</f>
        <v/>
      </c>
      <c r="N67" s="6">
        <f>IF(OR(E67="",M67=""),"",M67-E67)</f>
        <v/>
      </c>
      <c r="O67" s="6">
        <f>IF(D67="N","N/A",IF(OR(E67="",F67="",H67=""),"INCOMPLETE",IF(AND(L67&gt;=80,H67="E0"),"REVIEW",IF(AND(L67&gt;=80,OR(I67="N",J67="N")),"CORROBORATION REVIEW","OK"))))</f>
        <v/>
      </c>
      <c r="P67" s="6" t="n"/>
    </row>
    <row r="68">
      <c r="A68" s="8" t="inlineStr">
        <is>
          <t>D06</t>
        </is>
      </c>
      <c r="B68" s="8" t="inlineStr">
        <is>
          <t>I02</t>
        </is>
      </c>
      <c r="C68" s="8" t="inlineStr">
        <is>
          <t>Critical AI Evaluation</t>
        </is>
      </c>
      <c r="D68" s="8" t="inlineStr">
        <is>
          <t>Y</t>
        </is>
      </c>
      <c r="E68" s="6" t="n"/>
      <c r="F68" s="6" t="n"/>
      <c r="G68" s="6" t="n"/>
      <c r="H68" s="8" t="inlineStr">
        <is>
          <t>E0</t>
        </is>
      </c>
      <c r="I68" s="8" t="inlineStr">
        <is>
          <t>N</t>
        </is>
      </c>
      <c r="J68" s="8" t="inlineStr">
        <is>
          <t>N</t>
        </is>
      </c>
      <c r="K68" s="6">
        <f>IF(H68="E0",0.20,IF(H68="E1",0.40,IF(H68="E2",0.65,IF(H68="E3",0.85,IF(H68="E4",1.00,0)))))</f>
        <v/>
      </c>
      <c r="L68" s="6">
        <f>IF(D68="N","",IF(OR(E68="",F68=""),"",IF(G68="N/A",100*((0.60*E68)+(0.40*F68))/5,IF(G68="",100*((0.60*E68)+(0.40*F68))/5,100*((0.45*E68)+(0.30*F68)+(0.25*G68))/5))))</f>
        <v/>
      </c>
      <c r="M68" s="6">
        <f>IF(D68="N","",IFERROR(VLOOKUP(A68,'P0-4_Required_Maturity'!$A$2:$I$12,9,FALSE),3))</f>
        <v/>
      </c>
      <c r="N68" s="6">
        <f>IF(OR(E68="",M68=""),"",M68-E68)</f>
        <v/>
      </c>
      <c r="O68" s="6">
        <f>IF(D68="N","N/A",IF(OR(E68="",F68="",H68=""),"INCOMPLETE",IF(AND(L68&gt;=80,H68="E0"),"REVIEW",IF(AND(L68&gt;=80,OR(I68="N",J68="N")),"CORROBORATION REVIEW","OK"))))</f>
        <v/>
      </c>
      <c r="P68" s="6" t="n"/>
    </row>
    <row r="69">
      <c r="A69" s="8" t="inlineStr">
        <is>
          <t>D06</t>
        </is>
      </c>
      <c r="B69" s="8" t="inlineStr">
        <is>
          <t>I03</t>
        </is>
      </c>
      <c r="C69" s="8" t="inlineStr">
        <is>
          <t>Learning Agency</t>
        </is>
      </c>
      <c r="D69" s="8" t="inlineStr">
        <is>
          <t>Y</t>
        </is>
      </c>
      <c r="E69" s="6" t="n"/>
      <c r="F69" s="6" t="n"/>
      <c r="G69" s="6" t="n"/>
      <c r="H69" s="8" t="inlineStr">
        <is>
          <t>E0</t>
        </is>
      </c>
      <c r="I69" s="8" t="inlineStr">
        <is>
          <t>N</t>
        </is>
      </c>
      <c r="J69" s="8" t="inlineStr">
        <is>
          <t>N</t>
        </is>
      </c>
      <c r="K69" s="6">
        <f>IF(H69="E0",0.20,IF(H69="E1",0.40,IF(H69="E2",0.65,IF(H69="E3",0.85,IF(H69="E4",1.00,0)))))</f>
        <v/>
      </c>
      <c r="L69" s="6">
        <f>IF(D69="N","",IF(OR(E69="",F69=""),"",IF(G69="N/A",100*((0.60*E69)+(0.40*F69))/5,IF(G69="",100*((0.60*E69)+(0.40*F69))/5,100*((0.45*E69)+(0.30*F69)+(0.25*G69))/5))))</f>
        <v/>
      </c>
      <c r="M69" s="6">
        <f>IF(D69="N","",IFERROR(VLOOKUP(A69,'P0-4_Required_Maturity'!$A$2:$I$12,9,FALSE),3))</f>
        <v/>
      </c>
      <c r="N69" s="6">
        <f>IF(OR(E69="",M69=""),"",M69-E69)</f>
        <v/>
      </c>
      <c r="O69" s="6">
        <f>IF(D69="N","N/A",IF(OR(E69="",F69="",H69=""),"INCOMPLETE",IF(AND(L69&gt;=80,H69="E0"),"REVIEW",IF(AND(L69&gt;=80,OR(I69="N",J69="N")),"CORROBORATION REVIEW","OK"))))</f>
        <v/>
      </c>
      <c r="P69" s="6" t="n"/>
    </row>
    <row r="70">
      <c r="A70" s="8" t="inlineStr">
        <is>
          <t>D06</t>
        </is>
      </c>
      <c r="B70" s="8" t="inlineStr">
        <is>
          <t>I04</t>
        </is>
      </c>
      <c r="C70" s="8" t="inlineStr">
        <is>
          <t>Independent Intellectual Agency</t>
        </is>
      </c>
      <c r="D70" s="8" t="inlineStr">
        <is>
          <t>Y</t>
        </is>
      </c>
      <c r="E70" s="6" t="n"/>
      <c r="F70" s="6" t="n"/>
      <c r="G70" s="6" t="n"/>
      <c r="H70" s="8" t="inlineStr">
        <is>
          <t>E0</t>
        </is>
      </c>
      <c r="I70" s="8" t="inlineStr">
        <is>
          <t>N</t>
        </is>
      </c>
      <c r="J70" s="8" t="inlineStr">
        <is>
          <t>N</t>
        </is>
      </c>
      <c r="K70" s="6">
        <f>IF(H70="E0",0.20,IF(H70="E1",0.40,IF(H70="E2",0.65,IF(H70="E3",0.85,IF(H70="E4",1.00,0)))))</f>
        <v/>
      </c>
      <c r="L70" s="6">
        <f>IF(D70="N","",IF(OR(E70="",F70=""),"",IF(G70="N/A",100*((0.60*E70)+(0.40*F70))/5,IF(G70="",100*((0.60*E70)+(0.40*F70))/5,100*((0.45*E70)+(0.30*F70)+(0.25*G70))/5))))</f>
        <v/>
      </c>
      <c r="M70" s="6">
        <f>IF(D70="N","",IFERROR(VLOOKUP(A70,'P0-4_Required_Maturity'!$A$2:$I$12,9,FALSE),3))</f>
        <v/>
      </c>
      <c r="N70" s="6">
        <f>IF(OR(E70="",M70=""),"",M70-E70)</f>
        <v/>
      </c>
      <c r="O70" s="6">
        <f>IF(D70="N","N/A",IF(OR(E70="",F70="",H70=""),"INCOMPLETE",IF(AND(L70&gt;=80,H70="E0"),"REVIEW",IF(AND(L70&gt;=80,OR(I70="N",J70="N")),"CORROBORATION REVIEW","OK"))))</f>
        <v/>
      </c>
      <c r="P70" s="6" t="n"/>
    </row>
    <row r="71">
      <c r="A71" s="8" t="inlineStr">
        <is>
          <t>D06</t>
        </is>
      </c>
      <c r="B71" s="8" t="inlineStr">
        <is>
          <t>I05</t>
        </is>
      </c>
      <c r="C71" s="8" t="inlineStr">
        <is>
          <t>Communication &amp; Defence</t>
        </is>
      </c>
      <c r="D71" s="8" t="inlineStr">
        <is>
          <t>Y</t>
        </is>
      </c>
      <c r="E71" s="6" t="n"/>
      <c r="F71" s="6" t="n"/>
      <c r="G71" s="6" t="n"/>
      <c r="H71" s="8" t="inlineStr">
        <is>
          <t>E0</t>
        </is>
      </c>
      <c r="I71" s="8" t="inlineStr">
        <is>
          <t>N</t>
        </is>
      </c>
      <c r="J71" s="8" t="inlineStr">
        <is>
          <t>N</t>
        </is>
      </c>
      <c r="K71" s="6">
        <f>IF(H71="E0",0.20,IF(H71="E1",0.40,IF(H71="E2",0.65,IF(H71="E3",0.85,IF(H71="E4",1.00,0)))))</f>
        <v/>
      </c>
      <c r="L71" s="6">
        <f>IF(D71="N","",IF(OR(E71="",F71=""),"",IF(G71="N/A",100*((0.60*E71)+(0.40*F71))/5,IF(G71="",100*((0.60*E71)+(0.40*F71))/5,100*((0.45*E71)+(0.30*F71)+(0.25*G71))/5))))</f>
        <v/>
      </c>
      <c r="M71" s="6">
        <f>IF(D71="N","",IFERROR(VLOOKUP(A71,'P0-4_Required_Maturity'!$A$2:$I$12,9,FALSE),3))</f>
        <v/>
      </c>
      <c r="N71" s="6">
        <f>IF(OR(E71="",M71=""),"",M71-E71)</f>
        <v/>
      </c>
      <c r="O71" s="6">
        <f>IF(D71="N","N/A",IF(OR(E71="",F71="",H71=""),"INCOMPLETE",IF(AND(L71&gt;=80,H71="E0"),"REVIEW",IF(AND(L71&gt;=80,OR(I71="N",J71="N")),"CORROBORATION REVIEW","OK"))))</f>
        <v/>
      </c>
      <c r="P71" s="6" t="n"/>
    </row>
    <row r="72">
      <c r="A72" s="8" t="inlineStr">
        <is>
          <t>D06</t>
        </is>
      </c>
      <c r="B72" s="8" t="inlineStr">
        <is>
          <t>I06</t>
        </is>
      </c>
      <c r="C72" s="8" t="inlineStr">
        <is>
          <t>Collaboration Capability</t>
        </is>
      </c>
      <c r="D72" s="8" t="inlineStr">
        <is>
          <t>Y</t>
        </is>
      </c>
      <c r="E72" s="6" t="n"/>
      <c r="F72" s="6" t="n"/>
      <c r="G72" s="6" t="n"/>
      <c r="H72" s="8" t="inlineStr">
        <is>
          <t>E0</t>
        </is>
      </c>
      <c r="I72" s="8" t="inlineStr">
        <is>
          <t>N</t>
        </is>
      </c>
      <c r="J72" s="8" t="inlineStr">
        <is>
          <t>N</t>
        </is>
      </c>
      <c r="K72" s="6">
        <f>IF(H72="E0",0.20,IF(H72="E1",0.40,IF(H72="E2",0.65,IF(H72="E3",0.85,IF(H72="E4",1.00,0)))))</f>
        <v/>
      </c>
      <c r="L72" s="6">
        <f>IF(D72="N","",IF(OR(E72="",F72=""),"",IF(G72="N/A",100*((0.60*E72)+(0.40*F72))/5,IF(G72="",100*((0.60*E72)+(0.40*F72))/5,100*((0.45*E72)+(0.30*F72)+(0.25*G72))/5))))</f>
        <v/>
      </c>
      <c r="M72" s="6">
        <f>IF(D72="N","",IFERROR(VLOOKUP(A72,'P0-4_Required_Maturity'!$A$2:$I$12,9,FALSE),3))</f>
        <v/>
      </c>
      <c r="N72" s="6">
        <f>IF(OR(E72="",M72=""),"",M72-E72)</f>
        <v/>
      </c>
      <c r="O72" s="6">
        <f>IF(D72="N","N/A",IF(OR(E72="",F72="",H72=""),"INCOMPLETE",IF(AND(L72&gt;=80,H72="E0"),"REVIEW",IF(AND(L72&gt;=80,OR(I72="N",J72="N")),"CORROBORATION REVIEW","OK"))))</f>
        <v/>
      </c>
      <c r="P72" s="6" t="n"/>
    </row>
    <row r="73">
      <c r="A73" s="8" t="inlineStr">
        <is>
          <t>D06</t>
        </is>
      </c>
      <c r="B73" s="8" t="inlineStr">
        <is>
          <t>I07</t>
        </is>
      </c>
      <c r="C73" s="8" t="inlineStr">
        <is>
          <t>Practical Capability</t>
        </is>
      </c>
      <c r="D73" s="8" t="inlineStr">
        <is>
          <t>Y</t>
        </is>
      </c>
      <c r="E73" s="6" t="n"/>
      <c r="F73" s="6" t="n"/>
      <c r="G73" s="6" t="n"/>
      <c r="H73" s="8" t="inlineStr">
        <is>
          <t>E0</t>
        </is>
      </c>
      <c r="I73" s="8" t="inlineStr">
        <is>
          <t>N</t>
        </is>
      </c>
      <c r="J73" s="8" t="inlineStr">
        <is>
          <t>N</t>
        </is>
      </c>
      <c r="K73" s="6">
        <f>IF(H73="E0",0.20,IF(H73="E1",0.40,IF(H73="E2",0.65,IF(H73="E3",0.85,IF(H73="E4",1.00,0)))))</f>
        <v/>
      </c>
      <c r="L73" s="6">
        <f>IF(D73="N","",IF(OR(E73="",F73=""),"",IF(G73="N/A",100*((0.60*E73)+(0.40*F73))/5,IF(G73="",100*((0.60*E73)+(0.40*F73))/5,100*((0.45*E73)+(0.30*F73)+(0.25*G73))/5))))</f>
        <v/>
      </c>
      <c r="M73" s="6">
        <f>IF(D73="N","",IFERROR(VLOOKUP(A73,'P0-4_Required_Maturity'!$A$2:$I$12,9,FALSE),3))</f>
        <v/>
      </c>
      <c r="N73" s="6">
        <f>IF(OR(E73="",M73=""),"",M73-E73)</f>
        <v/>
      </c>
      <c r="O73" s="6">
        <f>IF(D73="N","N/A",IF(OR(E73="",F73="",H73=""),"INCOMPLETE",IF(AND(L73&gt;=80,H73="E0"),"REVIEW",IF(AND(L73&gt;=80,OR(I73="N",J73="N")),"CORROBORATION REVIEW","OK"))))</f>
        <v/>
      </c>
      <c r="P73" s="6" t="n"/>
    </row>
    <row r="74">
      <c r="A74" s="8" t="inlineStr">
        <is>
          <t>D06</t>
        </is>
      </c>
      <c r="B74" s="8" t="inlineStr">
        <is>
          <t>I08</t>
        </is>
      </c>
      <c r="C74" s="8" t="inlineStr">
        <is>
          <t>Career Adaptability</t>
        </is>
      </c>
      <c r="D74" s="8" t="inlineStr">
        <is>
          <t>Y</t>
        </is>
      </c>
      <c r="E74" s="6" t="n"/>
      <c r="F74" s="6" t="n"/>
      <c r="G74" s="6" t="n"/>
      <c r="H74" s="8" t="inlineStr">
        <is>
          <t>E0</t>
        </is>
      </c>
      <c r="I74" s="8" t="inlineStr">
        <is>
          <t>N</t>
        </is>
      </c>
      <c r="J74" s="8" t="inlineStr">
        <is>
          <t>N</t>
        </is>
      </c>
      <c r="K74" s="6">
        <f>IF(H74="E0",0.20,IF(H74="E1",0.40,IF(H74="E2",0.65,IF(H74="E3",0.85,IF(H74="E4",1.00,0)))))</f>
        <v/>
      </c>
      <c r="L74" s="6">
        <f>IF(D74="N","",IF(OR(E74="",F74=""),"",IF(G74="N/A",100*((0.60*E74)+(0.40*F74))/5,IF(G74="",100*((0.60*E74)+(0.40*F74))/5,100*((0.45*E74)+(0.30*F74)+(0.25*G74))/5))))</f>
        <v/>
      </c>
      <c r="M74" s="6">
        <f>IF(D74="N","",IFERROR(VLOOKUP(A74,'P0-4_Required_Maturity'!$A$2:$I$12,9,FALSE),3))</f>
        <v/>
      </c>
      <c r="N74" s="6">
        <f>IF(OR(E74="",M74=""),"",M74-E74)</f>
        <v/>
      </c>
      <c r="O74" s="6">
        <f>IF(D74="N","N/A",IF(OR(E74="",F74="",H74=""),"INCOMPLETE",IF(AND(L74&gt;=80,H74="E0"),"REVIEW",IF(AND(L74&gt;=80,OR(I74="N",J74="N")),"CORROBORATION REVIEW","OK"))))</f>
        <v/>
      </c>
      <c r="P74" s="6" t="n"/>
    </row>
    <row r="75">
      <c r="A75" s="8" t="inlineStr">
        <is>
          <t>D06</t>
        </is>
      </c>
      <c r="B75" s="8" t="inlineStr">
        <is>
          <t>I09</t>
        </is>
      </c>
      <c r="C75" s="8" t="inlineStr">
        <is>
          <t>Portfolio &amp; Capability Signalling</t>
        </is>
      </c>
      <c r="D75" s="8" t="inlineStr">
        <is>
          <t>Y</t>
        </is>
      </c>
      <c r="E75" s="6" t="n"/>
      <c r="F75" s="6" t="n"/>
      <c r="G75" s="6" t="n"/>
      <c r="H75" s="8" t="inlineStr">
        <is>
          <t>E0</t>
        </is>
      </c>
      <c r="I75" s="8" t="inlineStr">
        <is>
          <t>N</t>
        </is>
      </c>
      <c r="J75" s="8" t="inlineStr">
        <is>
          <t>N</t>
        </is>
      </c>
      <c r="K75" s="6">
        <f>IF(H75="E0",0.20,IF(H75="E1",0.40,IF(H75="E2",0.65,IF(H75="E3",0.85,IF(H75="E4",1.00,0)))))</f>
        <v/>
      </c>
      <c r="L75" s="6">
        <f>IF(D75="N","",IF(OR(E75="",F75=""),"",IF(G75="N/A",100*((0.60*E75)+(0.40*F75))/5,IF(G75="",100*((0.60*E75)+(0.40*F75))/5,100*((0.45*E75)+(0.30*F75)+(0.25*G75))/5))))</f>
        <v/>
      </c>
      <c r="M75" s="6">
        <f>IF(D75="N","",IFERROR(VLOOKUP(A75,'P0-4_Required_Maturity'!$A$2:$I$12,9,FALSE),3))</f>
        <v/>
      </c>
      <c r="N75" s="6">
        <f>IF(OR(E75="",M75=""),"",M75-E75)</f>
        <v/>
      </c>
      <c r="O75" s="6">
        <f>IF(D75="N","N/A",IF(OR(E75="",F75="",H75=""),"INCOMPLETE",IF(AND(L75&gt;=80,H75="E0"),"REVIEW",IF(AND(L75&gt;=80,OR(I75="N",J75="N")),"CORROBORATION REVIEW","OK"))))</f>
        <v/>
      </c>
      <c r="P75" s="6" t="n"/>
    </row>
    <row r="76">
      <c r="A76" s="8" t="inlineStr">
        <is>
          <t>D06</t>
        </is>
      </c>
      <c r="B76" s="8" t="inlineStr">
        <is>
          <t>I10</t>
        </is>
      </c>
      <c r="C76" s="8" t="inlineStr">
        <is>
          <t>Problem Solving &amp; Transfer</t>
        </is>
      </c>
      <c r="D76" s="8" t="inlineStr">
        <is>
          <t>Y</t>
        </is>
      </c>
      <c r="E76" s="6" t="n"/>
      <c r="F76" s="6" t="n"/>
      <c r="G76" s="6" t="n"/>
      <c r="H76" s="8" t="inlineStr">
        <is>
          <t>E0</t>
        </is>
      </c>
      <c r="I76" s="8" t="inlineStr">
        <is>
          <t>N</t>
        </is>
      </c>
      <c r="J76" s="8" t="inlineStr">
        <is>
          <t>N</t>
        </is>
      </c>
      <c r="K76" s="6">
        <f>IF(H76="E0",0.20,IF(H76="E1",0.40,IF(H76="E2",0.65,IF(H76="E3",0.85,IF(H76="E4",1.00,0)))))</f>
        <v/>
      </c>
      <c r="L76" s="6">
        <f>IF(D76="N","",IF(OR(E76="",F76=""),"",IF(G76="N/A",100*((0.60*E76)+(0.40*F76))/5,IF(G76="",100*((0.60*E76)+(0.40*F76))/5,100*((0.45*E76)+(0.30*F76)+(0.25*G76))/5))))</f>
        <v/>
      </c>
      <c r="M76" s="6">
        <f>IF(D76="N","",IFERROR(VLOOKUP(A76,'P0-4_Required_Maturity'!$A$2:$I$12,9,FALSE),3))</f>
        <v/>
      </c>
      <c r="N76" s="6">
        <f>IF(OR(E76="",M76=""),"",M76-E76)</f>
        <v/>
      </c>
      <c r="O76" s="6">
        <f>IF(D76="N","N/A",IF(OR(E76="",F76="",H76=""),"INCOMPLETE",IF(AND(L76&gt;=80,H76="E0"),"REVIEW",IF(AND(L76&gt;=80,OR(I76="N",J76="N")),"CORROBORATION REVIEW","OK"))))</f>
        <v/>
      </c>
      <c r="P76" s="6" t="n"/>
    </row>
    <row r="77">
      <c r="A77" s="8" t="inlineStr">
        <is>
          <t>D06</t>
        </is>
      </c>
      <c r="B77" s="8" t="inlineStr">
        <is>
          <t>I11</t>
        </is>
      </c>
      <c r="C77" s="8" t="inlineStr">
        <is>
          <t>Creator &amp; Entrepreneurial Agency</t>
        </is>
      </c>
      <c r="D77" s="8" t="inlineStr">
        <is>
          <t>Y</t>
        </is>
      </c>
      <c r="E77" s="6" t="n"/>
      <c r="F77" s="6" t="n"/>
      <c r="G77" s="6" t="n"/>
      <c r="H77" s="8" t="inlineStr">
        <is>
          <t>E0</t>
        </is>
      </c>
      <c r="I77" s="8" t="inlineStr">
        <is>
          <t>N</t>
        </is>
      </c>
      <c r="J77" s="8" t="inlineStr">
        <is>
          <t>N</t>
        </is>
      </c>
      <c r="K77" s="6">
        <f>IF(H77="E0",0.20,IF(H77="E1",0.40,IF(H77="E2",0.65,IF(H77="E3",0.85,IF(H77="E4",1.00,0)))))</f>
        <v/>
      </c>
      <c r="L77" s="6">
        <f>IF(D77="N","",IF(OR(E77="",F77=""),"",IF(G77="N/A",100*((0.60*E77)+(0.40*F77))/5,IF(G77="",100*((0.60*E77)+(0.40*F77))/5,100*((0.45*E77)+(0.30*F77)+(0.25*G77))/5))))</f>
        <v/>
      </c>
      <c r="M77" s="6">
        <f>IF(D77="N","",IFERROR(VLOOKUP(A77,'P0-4_Required_Maturity'!$A$2:$I$12,9,FALSE),3))</f>
        <v/>
      </c>
      <c r="N77" s="6">
        <f>IF(OR(E77="",M77=""),"",M77-E77)</f>
        <v/>
      </c>
      <c r="O77" s="6">
        <f>IF(D77="N","N/A",IF(OR(E77="",F77="",H77=""),"INCOMPLETE",IF(AND(L77&gt;=80,H77="E0"),"REVIEW",IF(AND(L77&gt;=80,OR(I77="N",J77="N")),"CORROBORATION REVIEW","OK"))))</f>
        <v/>
      </c>
      <c r="P77" s="6" t="n"/>
    </row>
    <row r="78">
      <c r="A78" s="8" t="inlineStr">
        <is>
          <t>D06</t>
        </is>
      </c>
      <c r="B78" s="8" t="inlineStr">
        <is>
          <t>I12</t>
        </is>
      </c>
      <c r="C78" s="8" t="inlineStr">
        <is>
          <t>Digital Citizenship &amp; Responsible Use</t>
        </is>
      </c>
      <c r="D78" s="8" t="inlineStr">
        <is>
          <t>Y</t>
        </is>
      </c>
      <c r="E78" s="6" t="n"/>
      <c r="F78" s="6" t="n"/>
      <c r="G78" s="6" t="n"/>
      <c r="H78" s="8" t="inlineStr">
        <is>
          <t>E0</t>
        </is>
      </c>
      <c r="I78" s="8" t="inlineStr">
        <is>
          <t>N</t>
        </is>
      </c>
      <c r="J78" s="8" t="inlineStr">
        <is>
          <t>N</t>
        </is>
      </c>
      <c r="K78" s="6">
        <f>IF(H78="E0",0.20,IF(H78="E1",0.40,IF(H78="E2",0.65,IF(H78="E3",0.85,IF(H78="E4",1.00,0)))))</f>
        <v/>
      </c>
      <c r="L78" s="6">
        <f>IF(D78="N","",IF(OR(E78="",F78=""),"",IF(G78="N/A",100*((0.60*E78)+(0.40*F78))/5,IF(G78="",100*((0.60*E78)+(0.40*F78))/5,100*((0.45*E78)+(0.30*F78)+(0.25*G78))/5))))</f>
        <v/>
      </c>
      <c r="M78" s="6">
        <f>IF(D78="N","",IFERROR(VLOOKUP(A78,'P0-4_Required_Maturity'!$A$2:$I$12,9,FALSE),3))</f>
        <v/>
      </c>
      <c r="N78" s="6">
        <f>IF(OR(E78="",M78=""),"",M78-E78)</f>
        <v/>
      </c>
      <c r="O78" s="6">
        <f>IF(D78="N","N/A",IF(OR(E78="",F78="",H78=""),"INCOMPLETE",IF(AND(L78&gt;=80,H78="E0"),"REVIEW",IF(AND(L78&gt;=80,OR(I78="N",J78="N")),"CORROBORATION REVIEW","OK"))))</f>
        <v/>
      </c>
      <c r="P78" s="6" t="n"/>
    </row>
    <row r="79">
      <c r="A79" s="8" t="inlineStr">
        <is>
          <t>D06</t>
        </is>
      </c>
      <c r="B79" s="8" t="inlineStr">
        <is>
          <t>I13</t>
        </is>
      </c>
      <c r="C79" s="8" t="inlineStr">
        <is>
          <t>Equitable AI Access</t>
        </is>
      </c>
      <c r="D79" s="8" t="inlineStr">
        <is>
          <t>Y</t>
        </is>
      </c>
      <c r="E79" s="6" t="n"/>
      <c r="F79" s="6" t="n"/>
      <c r="G79" s="6" t="n"/>
      <c r="H79" s="8" t="inlineStr">
        <is>
          <t>E0</t>
        </is>
      </c>
      <c r="I79" s="8" t="inlineStr">
        <is>
          <t>N</t>
        </is>
      </c>
      <c r="J79" s="8" t="inlineStr">
        <is>
          <t>N</t>
        </is>
      </c>
      <c r="K79" s="6">
        <f>IF(H79="E0",0.20,IF(H79="E1",0.40,IF(H79="E2",0.65,IF(H79="E3",0.85,IF(H79="E4",1.00,0)))))</f>
        <v/>
      </c>
      <c r="L79" s="6">
        <f>IF(D79="N","",IF(OR(E79="",F79=""),"",IF(G79="N/A",100*((0.60*E79)+(0.40*F79))/5,IF(G79="",100*((0.60*E79)+(0.40*F79))/5,100*((0.45*E79)+(0.30*F79)+(0.25*G79))/5))))</f>
        <v/>
      </c>
      <c r="M79" s="6">
        <f>IF(D79="N","",IFERROR(VLOOKUP(A79,'P0-4_Required_Maturity'!$A$2:$I$12,9,FALSE),3))</f>
        <v/>
      </c>
      <c r="N79" s="6">
        <f>IF(OR(E79="",M79=""),"",M79-E79)</f>
        <v/>
      </c>
      <c r="O79" s="6">
        <f>IF(D79="N","N/A",IF(OR(E79="",F79="",H79=""),"INCOMPLETE",IF(AND(L79&gt;=80,H79="E0"),"REVIEW",IF(AND(L79&gt;=80,OR(I79="N",J79="N")),"CORROBORATION REVIEW","OK"))))</f>
        <v/>
      </c>
      <c r="P79" s="6" t="n"/>
    </row>
    <row r="80">
      <c r="A80" s="8" t="inlineStr">
        <is>
          <t>D06</t>
        </is>
      </c>
      <c r="B80" s="8" t="inlineStr">
        <is>
          <t>I14</t>
        </is>
      </c>
      <c r="C80" s="8" t="inlineStr">
        <is>
          <t>Student Voice &amp; Feedback Loop</t>
        </is>
      </c>
      <c r="D80" s="8" t="inlineStr">
        <is>
          <t>Y</t>
        </is>
      </c>
      <c r="E80" s="6" t="n"/>
      <c r="F80" s="6" t="n"/>
      <c r="G80" s="6" t="n"/>
      <c r="H80" s="8" t="inlineStr">
        <is>
          <t>E0</t>
        </is>
      </c>
      <c r="I80" s="8" t="inlineStr">
        <is>
          <t>N</t>
        </is>
      </c>
      <c r="J80" s="8" t="inlineStr">
        <is>
          <t>N</t>
        </is>
      </c>
      <c r="K80" s="6">
        <f>IF(H80="E0",0.20,IF(H80="E1",0.40,IF(H80="E2",0.65,IF(H80="E3",0.85,IF(H80="E4",1.00,0)))))</f>
        <v/>
      </c>
      <c r="L80" s="6">
        <f>IF(D80="N","",IF(OR(E80="",F80=""),"",IF(G80="N/A",100*((0.60*E80)+(0.40*F80))/5,IF(G80="",100*((0.60*E80)+(0.40*F80))/5,100*((0.45*E80)+(0.30*F80)+(0.25*G80))/5))))</f>
        <v/>
      </c>
      <c r="M80" s="6">
        <f>IF(D80="N","",IFERROR(VLOOKUP(A80,'P0-4_Required_Maturity'!$A$2:$I$12,9,FALSE),3))</f>
        <v/>
      </c>
      <c r="N80" s="6">
        <f>IF(OR(E80="",M80=""),"",M80-E80)</f>
        <v/>
      </c>
      <c r="O80" s="6">
        <f>IF(D80="N","N/A",IF(OR(E80="",F80="",H80=""),"INCOMPLETE",IF(AND(L80&gt;=80,H80="E0"),"REVIEW",IF(AND(L80&gt;=80,OR(I80="N",J80="N")),"CORROBORATION REVIEW","OK"))))</f>
        <v/>
      </c>
      <c r="P80" s="6" t="n"/>
    </row>
    <row r="81">
      <c r="A81" s="8" t="inlineStr">
        <is>
          <t>D07</t>
        </is>
      </c>
      <c r="B81" s="8" t="inlineStr">
        <is>
          <t>I01</t>
        </is>
      </c>
      <c r="C81" s="8" t="inlineStr">
        <is>
          <t>Assessment Design Maturity</t>
        </is>
      </c>
      <c r="D81" s="8" t="inlineStr">
        <is>
          <t>Y</t>
        </is>
      </c>
      <c r="E81" s="6" t="n"/>
      <c r="F81" s="6" t="n"/>
      <c r="G81" s="6" t="n"/>
      <c r="H81" s="8" t="inlineStr">
        <is>
          <t>E0</t>
        </is>
      </c>
      <c r="I81" s="8" t="inlineStr">
        <is>
          <t>N</t>
        </is>
      </c>
      <c r="J81" s="8" t="inlineStr">
        <is>
          <t>N</t>
        </is>
      </c>
      <c r="K81" s="6">
        <f>IF(H81="E0",0.20,IF(H81="E1",0.40,IF(H81="E2",0.65,IF(H81="E3",0.85,IF(H81="E4",1.00,0)))))</f>
        <v/>
      </c>
      <c r="L81" s="6">
        <f>IF(D81="N","",IF(OR(E81="",F81=""),"",IF(G81="N/A",100*((0.60*E81)+(0.40*F81))/5,IF(G81="",100*((0.60*E81)+(0.40*F81))/5,100*((0.45*E81)+(0.30*F81)+(0.25*G81))/5))))</f>
        <v/>
      </c>
      <c r="M81" s="6">
        <f>IF(D81="N","",IFERROR(VLOOKUP(A81,'P0-4_Required_Maturity'!$A$2:$I$12,9,FALSE),3))</f>
        <v/>
      </c>
      <c r="N81" s="6">
        <f>IF(OR(E81="",M81=""),"",M81-E81)</f>
        <v/>
      </c>
      <c r="O81" s="6">
        <f>IF(D81="N","N/A",IF(OR(E81="",F81="",H81=""),"INCOMPLETE",IF(AND(L81&gt;=80,H81="E0"),"REVIEW",IF(AND(L81&gt;=80,OR(I81="N",J81="N")),"CORROBORATION REVIEW","OK"))))</f>
        <v/>
      </c>
      <c r="P81" s="6" t="n"/>
    </row>
    <row r="82">
      <c r="A82" s="8" t="inlineStr">
        <is>
          <t>D07</t>
        </is>
      </c>
      <c r="B82" s="8" t="inlineStr">
        <is>
          <t>I02</t>
        </is>
      </c>
      <c r="C82" s="8" t="inlineStr">
        <is>
          <t>Cognitive Demonstration Depth</t>
        </is>
      </c>
      <c r="D82" s="8" t="inlineStr">
        <is>
          <t>Y</t>
        </is>
      </c>
      <c r="E82" s="6" t="n"/>
      <c r="F82" s="6" t="n"/>
      <c r="G82" s="6" t="n"/>
      <c r="H82" s="8" t="inlineStr">
        <is>
          <t>E0</t>
        </is>
      </c>
      <c r="I82" s="8" t="inlineStr">
        <is>
          <t>N</t>
        </is>
      </c>
      <c r="J82" s="8" t="inlineStr">
        <is>
          <t>N</t>
        </is>
      </c>
      <c r="K82" s="6">
        <f>IF(H82="E0",0.20,IF(H82="E1",0.40,IF(H82="E2",0.65,IF(H82="E3",0.85,IF(H82="E4",1.00,0)))))</f>
        <v/>
      </c>
      <c r="L82" s="6">
        <f>IF(D82="N","",IF(OR(E82="",F82=""),"",IF(G82="N/A",100*((0.60*E82)+(0.40*F82))/5,IF(G82="",100*((0.60*E82)+(0.40*F82))/5,100*((0.45*E82)+(0.30*F82)+(0.25*G82))/5))))</f>
        <v/>
      </c>
      <c r="M82" s="6">
        <f>IF(D82="N","",IFERROR(VLOOKUP(A82,'P0-4_Required_Maturity'!$A$2:$I$12,9,FALSE),3))</f>
        <v/>
      </c>
      <c r="N82" s="6">
        <f>IF(OR(E82="",M82=""),"",M82-E82)</f>
        <v/>
      </c>
      <c r="O82" s="6">
        <f>IF(D82="N","N/A",IF(OR(E82="",F82="",H82=""),"INCOMPLETE",IF(AND(L82&gt;=80,H82="E0"),"REVIEW",IF(AND(L82&gt;=80,OR(I82="N",J82="N")),"CORROBORATION REVIEW","OK"))))</f>
        <v/>
      </c>
      <c r="P82" s="6" t="n"/>
    </row>
    <row r="83">
      <c r="A83" s="8" t="inlineStr">
        <is>
          <t>D07</t>
        </is>
      </c>
      <c r="B83" s="8" t="inlineStr">
        <is>
          <t>I03</t>
        </is>
      </c>
      <c r="C83" s="8" t="inlineStr">
        <is>
          <t>Authenticity of Demonstration</t>
        </is>
      </c>
      <c r="D83" s="8" t="inlineStr">
        <is>
          <t>Y</t>
        </is>
      </c>
      <c r="E83" s="6" t="n"/>
      <c r="F83" s="6" t="n"/>
      <c r="G83" s="6" t="n"/>
      <c r="H83" s="8" t="inlineStr">
        <is>
          <t>E0</t>
        </is>
      </c>
      <c r="I83" s="8" t="inlineStr">
        <is>
          <t>N</t>
        </is>
      </c>
      <c r="J83" s="8" t="inlineStr">
        <is>
          <t>N</t>
        </is>
      </c>
      <c r="K83" s="6">
        <f>IF(H83="E0",0.20,IF(H83="E1",0.40,IF(H83="E2",0.65,IF(H83="E3",0.85,IF(H83="E4",1.00,0)))))</f>
        <v/>
      </c>
      <c r="L83" s="6">
        <f>IF(D83="N","",IF(OR(E83="",F83=""),"",IF(G83="N/A",100*((0.60*E83)+(0.40*F83))/5,IF(G83="",100*((0.60*E83)+(0.40*F83))/5,100*((0.45*E83)+(0.30*F83)+(0.25*G83))/5))))</f>
        <v/>
      </c>
      <c r="M83" s="6">
        <f>IF(D83="N","",IFERROR(VLOOKUP(A83,'P0-4_Required_Maturity'!$A$2:$I$12,9,FALSE),3))</f>
        <v/>
      </c>
      <c r="N83" s="6">
        <f>IF(OR(E83="",M83=""),"",M83-E83)</f>
        <v/>
      </c>
      <c r="O83" s="6">
        <f>IF(D83="N","N/A",IF(OR(E83="",F83="",H83=""),"INCOMPLETE",IF(AND(L83&gt;=80,H83="E0"),"REVIEW",IF(AND(L83&gt;=80,OR(I83="N",J83="N")),"CORROBORATION REVIEW","OK"))))</f>
        <v/>
      </c>
      <c r="P83" s="6" t="n"/>
    </row>
    <row r="84">
      <c r="A84" s="8" t="inlineStr">
        <is>
          <t>D07</t>
        </is>
      </c>
      <c r="B84" s="8" t="inlineStr">
        <is>
          <t>I04</t>
        </is>
      </c>
      <c r="C84" s="8" t="inlineStr">
        <is>
          <t>AI-Aware Assessment Maturity</t>
        </is>
      </c>
      <c r="D84" s="8" t="inlineStr">
        <is>
          <t>Y</t>
        </is>
      </c>
      <c r="E84" s="6" t="n"/>
      <c r="F84" s="6" t="n"/>
      <c r="G84" s="6" t="n"/>
      <c r="H84" s="8" t="inlineStr">
        <is>
          <t>E0</t>
        </is>
      </c>
      <c r="I84" s="8" t="inlineStr">
        <is>
          <t>N</t>
        </is>
      </c>
      <c r="J84" s="8" t="inlineStr">
        <is>
          <t>N</t>
        </is>
      </c>
      <c r="K84" s="6">
        <f>IF(H84="E0",0.20,IF(H84="E1",0.40,IF(H84="E2",0.65,IF(H84="E3",0.85,IF(H84="E4",1.00,0)))))</f>
        <v/>
      </c>
      <c r="L84" s="6">
        <f>IF(D84="N","",IF(OR(E84="",F84=""),"",IF(G84="N/A",100*((0.60*E84)+(0.40*F84))/5,IF(G84="",100*((0.60*E84)+(0.40*F84))/5,100*((0.45*E84)+(0.30*F84)+(0.25*G84))/5))))</f>
        <v/>
      </c>
      <c r="M84" s="6">
        <f>IF(D84="N","",IFERROR(VLOOKUP(A84,'P0-4_Required_Maturity'!$A$2:$I$12,9,FALSE),3))</f>
        <v/>
      </c>
      <c r="N84" s="6">
        <f>IF(OR(E84="",M84=""),"",M84-E84)</f>
        <v/>
      </c>
      <c r="O84" s="6">
        <f>IF(D84="N","N/A",IF(OR(E84="",F84="",H84=""),"INCOMPLETE",IF(AND(L84&gt;=80,H84="E0"),"REVIEW",IF(AND(L84&gt;=80,OR(I84="N",J84="N")),"CORROBORATION REVIEW","OK"))))</f>
        <v/>
      </c>
      <c r="P84" s="6" t="n"/>
    </row>
    <row r="85">
      <c r="A85" s="8" t="inlineStr">
        <is>
          <t>D07</t>
        </is>
      </c>
      <c r="B85" s="8" t="inlineStr">
        <is>
          <t>I05</t>
        </is>
      </c>
      <c r="C85" s="8" t="inlineStr">
        <is>
          <t>Verification &amp; Defence</t>
        </is>
      </c>
      <c r="D85" s="8" t="inlineStr">
        <is>
          <t>Y</t>
        </is>
      </c>
      <c r="E85" s="6" t="n"/>
      <c r="F85" s="6" t="n"/>
      <c r="G85" s="6" t="n"/>
      <c r="H85" s="8" t="inlineStr">
        <is>
          <t>E0</t>
        </is>
      </c>
      <c r="I85" s="8" t="inlineStr">
        <is>
          <t>N</t>
        </is>
      </c>
      <c r="J85" s="8" t="inlineStr">
        <is>
          <t>N</t>
        </is>
      </c>
      <c r="K85" s="6">
        <f>IF(H85="E0",0.20,IF(H85="E1",0.40,IF(H85="E2",0.65,IF(H85="E3",0.85,IF(H85="E4",1.00,0)))))</f>
        <v/>
      </c>
      <c r="L85" s="6">
        <f>IF(D85="N","",IF(OR(E85="",F85=""),"",IF(G85="N/A",100*((0.60*E85)+(0.40*F85))/5,IF(G85="",100*((0.60*E85)+(0.40*F85))/5,100*((0.45*E85)+(0.30*F85)+(0.25*G85))/5))))</f>
        <v/>
      </c>
      <c r="M85" s="6">
        <f>IF(D85="N","",IFERROR(VLOOKUP(A85,'P0-4_Required_Maturity'!$A$2:$I$12,9,FALSE),3))</f>
        <v/>
      </c>
      <c r="N85" s="6">
        <f>IF(OR(E85="",M85=""),"",M85-E85)</f>
        <v/>
      </c>
      <c r="O85" s="6">
        <f>IF(D85="N","N/A",IF(OR(E85="",F85="",H85=""),"INCOMPLETE",IF(AND(L85&gt;=80,H85="E0"),"REVIEW",IF(AND(L85&gt;=80,OR(I85="N",J85="N")),"CORROBORATION REVIEW","OK"))))</f>
        <v/>
      </c>
      <c r="P85" s="6" t="n"/>
    </row>
    <row r="86">
      <c r="A86" s="8" t="inlineStr">
        <is>
          <t>D07</t>
        </is>
      </c>
      <c r="B86" s="8" t="inlineStr">
        <is>
          <t>I06</t>
        </is>
      </c>
      <c r="C86" s="8" t="inlineStr">
        <is>
          <t>Feedback Intelligence</t>
        </is>
      </c>
      <c r="D86" s="8" t="inlineStr">
        <is>
          <t>Y</t>
        </is>
      </c>
      <c r="E86" s="6" t="n"/>
      <c r="F86" s="6" t="n"/>
      <c r="G86" s="6" t="n"/>
      <c r="H86" s="8" t="inlineStr">
        <is>
          <t>E0</t>
        </is>
      </c>
      <c r="I86" s="8" t="inlineStr">
        <is>
          <t>N</t>
        </is>
      </c>
      <c r="J86" s="8" t="inlineStr">
        <is>
          <t>N</t>
        </is>
      </c>
      <c r="K86" s="6">
        <f>IF(H86="E0",0.20,IF(H86="E1",0.40,IF(H86="E2",0.65,IF(H86="E3",0.85,IF(H86="E4",1.00,0)))))</f>
        <v/>
      </c>
      <c r="L86" s="6">
        <f>IF(D86="N","",IF(OR(E86="",F86=""),"",IF(G86="N/A",100*((0.60*E86)+(0.40*F86))/5,IF(G86="",100*((0.60*E86)+(0.40*F86))/5,100*((0.45*E86)+(0.30*F86)+(0.25*G86))/5))))</f>
        <v/>
      </c>
      <c r="M86" s="6">
        <f>IF(D86="N","",IFERROR(VLOOKUP(A86,'P0-4_Required_Maturity'!$A$2:$I$12,9,FALSE),3))</f>
        <v/>
      </c>
      <c r="N86" s="6">
        <f>IF(OR(E86="",M86=""),"",M86-E86)</f>
        <v/>
      </c>
      <c r="O86" s="6">
        <f>IF(D86="N","N/A",IF(OR(E86="",F86="",H86=""),"INCOMPLETE",IF(AND(L86&gt;=80,H86="E0"),"REVIEW",IF(AND(L86&gt;=80,OR(I86="N",J86="N")),"CORROBORATION REVIEW","OK"))))</f>
        <v/>
      </c>
      <c r="P86" s="6" t="n"/>
    </row>
    <row r="87">
      <c r="A87" s="8" t="inlineStr">
        <is>
          <t>D07</t>
        </is>
      </c>
      <c r="B87" s="8" t="inlineStr">
        <is>
          <t>I07</t>
        </is>
      </c>
      <c r="C87" s="8" t="inlineStr">
        <is>
          <t>Evidence of Learning</t>
        </is>
      </c>
      <c r="D87" s="8" t="inlineStr">
        <is>
          <t>Y</t>
        </is>
      </c>
      <c r="E87" s="6" t="n"/>
      <c r="F87" s="6" t="n"/>
      <c r="G87" s="6" t="n"/>
      <c r="H87" s="8" t="inlineStr">
        <is>
          <t>E0</t>
        </is>
      </c>
      <c r="I87" s="8" t="inlineStr">
        <is>
          <t>N</t>
        </is>
      </c>
      <c r="J87" s="8" t="inlineStr">
        <is>
          <t>N</t>
        </is>
      </c>
      <c r="K87" s="6">
        <f>IF(H87="E0",0.20,IF(H87="E1",0.40,IF(H87="E2",0.65,IF(H87="E3",0.85,IF(H87="E4",1.00,0)))))</f>
        <v/>
      </c>
      <c r="L87" s="6">
        <f>IF(D87="N","",IF(OR(E87="",F87=""),"",IF(G87="N/A",100*((0.60*E87)+(0.40*F87))/5,IF(G87="",100*((0.60*E87)+(0.40*F87))/5,100*((0.45*E87)+(0.30*F87)+(0.25*G87))/5))))</f>
        <v/>
      </c>
      <c r="M87" s="6">
        <f>IF(D87="N","",IFERROR(VLOOKUP(A87,'P0-4_Required_Maturity'!$A$2:$I$12,9,FALSE),3))</f>
        <v/>
      </c>
      <c r="N87" s="6">
        <f>IF(OR(E87="",M87=""),"",M87-E87)</f>
        <v/>
      </c>
      <c r="O87" s="6">
        <f>IF(D87="N","N/A",IF(OR(E87="",F87="",H87=""),"INCOMPLETE",IF(AND(L87&gt;=80,H87="E0"),"REVIEW",IF(AND(L87&gt;=80,OR(I87="N",J87="N")),"CORROBORATION REVIEW","OK"))))</f>
        <v/>
      </c>
      <c r="P87" s="6" t="n"/>
    </row>
    <row r="88">
      <c r="A88" s="8" t="inlineStr">
        <is>
          <t>D07</t>
        </is>
      </c>
      <c r="B88" s="8" t="inlineStr">
        <is>
          <t>I08</t>
        </is>
      </c>
      <c r="C88" s="8" t="inlineStr">
        <is>
          <t>Capability Outcome Measurement</t>
        </is>
      </c>
      <c r="D88" s="8" t="inlineStr">
        <is>
          <t>Y</t>
        </is>
      </c>
      <c r="E88" s="6" t="n"/>
      <c r="F88" s="6" t="n"/>
      <c r="G88" s="6" t="n"/>
      <c r="H88" s="8" t="inlineStr">
        <is>
          <t>E0</t>
        </is>
      </c>
      <c r="I88" s="8" t="inlineStr">
        <is>
          <t>N</t>
        </is>
      </c>
      <c r="J88" s="8" t="inlineStr">
        <is>
          <t>N</t>
        </is>
      </c>
      <c r="K88" s="6">
        <f>IF(H88="E0",0.20,IF(H88="E1",0.40,IF(H88="E2",0.65,IF(H88="E3",0.85,IF(H88="E4",1.00,0)))))</f>
        <v/>
      </c>
      <c r="L88" s="6">
        <f>IF(D88="N","",IF(OR(E88="",F88=""),"",IF(G88="N/A",100*((0.60*E88)+(0.40*F88))/5,IF(G88="",100*((0.60*E88)+(0.40*F88))/5,100*((0.45*E88)+(0.30*F88)+(0.25*G88))/5))))</f>
        <v/>
      </c>
      <c r="M88" s="6">
        <f>IF(D88="N","",IFERROR(VLOOKUP(A88,'P0-4_Required_Maturity'!$A$2:$I$12,9,FALSE),3))</f>
        <v/>
      </c>
      <c r="N88" s="6">
        <f>IF(OR(E88="",M88=""),"",M88-E88)</f>
        <v/>
      </c>
      <c r="O88" s="6">
        <f>IF(D88="N","N/A",IF(OR(E88="",F88="",H88=""),"INCOMPLETE",IF(AND(L88&gt;=80,H88="E0"),"REVIEW",IF(AND(L88&gt;=80,OR(I88="N",J88="N")),"CORROBORATION REVIEW","OK"))))</f>
        <v/>
      </c>
      <c r="P88" s="6" t="n"/>
    </row>
    <row r="89">
      <c r="A89" s="8" t="inlineStr">
        <is>
          <t>D07</t>
        </is>
      </c>
      <c r="B89" s="8" t="inlineStr">
        <is>
          <t>I09</t>
        </is>
      </c>
      <c r="C89" s="8" t="inlineStr">
        <is>
          <t>Assessment Equity &amp; Access</t>
        </is>
      </c>
      <c r="D89" s="8" t="inlineStr">
        <is>
          <t>Y</t>
        </is>
      </c>
      <c r="E89" s="6" t="n"/>
      <c r="F89" s="6" t="n"/>
      <c r="G89" s="6" t="n"/>
      <c r="H89" s="8" t="inlineStr">
        <is>
          <t>E0</t>
        </is>
      </c>
      <c r="I89" s="8" t="inlineStr">
        <is>
          <t>N</t>
        </is>
      </c>
      <c r="J89" s="8" t="inlineStr">
        <is>
          <t>N</t>
        </is>
      </c>
      <c r="K89" s="6">
        <f>IF(H89="E0",0.20,IF(H89="E1",0.40,IF(H89="E2",0.65,IF(H89="E3",0.85,IF(H89="E4",1.00,0)))))</f>
        <v/>
      </c>
      <c r="L89" s="6">
        <f>IF(D89="N","",IF(OR(E89="",F89=""),"",IF(G89="N/A",100*((0.60*E89)+(0.40*F89))/5,IF(G89="",100*((0.60*E89)+(0.40*F89))/5,100*((0.45*E89)+(0.30*F89)+(0.25*G89))/5))))</f>
        <v/>
      </c>
      <c r="M89" s="6">
        <f>IF(D89="N","",IFERROR(VLOOKUP(A89,'P0-4_Required_Maturity'!$A$2:$I$12,9,FALSE),3))</f>
        <v/>
      </c>
      <c r="N89" s="6">
        <f>IF(OR(E89="",M89=""),"",M89-E89)</f>
        <v/>
      </c>
      <c r="O89" s="6">
        <f>IF(D89="N","N/A",IF(OR(E89="",F89="",H89=""),"INCOMPLETE",IF(AND(L89&gt;=80,H89="E0"),"REVIEW",IF(AND(L89&gt;=80,OR(I89="N",J89="N")),"CORROBORATION REVIEW","OK"))))</f>
        <v/>
      </c>
      <c r="P89" s="6" t="n"/>
    </row>
    <row r="90">
      <c r="A90" s="8" t="inlineStr">
        <is>
          <t>D07</t>
        </is>
      </c>
      <c r="B90" s="8" t="inlineStr">
        <is>
          <t>I10</t>
        </is>
      </c>
      <c r="C90" s="8" t="inlineStr">
        <is>
          <t>Assessment Governance</t>
        </is>
      </c>
      <c r="D90" s="8" t="inlineStr">
        <is>
          <t>Y</t>
        </is>
      </c>
      <c r="E90" s="6" t="n"/>
      <c r="F90" s="6" t="n"/>
      <c r="G90" s="6" t="n"/>
      <c r="H90" s="8" t="inlineStr">
        <is>
          <t>E0</t>
        </is>
      </c>
      <c r="I90" s="8" t="inlineStr">
        <is>
          <t>N</t>
        </is>
      </c>
      <c r="J90" s="8" t="inlineStr">
        <is>
          <t>N</t>
        </is>
      </c>
      <c r="K90" s="6">
        <f>IF(H90="E0",0.20,IF(H90="E1",0.40,IF(H90="E2",0.65,IF(H90="E3",0.85,IF(H90="E4",1.00,0)))))</f>
        <v/>
      </c>
      <c r="L90" s="6">
        <f>IF(D90="N","",IF(OR(E90="",F90=""),"",IF(G90="N/A",100*((0.60*E90)+(0.40*F90))/5,IF(G90="",100*((0.60*E90)+(0.40*F90))/5,100*((0.45*E90)+(0.30*F90)+(0.25*G90))/5))))</f>
        <v/>
      </c>
      <c r="M90" s="6">
        <f>IF(D90="N","",IFERROR(VLOOKUP(A90,'P0-4_Required_Maturity'!$A$2:$I$12,9,FALSE),3))</f>
        <v/>
      </c>
      <c r="N90" s="6">
        <f>IF(OR(E90="",M90=""),"",M90-E90)</f>
        <v/>
      </c>
      <c r="O90" s="6">
        <f>IF(D90="N","N/A",IF(OR(E90="",F90="",H90=""),"INCOMPLETE",IF(AND(L90&gt;=80,H90="E0"),"REVIEW",IF(AND(L90&gt;=80,OR(I90="N",J90="N")),"CORROBORATION REVIEW","OK"))))</f>
        <v/>
      </c>
      <c r="P90" s="6" t="n"/>
    </row>
    <row r="91">
      <c r="A91" s="8" t="inlineStr">
        <is>
          <t>D07</t>
        </is>
      </c>
      <c r="B91" s="8" t="inlineStr">
        <is>
          <t>I11</t>
        </is>
      </c>
      <c r="C91" s="8" t="inlineStr">
        <is>
          <t>Assessment Innovation</t>
        </is>
      </c>
      <c r="D91" s="8" t="inlineStr">
        <is>
          <t>Y</t>
        </is>
      </c>
      <c r="E91" s="6" t="n"/>
      <c r="F91" s="6" t="n"/>
      <c r="G91" s="6" t="n"/>
      <c r="H91" s="8" t="inlineStr">
        <is>
          <t>E0</t>
        </is>
      </c>
      <c r="I91" s="8" t="inlineStr">
        <is>
          <t>N</t>
        </is>
      </c>
      <c r="J91" s="8" t="inlineStr">
        <is>
          <t>N</t>
        </is>
      </c>
      <c r="K91" s="6">
        <f>IF(H91="E0",0.20,IF(H91="E1",0.40,IF(H91="E2",0.65,IF(H91="E3",0.85,IF(H91="E4",1.00,0)))))</f>
        <v/>
      </c>
      <c r="L91" s="6">
        <f>IF(D91="N","",IF(OR(E91="",F91=""),"",IF(G91="N/A",100*((0.60*E91)+(0.40*F91))/5,IF(G91="",100*((0.60*E91)+(0.40*F91))/5,100*((0.45*E91)+(0.30*F91)+(0.25*G91))/5))))</f>
        <v/>
      </c>
      <c r="M91" s="6">
        <f>IF(D91="N","",IFERROR(VLOOKUP(A91,'P0-4_Required_Maturity'!$A$2:$I$12,9,FALSE),3))</f>
        <v/>
      </c>
      <c r="N91" s="6">
        <f>IF(OR(E91="",M91=""),"",M91-E91)</f>
        <v/>
      </c>
      <c r="O91" s="6">
        <f>IF(D91="N","N/A",IF(OR(E91="",F91="",H91=""),"INCOMPLETE",IF(AND(L91&gt;=80,H91="E0"),"REVIEW",IF(AND(L91&gt;=80,OR(I91="N",J91="N")),"CORROBORATION REVIEW","OK"))))</f>
        <v/>
      </c>
      <c r="P91" s="6" t="n"/>
    </row>
    <row r="92">
      <c r="A92" s="8" t="inlineStr">
        <is>
          <t>D07</t>
        </is>
      </c>
      <c r="B92" s="8" t="inlineStr">
        <is>
          <t>I12</t>
        </is>
      </c>
      <c r="C92" s="8" t="inlineStr">
        <is>
          <t>Learning Evidence Analytics</t>
        </is>
      </c>
      <c r="D92" s="8" t="inlineStr">
        <is>
          <t>Y</t>
        </is>
      </c>
      <c r="E92" s="6" t="n"/>
      <c r="F92" s="6" t="n"/>
      <c r="G92" s="6" t="n"/>
      <c r="H92" s="8" t="inlineStr">
        <is>
          <t>E0</t>
        </is>
      </c>
      <c r="I92" s="8" t="inlineStr">
        <is>
          <t>N</t>
        </is>
      </c>
      <c r="J92" s="8" t="inlineStr">
        <is>
          <t>N</t>
        </is>
      </c>
      <c r="K92" s="6">
        <f>IF(H92="E0",0.20,IF(H92="E1",0.40,IF(H92="E2",0.65,IF(H92="E3",0.85,IF(H92="E4",1.00,0)))))</f>
        <v/>
      </c>
      <c r="L92" s="6">
        <f>IF(D92="N","",IF(OR(E92="",F92=""),"",IF(G92="N/A",100*((0.60*E92)+(0.40*F92))/5,IF(G92="",100*((0.60*E92)+(0.40*F92))/5,100*((0.45*E92)+(0.30*F92)+(0.25*G92))/5))))</f>
        <v/>
      </c>
      <c r="M92" s="6">
        <f>IF(D92="N","",IFERROR(VLOOKUP(A92,'P0-4_Required_Maturity'!$A$2:$I$12,9,FALSE),3))</f>
        <v/>
      </c>
      <c r="N92" s="6">
        <f>IF(OR(E92="",M92=""),"",M92-E92)</f>
        <v/>
      </c>
      <c r="O92" s="6">
        <f>IF(D92="N","N/A",IF(OR(E92="",F92="",H92=""),"INCOMPLETE",IF(AND(L92&gt;=80,H92="E0"),"REVIEW",IF(AND(L92&gt;=80,OR(I92="N",J92="N")),"CORROBORATION REVIEW","OK"))))</f>
        <v/>
      </c>
      <c r="P92" s="6" t="n"/>
    </row>
    <row r="93">
      <c r="A93" s="8" t="inlineStr">
        <is>
          <t>D08</t>
        </is>
      </c>
      <c r="B93" s="8" t="inlineStr">
        <is>
          <t>I01</t>
        </is>
      </c>
      <c r="C93" s="8" t="inlineStr">
        <is>
          <t>Digital Environment Readiness</t>
        </is>
      </c>
      <c r="D93" s="8" t="inlineStr">
        <is>
          <t>Y</t>
        </is>
      </c>
      <c r="E93" s="6" t="n"/>
      <c r="F93" s="6" t="n"/>
      <c r="G93" s="6" t="n"/>
      <c r="H93" s="8" t="inlineStr">
        <is>
          <t>E0</t>
        </is>
      </c>
      <c r="I93" s="8" t="inlineStr">
        <is>
          <t>N</t>
        </is>
      </c>
      <c r="J93" s="8" t="inlineStr">
        <is>
          <t>N</t>
        </is>
      </c>
      <c r="K93" s="6">
        <f>IF(H93="E0",0.20,IF(H93="E1",0.40,IF(H93="E2",0.65,IF(H93="E3",0.85,IF(H93="E4",1.00,0)))))</f>
        <v/>
      </c>
      <c r="L93" s="6">
        <f>IF(D93="N","",IF(OR(E93="",F93=""),"",IF(G93="N/A",100*((0.60*E93)+(0.40*F93))/5,IF(G93="",100*((0.60*E93)+(0.40*F93))/5,100*((0.45*E93)+(0.30*F93)+(0.25*G93))/5))))</f>
        <v/>
      </c>
      <c r="M93" s="6">
        <f>IF(D93="N","",IFERROR(VLOOKUP(A93,'P0-4_Required_Maturity'!$A$2:$I$12,9,FALSE),3))</f>
        <v/>
      </c>
      <c r="N93" s="6">
        <f>IF(OR(E93="",M93=""),"",M93-E93)</f>
        <v/>
      </c>
      <c r="O93" s="6">
        <f>IF(D93="N","N/A",IF(OR(E93="",F93="",H93=""),"INCOMPLETE",IF(AND(L93&gt;=80,H93="E0"),"REVIEW",IF(AND(L93&gt;=80,OR(I93="N",J93="N")),"CORROBORATION REVIEW","OK"))))</f>
        <v/>
      </c>
      <c r="P93" s="6" t="n"/>
    </row>
    <row r="94">
      <c r="A94" s="8" t="inlineStr">
        <is>
          <t>D08</t>
        </is>
      </c>
      <c r="B94" s="8" t="inlineStr">
        <is>
          <t>I02</t>
        </is>
      </c>
      <c r="C94" s="8" t="inlineStr">
        <is>
          <t>Institutional Data Architecture</t>
        </is>
      </c>
      <c r="D94" s="8" t="inlineStr">
        <is>
          <t>Y</t>
        </is>
      </c>
      <c r="E94" s="6" t="n"/>
      <c r="F94" s="6" t="n"/>
      <c r="G94" s="6" t="n"/>
      <c r="H94" s="8" t="inlineStr">
        <is>
          <t>E0</t>
        </is>
      </c>
      <c r="I94" s="8" t="inlineStr">
        <is>
          <t>N</t>
        </is>
      </c>
      <c r="J94" s="8" t="inlineStr">
        <is>
          <t>N</t>
        </is>
      </c>
      <c r="K94" s="6">
        <f>IF(H94="E0",0.20,IF(H94="E1",0.40,IF(H94="E2",0.65,IF(H94="E3",0.85,IF(H94="E4",1.00,0)))))</f>
        <v/>
      </c>
      <c r="L94" s="6">
        <f>IF(D94="N","",IF(OR(E94="",F94=""),"",IF(G94="N/A",100*((0.60*E94)+(0.40*F94))/5,IF(G94="",100*((0.60*E94)+(0.40*F94))/5,100*((0.45*E94)+(0.30*F94)+(0.25*G94))/5))))</f>
        <v/>
      </c>
      <c r="M94" s="6">
        <f>IF(D94="N","",IFERROR(VLOOKUP(A94,'P0-4_Required_Maturity'!$A$2:$I$12,9,FALSE),3))</f>
        <v/>
      </c>
      <c r="N94" s="6">
        <f>IF(OR(E94="",M94=""),"",M94-E94)</f>
        <v/>
      </c>
      <c r="O94" s="6">
        <f>IF(D94="N","N/A",IF(OR(E94="",F94="",H94=""),"INCOMPLETE",IF(AND(L94&gt;=80,H94="E0"),"REVIEW",IF(AND(L94&gt;=80,OR(I94="N",J94="N")),"CORROBORATION REVIEW","OK"))))</f>
        <v/>
      </c>
      <c r="P94" s="6" t="n"/>
    </row>
    <row r="95">
      <c r="A95" s="8" t="inlineStr">
        <is>
          <t>D08</t>
        </is>
      </c>
      <c r="B95" s="8" t="inlineStr">
        <is>
          <t>I03</t>
        </is>
      </c>
      <c r="C95" s="8" t="inlineStr">
        <is>
          <t>Data Quality &amp; Integrity</t>
        </is>
      </c>
      <c r="D95" s="8" t="inlineStr">
        <is>
          <t>Y</t>
        </is>
      </c>
      <c r="E95" s="6" t="n"/>
      <c r="F95" s="6" t="n"/>
      <c r="G95" s="6" t="n"/>
      <c r="H95" s="8" t="inlineStr">
        <is>
          <t>E0</t>
        </is>
      </c>
      <c r="I95" s="8" t="inlineStr">
        <is>
          <t>N</t>
        </is>
      </c>
      <c r="J95" s="8" t="inlineStr">
        <is>
          <t>N</t>
        </is>
      </c>
      <c r="K95" s="6">
        <f>IF(H95="E0",0.20,IF(H95="E1",0.40,IF(H95="E2",0.65,IF(H95="E3",0.85,IF(H95="E4",1.00,0)))))</f>
        <v/>
      </c>
      <c r="L95" s="6">
        <f>IF(D95="N","",IF(OR(E95="",F95=""),"",IF(G95="N/A",100*((0.60*E95)+(0.40*F95))/5,IF(G95="",100*((0.60*E95)+(0.40*F95))/5,100*((0.45*E95)+(0.30*F95)+(0.25*G95))/5))))</f>
        <v/>
      </c>
      <c r="M95" s="6">
        <f>IF(D95="N","",IFERROR(VLOOKUP(A95,'P0-4_Required_Maturity'!$A$2:$I$12,9,FALSE),3))</f>
        <v/>
      </c>
      <c r="N95" s="6">
        <f>IF(OR(E95="",M95=""),"",M95-E95)</f>
        <v/>
      </c>
      <c r="O95" s="6">
        <f>IF(D95="N","N/A",IF(OR(E95="",F95="",H95=""),"INCOMPLETE",IF(AND(L95&gt;=80,H95="E0"),"REVIEW",IF(AND(L95&gt;=80,OR(I95="N",J95="N")),"CORROBORATION REVIEW","OK"))))</f>
        <v/>
      </c>
      <c r="P95" s="6" t="n"/>
    </row>
    <row r="96">
      <c r="A96" s="8" t="inlineStr">
        <is>
          <t>D08</t>
        </is>
      </c>
      <c r="B96" s="8" t="inlineStr">
        <is>
          <t>I04</t>
        </is>
      </c>
      <c r="C96" s="8" t="inlineStr">
        <is>
          <t>System Interoperability</t>
        </is>
      </c>
      <c r="D96" s="8" t="inlineStr">
        <is>
          <t>Y</t>
        </is>
      </c>
      <c r="E96" s="6" t="n"/>
      <c r="F96" s="6" t="n"/>
      <c r="G96" s="6" t="n"/>
      <c r="H96" s="8" t="inlineStr">
        <is>
          <t>E0</t>
        </is>
      </c>
      <c r="I96" s="8" t="inlineStr">
        <is>
          <t>N</t>
        </is>
      </c>
      <c r="J96" s="8" t="inlineStr">
        <is>
          <t>N</t>
        </is>
      </c>
      <c r="K96" s="6">
        <f>IF(H96="E0",0.20,IF(H96="E1",0.40,IF(H96="E2",0.65,IF(H96="E3",0.85,IF(H96="E4",1.00,0)))))</f>
        <v/>
      </c>
      <c r="L96" s="6">
        <f>IF(D96="N","",IF(OR(E96="",F96=""),"",IF(G96="N/A",100*((0.60*E96)+(0.40*F96))/5,IF(G96="",100*((0.60*E96)+(0.40*F96))/5,100*((0.45*E96)+(0.30*F96)+(0.25*G96))/5))))</f>
        <v/>
      </c>
      <c r="M96" s="6">
        <f>IF(D96="N","",IFERROR(VLOOKUP(A96,'P0-4_Required_Maturity'!$A$2:$I$12,9,FALSE),3))</f>
        <v/>
      </c>
      <c r="N96" s="6">
        <f>IF(OR(E96="",M96=""),"",M96-E96)</f>
        <v/>
      </c>
      <c r="O96" s="6">
        <f>IF(D96="N","N/A",IF(OR(E96="",F96="",H96=""),"INCOMPLETE",IF(AND(L96&gt;=80,H96="E0"),"REVIEW",IF(AND(L96&gt;=80,OR(I96="N",J96="N")),"CORROBORATION REVIEW","OK"))))</f>
        <v/>
      </c>
      <c r="P96" s="6" t="n"/>
    </row>
    <row r="97">
      <c r="A97" s="8" t="inlineStr">
        <is>
          <t>D08</t>
        </is>
      </c>
      <c r="B97" s="8" t="inlineStr">
        <is>
          <t>I05</t>
        </is>
      </c>
      <c r="C97" s="8" t="inlineStr">
        <is>
          <t>Decision Intelligence</t>
        </is>
      </c>
      <c r="D97" s="8" t="inlineStr">
        <is>
          <t>Y</t>
        </is>
      </c>
      <c r="E97" s="6" t="n"/>
      <c r="F97" s="6" t="n"/>
      <c r="G97" s="6" t="n"/>
      <c r="H97" s="8" t="inlineStr">
        <is>
          <t>E0</t>
        </is>
      </c>
      <c r="I97" s="8" t="inlineStr">
        <is>
          <t>N</t>
        </is>
      </c>
      <c r="J97" s="8" t="inlineStr">
        <is>
          <t>N</t>
        </is>
      </c>
      <c r="K97" s="6">
        <f>IF(H97="E0",0.20,IF(H97="E1",0.40,IF(H97="E2",0.65,IF(H97="E3",0.85,IF(H97="E4",1.00,0)))))</f>
        <v/>
      </c>
      <c r="L97" s="6">
        <f>IF(D97="N","",IF(OR(E97="",F97=""),"",IF(G97="N/A",100*((0.60*E97)+(0.40*F97))/5,IF(G97="",100*((0.60*E97)+(0.40*F97))/5,100*((0.45*E97)+(0.30*F97)+(0.25*G97))/5))))</f>
        <v/>
      </c>
      <c r="M97" s="6">
        <f>IF(D97="N","",IFERROR(VLOOKUP(A97,'P0-4_Required_Maturity'!$A$2:$I$12,9,FALSE),3))</f>
        <v/>
      </c>
      <c r="N97" s="6">
        <f>IF(OR(E97="",M97=""),"",M97-E97)</f>
        <v/>
      </c>
      <c r="O97" s="6">
        <f>IF(D97="N","N/A",IF(OR(E97="",F97="",H97=""),"INCOMPLETE",IF(AND(L97&gt;=80,H97="E0"),"REVIEW",IF(AND(L97&gt;=80,OR(I97="N",J97="N")),"CORROBORATION REVIEW","OK"))))</f>
        <v/>
      </c>
      <c r="P97" s="6" t="n"/>
    </row>
    <row r="98">
      <c r="A98" s="8" t="inlineStr">
        <is>
          <t>D08</t>
        </is>
      </c>
      <c r="B98" s="8" t="inlineStr">
        <is>
          <t>I06</t>
        </is>
      </c>
      <c r="C98" s="8" t="inlineStr">
        <is>
          <t>AI Enablement Readiness</t>
        </is>
      </c>
      <c r="D98" s="8" t="inlineStr">
        <is>
          <t>Y</t>
        </is>
      </c>
      <c r="E98" s="6" t="n"/>
      <c r="F98" s="6" t="n"/>
      <c r="G98" s="6" t="n"/>
      <c r="H98" s="8" t="inlineStr">
        <is>
          <t>E0</t>
        </is>
      </c>
      <c r="I98" s="8" t="inlineStr">
        <is>
          <t>N</t>
        </is>
      </c>
      <c r="J98" s="8" t="inlineStr">
        <is>
          <t>N</t>
        </is>
      </c>
      <c r="K98" s="6">
        <f>IF(H98="E0",0.20,IF(H98="E1",0.40,IF(H98="E2",0.65,IF(H98="E3",0.85,IF(H98="E4",1.00,0)))))</f>
        <v/>
      </c>
      <c r="L98" s="6">
        <f>IF(D98="N","",IF(OR(E98="",F98=""),"",IF(G98="N/A",100*((0.60*E98)+(0.40*F98))/5,IF(G98="",100*((0.60*E98)+(0.40*F98))/5,100*((0.45*E98)+(0.30*F98)+(0.25*G98))/5))))</f>
        <v/>
      </c>
      <c r="M98" s="6">
        <f>IF(D98="N","",IFERROR(VLOOKUP(A98,'P0-4_Required_Maturity'!$A$2:$I$12,9,FALSE),3))</f>
        <v/>
      </c>
      <c r="N98" s="6">
        <f>IF(OR(E98="",M98=""),"",M98-E98)</f>
        <v/>
      </c>
      <c r="O98" s="6">
        <f>IF(D98="N","N/A",IF(OR(E98="",F98="",H98=""),"INCOMPLETE",IF(AND(L98&gt;=80,H98="E0"),"REVIEW",IF(AND(L98&gt;=80,OR(I98="N",J98="N")),"CORROBORATION REVIEW","OK"))))</f>
        <v/>
      </c>
      <c r="P98" s="6" t="n"/>
    </row>
    <row r="99">
      <c r="A99" s="8" t="inlineStr">
        <is>
          <t>D08</t>
        </is>
      </c>
      <c r="B99" s="8" t="inlineStr">
        <is>
          <t>I07</t>
        </is>
      </c>
      <c r="C99" s="8" t="inlineStr">
        <is>
          <t>Cyber &amp; Information Security</t>
        </is>
      </c>
      <c r="D99" s="8" t="inlineStr">
        <is>
          <t>Y</t>
        </is>
      </c>
      <c r="E99" s="6" t="n"/>
      <c r="F99" s="6" t="n"/>
      <c r="G99" s="6" t="n"/>
      <c r="H99" s="8" t="inlineStr">
        <is>
          <t>E0</t>
        </is>
      </c>
      <c r="I99" s="8" t="inlineStr">
        <is>
          <t>N</t>
        </is>
      </c>
      <c r="J99" s="8" t="inlineStr">
        <is>
          <t>N</t>
        </is>
      </c>
      <c r="K99" s="6">
        <f>IF(H99="E0",0.20,IF(H99="E1",0.40,IF(H99="E2",0.65,IF(H99="E3",0.85,IF(H99="E4",1.00,0)))))</f>
        <v/>
      </c>
      <c r="L99" s="6">
        <f>IF(D99="N","",IF(OR(E99="",F99=""),"",IF(G99="N/A",100*((0.60*E99)+(0.40*F99))/5,IF(G99="",100*((0.60*E99)+(0.40*F99))/5,100*((0.45*E99)+(0.30*F99)+(0.25*G99))/5))))</f>
        <v/>
      </c>
      <c r="M99" s="6">
        <f>IF(D99="N","",IFERROR(VLOOKUP(A99,'P0-4_Required_Maturity'!$A$2:$I$12,9,FALSE),3))</f>
        <v/>
      </c>
      <c r="N99" s="6">
        <f>IF(OR(E99="",M99=""),"",M99-E99)</f>
        <v/>
      </c>
      <c r="O99" s="6">
        <f>IF(D99="N","N/A",IF(OR(E99="",F99="",H99=""),"INCOMPLETE",IF(AND(L99&gt;=80,H99="E0"),"REVIEW",IF(AND(L99&gt;=80,OR(I99="N",J99="N")),"CORROBORATION REVIEW","OK"))))</f>
        <v/>
      </c>
      <c r="P99" s="6" t="n"/>
    </row>
    <row r="100">
      <c r="A100" s="8" t="inlineStr">
        <is>
          <t>D08</t>
        </is>
      </c>
      <c r="B100" s="8" t="inlineStr">
        <is>
          <t>I08</t>
        </is>
      </c>
      <c r="C100" s="8" t="inlineStr">
        <is>
          <t>Data Privacy Readiness</t>
        </is>
      </c>
      <c r="D100" s="8" t="inlineStr">
        <is>
          <t>Y</t>
        </is>
      </c>
      <c r="E100" s="6" t="n"/>
      <c r="F100" s="6" t="n"/>
      <c r="G100" s="6" t="n"/>
      <c r="H100" s="8" t="inlineStr">
        <is>
          <t>E0</t>
        </is>
      </c>
      <c r="I100" s="8" t="inlineStr">
        <is>
          <t>N</t>
        </is>
      </c>
      <c r="J100" s="8" t="inlineStr">
        <is>
          <t>N</t>
        </is>
      </c>
      <c r="K100" s="6">
        <f>IF(H100="E0",0.20,IF(H100="E1",0.40,IF(H100="E2",0.65,IF(H100="E3",0.85,IF(H100="E4",1.00,0)))))</f>
        <v/>
      </c>
      <c r="L100" s="6">
        <f>IF(D100="N","",IF(OR(E100="",F100=""),"",IF(G100="N/A",100*((0.60*E100)+(0.40*F100))/5,IF(G100="",100*((0.60*E100)+(0.40*F100))/5,100*((0.45*E100)+(0.30*F100)+(0.25*G100))/5))))</f>
        <v/>
      </c>
      <c r="M100" s="6">
        <f>IF(D100="N","",IFERROR(VLOOKUP(A100,'P0-4_Required_Maturity'!$A$2:$I$12,9,FALSE),3))</f>
        <v/>
      </c>
      <c r="N100" s="6">
        <f>IF(OR(E100="",M100=""),"",M100-E100)</f>
        <v/>
      </c>
      <c r="O100" s="6">
        <f>IF(D100="N","N/A",IF(OR(E100="",F100="",H100=""),"INCOMPLETE",IF(AND(L100&gt;=80,H100="E0"),"REVIEW",IF(AND(L100&gt;=80,OR(I100="N",J100="N")),"CORROBORATION REVIEW","OK"))))</f>
        <v/>
      </c>
      <c r="P100" s="6" t="n"/>
    </row>
    <row r="101">
      <c r="A101" s="8" t="inlineStr">
        <is>
          <t>D08</t>
        </is>
      </c>
      <c r="B101" s="8" t="inlineStr">
        <is>
          <t>I09</t>
        </is>
      </c>
      <c r="C101" s="8" t="inlineStr">
        <is>
          <t>Digital Equity &amp; Access</t>
        </is>
      </c>
      <c r="D101" s="8" t="inlineStr">
        <is>
          <t>Y</t>
        </is>
      </c>
      <c r="E101" s="6" t="n"/>
      <c r="F101" s="6" t="n"/>
      <c r="G101" s="6" t="n"/>
      <c r="H101" s="8" t="inlineStr">
        <is>
          <t>E0</t>
        </is>
      </c>
      <c r="I101" s="8" t="inlineStr">
        <is>
          <t>N</t>
        </is>
      </c>
      <c r="J101" s="8" t="inlineStr">
        <is>
          <t>N</t>
        </is>
      </c>
      <c r="K101" s="6">
        <f>IF(H101="E0",0.20,IF(H101="E1",0.40,IF(H101="E2",0.65,IF(H101="E3",0.85,IF(H101="E4",1.00,0)))))</f>
        <v/>
      </c>
      <c r="L101" s="6">
        <f>IF(D101="N","",IF(OR(E101="",F101=""),"",IF(G101="N/A",100*((0.60*E101)+(0.40*F101))/5,IF(G101="",100*((0.60*E101)+(0.40*F101))/5,100*((0.45*E101)+(0.30*F101)+(0.25*G101))/5))))</f>
        <v/>
      </c>
      <c r="M101" s="6">
        <f>IF(D101="N","",IFERROR(VLOOKUP(A101,'P0-4_Required_Maturity'!$A$2:$I$12,9,FALSE),3))</f>
        <v/>
      </c>
      <c r="N101" s="6">
        <f>IF(OR(E101="",M101=""),"",M101-E101)</f>
        <v/>
      </c>
      <c r="O101" s="6">
        <f>IF(D101="N","N/A",IF(OR(E101="",F101="",H101=""),"INCOMPLETE",IF(AND(L101&gt;=80,H101="E0"),"REVIEW",IF(AND(L101&gt;=80,OR(I101="N",J101="N")),"CORROBORATION REVIEW","OK"))))</f>
        <v/>
      </c>
      <c r="P101" s="6" t="n"/>
    </row>
    <row r="102">
      <c r="A102" s="8" t="inlineStr">
        <is>
          <t>D08</t>
        </is>
      </c>
      <c r="B102" s="8" t="inlineStr">
        <is>
          <t>I10</t>
        </is>
      </c>
      <c r="C102" s="8" t="inlineStr">
        <is>
          <t>Technology Decision Governance</t>
        </is>
      </c>
      <c r="D102" s="8" t="inlineStr">
        <is>
          <t>Y</t>
        </is>
      </c>
      <c r="E102" s="6" t="n"/>
      <c r="F102" s="6" t="n"/>
      <c r="G102" s="6" t="n"/>
      <c r="H102" s="8" t="inlineStr">
        <is>
          <t>E0</t>
        </is>
      </c>
      <c r="I102" s="8" t="inlineStr">
        <is>
          <t>N</t>
        </is>
      </c>
      <c r="J102" s="8" t="inlineStr">
        <is>
          <t>N</t>
        </is>
      </c>
      <c r="K102" s="6">
        <f>IF(H102="E0",0.20,IF(H102="E1",0.40,IF(H102="E2",0.65,IF(H102="E3",0.85,IF(H102="E4",1.00,0)))))</f>
        <v/>
      </c>
      <c r="L102" s="6">
        <f>IF(D102="N","",IF(OR(E102="",F102=""),"",IF(G102="N/A",100*((0.60*E102)+(0.40*F102))/5,IF(G102="",100*((0.60*E102)+(0.40*F102))/5,100*((0.45*E102)+(0.30*F102)+(0.25*G102))/5))))</f>
        <v/>
      </c>
      <c r="M102" s="6">
        <f>IF(D102="N","",IFERROR(VLOOKUP(A102,'P0-4_Required_Maturity'!$A$2:$I$12,9,FALSE),3))</f>
        <v/>
      </c>
      <c r="N102" s="6">
        <f>IF(OR(E102="",M102=""),"",M102-E102)</f>
        <v/>
      </c>
      <c r="O102" s="6">
        <f>IF(D102="N","N/A",IF(OR(E102="",F102="",H102=""),"INCOMPLETE",IF(AND(L102&gt;=80,H102="E0"),"REVIEW",IF(AND(L102&gt;=80,OR(I102="N",J102="N")),"CORROBORATION REVIEW","OK"))))</f>
        <v/>
      </c>
      <c r="P102" s="6" t="n"/>
    </row>
    <row r="103">
      <c r="A103" s="8" t="inlineStr">
        <is>
          <t>D08</t>
        </is>
      </c>
      <c r="B103" s="8" t="inlineStr">
        <is>
          <t>I11</t>
        </is>
      </c>
      <c r="C103" s="8" t="inlineStr">
        <is>
          <t>Digital Process Maturity</t>
        </is>
      </c>
      <c r="D103" s="8" t="inlineStr">
        <is>
          <t>Y</t>
        </is>
      </c>
      <c r="E103" s="6" t="n"/>
      <c r="F103" s="6" t="n"/>
      <c r="G103" s="6" t="n"/>
      <c r="H103" s="8" t="inlineStr">
        <is>
          <t>E0</t>
        </is>
      </c>
      <c r="I103" s="8" t="inlineStr">
        <is>
          <t>N</t>
        </is>
      </c>
      <c r="J103" s="8" t="inlineStr">
        <is>
          <t>N</t>
        </is>
      </c>
      <c r="K103" s="6">
        <f>IF(H103="E0",0.20,IF(H103="E1",0.40,IF(H103="E2",0.65,IF(H103="E3",0.85,IF(H103="E4",1.00,0)))))</f>
        <v/>
      </c>
      <c r="L103" s="6">
        <f>IF(D103="N","",IF(OR(E103="",F103=""),"",IF(G103="N/A",100*((0.60*E103)+(0.40*F103))/5,IF(G103="",100*((0.60*E103)+(0.40*F103))/5,100*((0.45*E103)+(0.30*F103)+(0.25*G103))/5))))</f>
        <v/>
      </c>
      <c r="M103" s="6">
        <f>IF(D103="N","",IFERROR(VLOOKUP(A103,'P0-4_Required_Maturity'!$A$2:$I$12,9,FALSE),3))</f>
        <v/>
      </c>
      <c r="N103" s="6">
        <f>IF(OR(E103="",M103=""),"",M103-E103)</f>
        <v/>
      </c>
      <c r="O103" s="6">
        <f>IF(D103="N","N/A",IF(OR(E103="",F103="",H103=""),"INCOMPLETE",IF(AND(L103&gt;=80,H103="E0"),"REVIEW",IF(AND(L103&gt;=80,OR(I103="N",J103="N")),"CORROBORATION REVIEW","OK"))))</f>
        <v/>
      </c>
      <c r="P103" s="6" t="n"/>
    </row>
    <row r="104">
      <c r="A104" s="8" t="inlineStr">
        <is>
          <t>D08</t>
        </is>
      </c>
      <c r="B104" s="8" t="inlineStr">
        <is>
          <t>I12</t>
        </is>
      </c>
      <c r="C104" s="8" t="inlineStr">
        <is>
          <t>Institutional Intelligence Capability</t>
        </is>
      </c>
      <c r="D104" s="8" t="inlineStr">
        <is>
          <t>Y</t>
        </is>
      </c>
      <c r="E104" s="6" t="n"/>
      <c r="F104" s="6" t="n"/>
      <c r="G104" s="6" t="n"/>
      <c r="H104" s="8" t="inlineStr">
        <is>
          <t>E0</t>
        </is>
      </c>
      <c r="I104" s="8" t="inlineStr">
        <is>
          <t>N</t>
        </is>
      </c>
      <c r="J104" s="8" t="inlineStr">
        <is>
          <t>N</t>
        </is>
      </c>
      <c r="K104" s="6">
        <f>IF(H104="E0",0.20,IF(H104="E1",0.40,IF(H104="E2",0.65,IF(H104="E3",0.85,IF(H104="E4",1.00,0)))))</f>
        <v/>
      </c>
      <c r="L104" s="6">
        <f>IF(D104="N","",IF(OR(E104="",F104=""),"",IF(G104="N/A",100*((0.60*E104)+(0.40*F104))/5,IF(G104="",100*((0.60*E104)+(0.40*F104))/5,100*((0.45*E104)+(0.30*F104)+(0.25*G104))/5))))</f>
        <v/>
      </c>
      <c r="M104" s="6">
        <f>IF(D104="N","",IFERROR(VLOOKUP(A104,'P0-4_Required_Maturity'!$A$2:$I$12,9,FALSE),3))</f>
        <v/>
      </c>
      <c r="N104" s="6">
        <f>IF(OR(E104="",M104=""),"",M104-E104)</f>
        <v/>
      </c>
      <c r="O104" s="6">
        <f>IF(D104="N","N/A",IF(OR(E104="",F104="",H104=""),"INCOMPLETE",IF(AND(L104&gt;=80,H104="E0"),"REVIEW",IF(AND(L104&gt;=80,OR(I104="N",J104="N")),"CORROBORATION REVIEW","OK"))))</f>
        <v/>
      </c>
      <c r="P104" s="6" t="n"/>
    </row>
    <row r="105">
      <c r="A105" s="8" t="inlineStr">
        <is>
          <t>D09</t>
        </is>
      </c>
      <c r="B105" s="8" t="inlineStr">
        <is>
          <t>I01</t>
        </is>
      </c>
      <c r="C105" s="8" t="inlineStr">
        <is>
          <t>Employer Demand Sensing</t>
        </is>
      </c>
      <c r="D105" s="8" t="inlineStr">
        <is>
          <t>Y</t>
        </is>
      </c>
      <c r="E105" s="6" t="n"/>
      <c r="F105" s="6" t="n"/>
      <c r="G105" s="6" t="n"/>
      <c r="H105" s="8" t="inlineStr">
        <is>
          <t>E0</t>
        </is>
      </c>
      <c r="I105" s="8" t="inlineStr">
        <is>
          <t>N</t>
        </is>
      </c>
      <c r="J105" s="8" t="inlineStr">
        <is>
          <t>N</t>
        </is>
      </c>
      <c r="K105" s="6">
        <f>IF(H105="E0",0.20,IF(H105="E1",0.40,IF(H105="E2",0.65,IF(H105="E3",0.85,IF(H105="E4",1.00,0)))))</f>
        <v/>
      </c>
      <c r="L105" s="6">
        <f>IF(D105="N","",IF(OR(E105="",F105=""),"",IF(G105="N/A",100*((0.60*E105)+(0.40*F105))/5,IF(G105="",100*((0.60*E105)+(0.40*F105))/5,100*((0.45*E105)+(0.30*F105)+(0.25*G105))/5))))</f>
        <v/>
      </c>
      <c r="M105" s="6">
        <f>IF(D105="N","",IFERROR(VLOOKUP(A105,'P0-4_Required_Maturity'!$A$2:$I$12,9,FALSE),3))</f>
        <v/>
      </c>
      <c r="N105" s="6">
        <f>IF(OR(E105="",M105=""),"",M105-E105)</f>
        <v/>
      </c>
      <c r="O105" s="6">
        <f>IF(D105="N","N/A",IF(OR(E105="",F105="",H105=""),"INCOMPLETE",IF(AND(L105&gt;=80,H105="E0"),"REVIEW",IF(AND(L105&gt;=80,OR(I105="N",J105="N")),"CORROBORATION REVIEW","OK"))))</f>
        <v/>
      </c>
      <c r="P105" s="6" t="n"/>
    </row>
    <row r="106">
      <c r="A106" s="8" t="inlineStr">
        <is>
          <t>D09</t>
        </is>
      </c>
      <c r="B106" s="8" t="inlineStr">
        <is>
          <t>I02</t>
        </is>
      </c>
      <c r="C106" s="8" t="inlineStr">
        <is>
          <t>Employability Capability Architecture</t>
        </is>
      </c>
      <c r="D106" s="8" t="inlineStr">
        <is>
          <t>Y</t>
        </is>
      </c>
      <c r="E106" s="6" t="n"/>
      <c r="F106" s="6" t="n"/>
      <c r="G106" s="6" t="n"/>
      <c r="H106" s="8" t="inlineStr">
        <is>
          <t>E0</t>
        </is>
      </c>
      <c r="I106" s="8" t="inlineStr">
        <is>
          <t>N</t>
        </is>
      </c>
      <c r="J106" s="8" t="inlineStr">
        <is>
          <t>N</t>
        </is>
      </c>
      <c r="K106" s="6">
        <f>IF(H106="E0",0.20,IF(H106="E1",0.40,IF(H106="E2",0.65,IF(H106="E3",0.85,IF(H106="E4",1.00,0)))))</f>
        <v/>
      </c>
      <c r="L106" s="6">
        <f>IF(D106="N","",IF(OR(E106="",F106=""),"",IF(G106="N/A",100*((0.60*E106)+(0.40*F106))/5,IF(G106="",100*((0.60*E106)+(0.40*F106))/5,100*((0.45*E106)+(0.30*F106)+(0.25*G106))/5))))</f>
        <v/>
      </c>
      <c r="M106" s="6">
        <f>IF(D106="N","",IFERROR(VLOOKUP(A106,'P0-4_Required_Maturity'!$A$2:$I$12,9,FALSE),3))</f>
        <v/>
      </c>
      <c r="N106" s="6">
        <f>IF(OR(E106="",M106=""),"",M106-E106)</f>
        <v/>
      </c>
      <c r="O106" s="6">
        <f>IF(D106="N","N/A",IF(OR(E106="",F106="",H106=""),"INCOMPLETE",IF(AND(L106&gt;=80,H106="E0"),"REVIEW",IF(AND(L106&gt;=80,OR(I106="N",J106="N")),"CORROBORATION REVIEW","OK"))))</f>
        <v/>
      </c>
      <c r="P106" s="6" t="n"/>
    </row>
    <row r="107">
      <c r="A107" s="8" t="inlineStr">
        <is>
          <t>D09</t>
        </is>
      </c>
      <c r="B107" s="8" t="inlineStr">
        <is>
          <t>I03</t>
        </is>
      </c>
      <c r="C107" s="8" t="inlineStr">
        <is>
          <t>Industry-Validated Curriculum</t>
        </is>
      </c>
      <c r="D107" s="8" t="inlineStr">
        <is>
          <t>Y</t>
        </is>
      </c>
      <c r="E107" s="6" t="n"/>
      <c r="F107" s="6" t="n"/>
      <c r="G107" s="6" t="n"/>
      <c r="H107" s="8" t="inlineStr">
        <is>
          <t>E0</t>
        </is>
      </c>
      <c r="I107" s="8" t="inlineStr">
        <is>
          <t>N</t>
        </is>
      </c>
      <c r="J107" s="8" t="inlineStr">
        <is>
          <t>N</t>
        </is>
      </c>
      <c r="K107" s="6">
        <f>IF(H107="E0",0.20,IF(H107="E1",0.40,IF(H107="E2",0.65,IF(H107="E3",0.85,IF(H107="E4",1.00,0)))))</f>
        <v/>
      </c>
      <c r="L107" s="6">
        <f>IF(D107="N","",IF(OR(E107="",F107=""),"",IF(G107="N/A",100*((0.60*E107)+(0.40*F107))/5,IF(G107="",100*((0.60*E107)+(0.40*F107))/5,100*((0.45*E107)+(0.30*F107)+(0.25*G107))/5))))</f>
        <v/>
      </c>
      <c r="M107" s="6">
        <f>IF(D107="N","",IFERROR(VLOOKUP(A107,'P0-4_Required_Maturity'!$A$2:$I$12,9,FALSE),3))</f>
        <v/>
      </c>
      <c r="N107" s="6">
        <f>IF(OR(E107="",M107=""),"",M107-E107)</f>
        <v/>
      </c>
      <c r="O107" s="6">
        <f>IF(D107="N","N/A",IF(OR(E107="",F107="",H107=""),"INCOMPLETE",IF(AND(L107&gt;=80,H107="E0"),"REVIEW",IF(AND(L107&gt;=80,OR(I107="N",J107="N")),"CORROBORATION REVIEW","OK"))))</f>
        <v/>
      </c>
      <c r="P107" s="6" t="n"/>
    </row>
    <row r="108">
      <c r="A108" s="8" t="inlineStr">
        <is>
          <t>D09</t>
        </is>
      </c>
      <c r="B108" s="8" t="inlineStr">
        <is>
          <t>I04</t>
        </is>
      </c>
      <c r="C108" s="8" t="inlineStr">
        <is>
          <t>Practice-Based Learning</t>
        </is>
      </c>
      <c r="D108" s="8" t="inlineStr">
        <is>
          <t>Y</t>
        </is>
      </c>
      <c r="E108" s="6" t="n"/>
      <c r="F108" s="6" t="n"/>
      <c r="G108" s="6" t="n"/>
      <c r="H108" s="8" t="inlineStr">
        <is>
          <t>E0</t>
        </is>
      </c>
      <c r="I108" s="8" t="inlineStr">
        <is>
          <t>N</t>
        </is>
      </c>
      <c r="J108" s="8" t="inlineStr">
        <is>
          <t>N</t>
        </is>
      </c>
      <c r="K108" s="6">
        <f>IF(H108="E0",0.20,IF(H108="E1",0.40,IF(H108="E2",0.65,IF(H108="E3",0.85,IF(H108="E4",1.00,0)))))</f>
        <v/>
      </c>
      <c r="L108" s="6">
        <f>IF(D108="N","",IF(OR(E108="",F108=""),"",IF(G108="N/A",100*((0.60*E108)+(0.40*F108))/5,IF(G108="",100*((0.60*E108)+(0.40*F108))/5,100*((0.45*E108)+(0.30*F108)+(0.25*G108))/5))))</f>
        <v/>
      </c>
      <c r="M108" s="6">
        <f>IF(D108="N","",IFERROR(VLOOKUP(A108,'P0-4_Required_Maturity'!$A$2:$I$12,9,FALSE),3))</f>
        <v/>
      </c>
      <c r="N108" s="6">
        <f>IF(OR(E108="",M108=""),"",M108-E108)</f>
        <v/>
      </c>
      <c r="O108" s="6">
        <f>IF(D108="N","N/A",IF(OR(E108="",F108="",H108=""),"INCOMPLETE",IF(AND(L108&gt;=80,H108="E0"),"REVIEW",IF(AND(L108&gt;=80,OR(I108="N",J108="N")),"CORROBORATION REVIEW","OK"))))</f>
        <v/>
      </c>
      <c r="P108" s="6" t="n"/>
    </row>
    <row r="109">
      <c r="A109" s="8" t="inlineStr">
        <is>
          <t>D09</t>
        </is>
      </c>
      <c r="B109" s="8" t="inlineStr">
        <is>
          <t>I05</t>
        </is>
      </c>
      <c r="C109" s="8" t="inlineStr">
        <is>
          <t>Recruiter Confidence</t>
        </is>
      </c>
      <c r="D109" s="8" t="inlineStr">
        <is>
          <t>Y</t>
        </is>
      </c>
      <c r="E109" s="6" t="n"/>
      <c r="F109" s="6" t="n"/>
      <c r="G109" s="6" t="n"/>
      <c r="H109" s="8" t="inlineStr">
        <is>
          <t>E0</t>
        </is>
      </c>
      <c r="I109" s="8" t="inlineStr">
        <is>
          <t>N</t>
        </is>
      </c>
      <c r="J109" s="8" t="inlineStr">
        <is>
          <t>N</t>
        </is>
      </c>
      <c r="K109" s="6">
        <f>IF(H109="E0",0.20,IF(H109="E1",0.40,IF(H109="E2",0.65,IF(H109="E3",0.85,IF(H109="E4",1.00,0)))))</f>
        <v/>
      </c>
      <c r="L109" s="6">
        <f>IF(D109="N","",IF(OR(E109="",F109=""),"",IF(G109="N/A",100*((0.60*E109)+(0.40*F109))/5,IF(G109="",100*((0.60*E109)+(0.40*F109))/5,100*((0.45*E109)+(0.30*F109)+(0.25*G109))/5))))</f>
        <v/>
      </c>
      <c r="M109" s="6">
        <f>IF(D109="N","",IFERROR(VLOOKUP(A109,'P0-4_Required_Maturity'!$A$2:$I$12,9,FALSE),3))</f>
        <v/>
      </c>
      <c r="N109" s="6">
        <f>IF(OR(E109="",M109=""),"",M109-E109)</f>
        <v/>
      </c>
      <c r="O109" s="6">
        <f>IF(D109="N","N/A",IF(OR(E109="",F109="",H109=""),"INCOMPLETE",IF(AND(L109&gt;=80,H109="E0"),"REVIEW",IF(AND(L109&gt;=80,OR(I109="N",J109="N")),"CORROBORATION REVIEW","OK"))))</f>
        <v/>
      </c>
      <c r="P109" s="6" t="n"/>
    </row>
    <row r="110">
      <c r="A110" s="8" t="inlineStr">
        <is>
          <t>D09</t>
        </is>
      </c>
      <c r="B110" s="8" t="inlineStr">
        <is>
          <t>I06</t>
        </is>
      </c>
      <c r="C110" s="8" t="inlineStr">
        <is>
          <t>Placement Outcome Quality</t>
        </is>
      </c>
      <c r="D110" s="8" t="inlineStr">
        <is>
          <t>Y</t>
        </is>
      </c>
      <c r="E110" s="6" t="n"/>
      <c r="F110" s="6" t="n"/>
      <c r="G110" s="6" t="n"/>
      <c r="H110" s="8" t="inlineStr">
        <is>
          <t>E0</t>
        </is>
      </c>
      <c r="I110" s="8" t="inlineStr">
        <is>
          <t>N</t>
        </is>
      </c>
      <c r="J110" s="8" t="inlineStr">
        <is>
          <t>N</t>
        </is>
      </c>
      <c r="K110" s="6">
        <f>IF(H110="E0",0.20,IF(H110="E1",0.40,IF(H110="E2",0.65,IF(H110="E3",0.85,IF(H110="E4",1.00,0)))))</f>
        <v/>
      </c>
      <c r="L110" s="6">
        <f>IF(D110="N","",IF(OR(E110="",F110=""),"",IF(G110="N/A",100*((0.60*E110)+(0.40*F110))/5,IF(G110="",100*((0.60*E110)+(0.40*F110))/5,100*((0.45*E110)+(0.30*F110)+(0.25*G110))/5))))</f>
        <v/>
      </c>
      <c r="M110" s="6">
        <f>IF(D110="N","",IFERROR(VLOOKUP(A110,'P0-4_Required_Maturity'!$A$2:$I$12,9,FALSE),3))</f>
        <v/>
      </c>
      <c r="N110" s="6">
        <f>IF(OR(E110="",M110=""),"",M110-E110)</f>
        <v/>
      </c>
      <c r="O110" s="6">
        <f>IF(D110="N","N/A",IF(OR(E110="",F110="",H110=""),"INCOMPLETE",IF(AND(L110&gt;=80,H110="E0"),"REVIEW",IF(AND(L110&gt;=80,OR(I110="N",J110="N")),"CORROBORATION REVIEW","OK"))))</f>
        <v/>
      </c>
      <c r="P110" s="6" t="n"/>
    </row>
    <row r="111">
      <c r="A111" s="8" t="inlineStr">
        <is>
          <t>D09</t>
        </is>
      </c>
      <c r="B111" s="8" t="inlineStr">
        <is>
          <t>I07</t>
        </is>
      </c>
      <c r="C111" s="8" t="inlineStr">
        <is>
          <t>Career Adaptability</t>
        </is>
      </c>
      <c r="D111" s="8" t="inlineStr">
        <is>
          <t>Y</t>
        </is>
      </c>
      <c r="E111" s="6" t="n"/>
      <c r="F111" s="6" t="n"/>
      <c r="G111" s="6" t="n"/>
      <c r="H111" s="8" t="inlineStr">
        <is>
          <t>E0</t>
        </is>
      </c>
      <c r="I111" s="8" t="inlineStr">
        <is>
          <t>N</t>
        </is>
      </c>
      <c r="J111" s="8" t="inlineStr">
        <is>
          <t>N</t>
        </is>
      </c>
      <c r="K111" s="6">
        <f>IF(H111="E0",0.20,IF(H111="E1",0.40,IF(H111="E2",0.65,IF(H111="E3",0.85,IF(H111="E4",1.00,0)))))</f>
        <v/>
      </c>
      <c r="L111" s="6">
        <f>IF(D111="N","",IF(OR(E111="",F111=""),"",IF(G111="N/A",100*((0.60*E111)+(0.40*F111))/5,IF(G111="",100*((0.60*E111)+(0.40*F111))/5,100*((0.45*E111)+(0.30*F111)+(0.25*G111))/5))))</f>
        <v/>
      </c>
      <c r="M111" s="6">
        <f>IF(D111="N","",IFERROR(VLOOKUP(A111,'P0-4_Required_Maturity'!$A$2:$I$12,9,FALSE),3))</f>
        <v/>
      </c>
      <c r="N111" s="6">
        <f>IF(OR(E111="",M111=""),"",M111-E111)</f>
        <v/>
      </c>
      <c r="O111" s="6">
        <f>IF(D111="N","N/A",IF(OR(E111="",F111="",H111=""),"INCOMPLETE",IF(AND(L111&gt;=80,H111="E0"),"REVIEW",IF(AND(L111&gt;=80,OR(I111="N",J111="N")),"CORROBORATION REVIEW","OK"))))</f>
        <v/>
      </c>
      <c r="P111" s="6" t="n"/>
    </row>
    <row r="112">
      <c r="A112" s="8" t="inlineStr">
        <is>
          <t>D09</t>
        </is>
      </c>
      <c r="B112" s="8" t="inlineStr">
        <is>
          <t>I08</t>
        </is>
      </c>
      <c r="C112" s="8" t="inlineStr">
        <is>
          <t>AI-Era Employability Readiness</t>
        </is>
      </c>
      <c r="D112" s="8" t="inlineStr">
        <is>
          <t>Y</t>
        </is>
      </c>
      <c r="E112" s="6" t="n"/>
      <c r="F112" s="6" t="n"/>
      <c r="G112" s="6" t="n"/>
      <c r="H112" s="8" t="inlineStr">
        <is>
          <t>E0</t>
        </is>
      </c>
      <c r="I112" s="8" t="inlineStr">
        <is>
          <t>N</t>
        </is>
      </c>
      <c r="J112" s="8" t="inlineStr">
        <is>
          <t>N</t>
        </is>
      </c>
      <c r="K112" s="6">
        <f>IF(H112="E0",0.20,IF(H112="E1",0.40,IF(H112="E2",0.65,IF(H112="E3",0.85,IF(H112="E4",1.00,0)))))</f>
        <v/>
      </c>
      <c r="L112" s="6">
        <f>IF(D112="N","",IF(OR(E112="",F112=""),"",IF(G112="N/A",100*((0.60*E112)+(0.40*F112))/5,IF(G112="",100*((0.60*E112)+(0.40*F112))/5,100*((0.45*E112)+(0.30*F112)+(0.25*G112))/5))))</f>
        <v/>
      </c>
      <c r="M112" s="6">
        <f>IF(D112="N","",IFERROR(VLOOKUP(A112,'P0-4_Required_Maturity'!$A$2:$I$12,9,FALSE),3))</f>
        <v/>
      </c>
      <c r="N112" s="6">
        <f>IF(OR(E112="",M112=""),"",M112-E112)</f>
        <v/>
      </c>
      <c r="O112" s="6">
        <f>IF(D112="N","N/A",IF(OR(E112="",F112="",H112=""),"INCOMPLETE",IF(AND(L112&gt;=80,H112="E0"),"REVIEW",IF(AND(L112&gt;=80,OR(I112="N",J112="N")),"CORROBORATION REVIEW","OK"))))</f>
        <v/>
      </c>
      <c r="P112" s="6" t="n"/>
    </row>
    <row r="113">
      <c r="A113" s="8" t="inlineStr">
        <is>
          <t>D09</t>
        </is>
      </c>
      <c r="B113" s="8" t="inlineStr">
        <is>
          <t>I09</t>
        </is>
      </c>
      <c r="C113" s="8" t="inlineStr">
        <is>
          <t>Capability Signalling</t>
        </is>
      </c>
      <c r="D113" s="8" t="inlineStr">
        <is>
          <t>Y</t>
        </is>
      </c>
      <c r="E113" s="6" t="n"/>
      <c r="F113" s="6" t="n"/>
      <c r="G113" s="6" t="n"/>
      <c r="H113" s="8" t="inlineStr">
        <is>
          <t>E0</t>
        </is>
      </c>
      <c r="I113" s="8" t="inlineStr">
        <is>
          <t>N</t>
        </is>
      </c>
      <c r="J113" s="8" t="inlineStr">
        <is>
          <t>N</t>
        </is>
      </c>
      <c r="K113" s="6">
        <f>IF(H113="E0",0.20,IF(H113="E1",0.40,IF(H113="E2",0.65,IF(H113="E3",0.85,IF(H113="E4",1.00,0)))))</f>
        <v/>
      </c>
      <c r="L113" s="6">
        <f>IF(D113="N","",IF(OR(E113="",F113=""),"",IF(G113="N/A",100*((0.60*E113)+(0.40*F113))/5,IF(G113="",100*((0.60*E113)+(0.40*F113))/5,100*((0.45*E113)+(0.30*F113)+(0.25*G113))/5))))</f>
        <v/>
      </c>
      <c r="M113" s="6">
        <f>IF(D113="N","",IFERROR(VLOOKUP(A113,'P0-4_Required_Maturity'!$A$2:$I$12,9,FALSE),3))</f>
        <v/>
      </c>
      <c r="N113" s="6">
        <f>IF(OR(E113="",M113=""),"",M113-E113)</f>
        <v/>
      </c>
      <c r="O113" s="6">
        <f>IF(D113="N","N/A",IF(OR(E113="",F113="",H113=""),"INCOMPLETE",IF(AND(L113&gt;=80,H113="E0"),"REVIEW",IF(AND(L113&gt;=80,OR(I113="N",J113="N")),"CORROBORATION REVIEW","OK"))))</f>
        <v/>
      </c>
      <c r="P113" s="6" t="n"/>
    </row>
    <row r="114">
      <c r="A114" s="8" t="inlineStr">
        <is>
          <t>D09</t>
        </is>
      </c>
      <c r="B114" s="8" t="inlineStr">
        <is>
          <t>I10</t>
        </is>
      </c>
      <c r="C114" s="8" t="inlineStr">
        <is>
          <t>Industry Co-Creation</t>
        </is>
      </c>
      <c r="D114" s="8" t="inlineStr">
        <is>
          <t>Y</t>
        </is>
      </c>
      <c r="E114" s="6" t="n"/>
      <c r="F114" s="6" t="n"/>
      <c r="G114" s="6" t="n"/>
      <c r="H114" s="8" t="inlineStr">
        <is>
          <t>E0</t>
        </is>
      </c>
      <c r="I114" s="8" t="inlineStr">
        <is>
          <t>N</t>
        </is>
      </c>
      <c r="J114" s="8" t="inlineStr">
        <is>
          <t>N</t>
        </is>
      </c>
      <c r="K114" s="6">
        <f>IF(H114="E0",0.20,IF(H114="E1",0.40,IF(H114="E2",0.65,IF(H114="E3",0.85,IF(H114="E4",1.00,0)))))</f>
        <v/>
      </c>
      <c r="L114" s="6">
        <f>IF(D114="N","",IF(OR(E114="",F114=""),"",IF(G114="N/A",100*((0.60*E114)+(0.40*F114))/5,IF(G114="",100*((0.60*E114)+(0.40*F114))/5,100*((0.45*E114)+(0.30*F114)+(0.25*G114))/5))))</f>
        <v/>
      </c>
      <c r="M114" s="6">
        <f>IF(D114="N","",IFERROR(VLOOKUP(A114,'P0-4_Required_Maturity'!$A$2:$I$12,9,FALSE),3))</f>
        <v/>
      </c>
      <c r="N114" s="6">
        <f>IF(OR(E114="",M114=""),"",M114-E114)</f>
        <v/>
      </c>
      <c r="O114" s="6">
        <f>IF(D114="N","N/A",IF(OR(E114="",F114="",H114=""),"INCOMPLETE",IF(AND(L114&gt;=80,H114="E0"),"REVIEW",IF(AND(L114&gt;=80,OR(I114="N",J114="N")),"CORROBORATION REVIEW","OK"))))</f>
        <v/>
      </c>
      <c r="P114" s="6" t="n"/>
    </row>
    <row r="115">
      <c r="A115" s="8" t="inlineStr">
        <is>
          <t>D09</t>
        </is>
      </c>
      <c r="B115" s="8" t="inlineStr">
        <is>
          <t>I11</t>
        </is>
      </c>
      <c r="C115" s="8" t="inlineStr">
        <is>
          <t>Regional/Economic Relevance</t>
        </is>
      </c>
      <c r="D115" s="8" t="inlineStr">
        <is>
          <t>Y</t>
        </is>
      </c>
      <c r="E115" s="6" t="n"/>
      <c r="F115" s="6" t="n"/>
      <c r="G115" s="6" t="n"/>
      <c r="H115" s="8" t="inlineStr">
        <is>
          <t>E0</t>
        </is>
      </c>
      <c r="I115" s="8" t="inlineStr">
        <is>
          <t>N</t>
        </is>
      </c>
      <c r="J115" s="8" t="inlineStr">
        <is>
          <t>N</t>
        </is>
      </c>
      <c r="K115" s="6">
        <f>IF(H115="E0",0.20,IF(H115="E1",0.40,IF(H115="E2",0.65,IF(H115="E3",0.85,IF(H115="E4",1.00,0)))))</f>
        <v/>
      </c>
      <c r="L115" s="6">
        <f>IF(D115="N","",IF(OR(E115="",F115=""),"",IF(G115="N/A",100*((0.60*E115)+(0.40*F115))/5,IF(G115="",100*((0.60*E115)+(0.40*F115))/5,100*((0.45*E115)+(0.30*F115)+(0.25*G115))/5))))</f>
        <v/>
      </c>
      <c r="M115" s="6">
        <f>IF(D115="N","",IFERROR(VLOOKUP(A115,'P0-4_Required_Maturity'!$A$2:$I$12,9,FALSE),3))</f>
        <v/>
      </c>
      <c r="N115" s="6">
        <f>IF(OR(E115="",M115=""),"",M115-E115)</f>
        <v/>
      </c>
      <c r="O115" s="6">
        <f>IF(D115="N","N/A",IF(OR(E115="",F115="",H115=""),"INCOMPLETE",IF(AND(L115&gt;=80,H115="E0"),"REVIEW",IF(AND(L115&gt;=80,OR(I115="N",J115="N")),"CORROBORATION REVIEW","OK"))))</f>
        <v/>
      </c>
      <c r="P115" s="6" t="n"/>
    </row>
    <row r="116">
      <c r="A116" s="8" t="inlineStr">
        <is>
          <t>D09</t>
        </is>
      </c>
      <c r="B116" s="8" t="inlineStr">
        <is>
          <t>I12</t>
        </is>
      </c>
      <c r="C116" s="8" t="inlineStr">
        <is>
          <t>Alumni Career Intelligence</t>
        </is>
      </c>
      <c r="D116" s="8" t="inlineStr">
        <is>
          <t>Y</t>
        </is>
      </c>
      <c r="E116" s="6" t="n"/>
      <c r="F116" s="6" t="n"/>
      <c r="G116" s="6" t="n"/>
      <c r="H116" s="8" t="inlineStr">
        <is>
          <t>E0</t>
        </is>
      </c>
      <c r="I116" s="8" t="inlineStr">
        <is>
          <t>N</t>
        </is>
      </c>
      <c r="J116" s="8" t="inlineStr">
        <is>
          <t>N</t>
        </is>
      </c>
      <c r="K116" s="6">
        <f>IF(H116="E0",0.20,IF(H116="E1",0.40,IF(H116="E2",0.65,IF(H116="E3",0.85,IF(H116="E4",1.00,0)))))</f>
        <v/>
      </c>
      <c r="L116" s="6">
        <f>IF(D116="N","",IF(OR(E116="",F116=""),"",IF(G116="N/A",100*((0.60*E116)+(0.40*F116))/5,IF(G116="",100*((0.60*E116)+(0.40*F116))/5,100*((0.45*E116)+(0.30*F116)+(0.25*G116))/5))))</f>
        <v/>
      </c>
      <c r="M116" s="6">
        <f>IF(D116="N","",IFERROR(VLOOKUP(A116,'P0-4_Required_Maturity'!$A$2:$I$12,9,FALSE),3))</f>
        <v/>
      </c>
      <c r="N116" s="6">
        <f>IF(OR(E116="",M116=""),"",M116-E116)</f>
        <v/>
      </c>
      <c r="O116" s="6">
        <f>IF(D116="N","N/A",IF(OR(E116="",F116="",H116=""),"INCOMPLETE",IF(AND(L116&gt;=80,H116="E0"),"REVIEW",IF(AND(L116&gt;=80,OR(I116="N",J116="N")),"CORROBORATION REVIEW","OK"))))</f>
        <v/>
      </c>
      <c r="P116" s="6" t="n"/>
    </row>
    <row r="117">
      <c r="A117" s="8" t="inlineStr">
        <is>
          <t>D10</t>
        </is>
      </c>
      <c r="B117" s="8" t="inlineStr">
        <is>
          <t>I01</t>
        </is>
      </c>
      <c r="C117" s="8" t="inlineStr">
        <is>
          <t>Research Strategy Maturity</t>
        </is>
      </c>
      <c r="D117" s="8" t="inlineStr">
        <is>
          <t>Y</t>
        </is>
      </c>
      <c r="E117" s="6" t="n"/>
      <c r="F117" s="6" t="n"/>
      <c r="G117" s="6" t="n"/>
      <c r="H117" s="8" t="inlineStr">
        <is>
          <t>E0</t>
        </is>
      </c>
      <c r="I117" s="8" t="inlineStr">
        <is>
          <t>N</t>
        </is>
      </c>
      <c r="J117" s="8" t="inlineStr">
        <is>
          <t>N</t>
        </is>
      </c>
      <c r="K117" s="6">
        <f>IF(H117="E0",0.20,IF(H117="E1",0.40,IF(H117="E2",0.65,IF(H117="E3",0.85,IF(H117="E4",1.00,0)))))</f>
        <v/>
      </c>
      <c r="L117" s="6">
        <f>IF(D117="N","",IF(OR(E117="",F117=""),"",IF(G117="N/A",100*((0.60*E117)+(0.40*F117))/5,IF(G117="",100*((0.60*E117)+(0.40*F117))/5,100*((0.45*E117)+(0.30*F117)+(0.25*G117))/5))))</f>
        <v/>
      </c>
      <c r="M117" s="6">
        <f>IF(D117="N","",IFERROR(VLOOKUP(A117,'P0-4_Required_Maturity'!$A$2:$I$12,9,FALSE),3))</f>
        <v/>
      </c>
      <c r="N117" s="6">
        <f>IF(OR(E117="",M117=""),"",M117-E117)</f>
        <v/>
      </c>
      <c r="O117" s="6">
        <f>IF(D117="N","N/A",IF(OR(E117="",F117="",H117=""),"INCOMPLETE",IF(AND(L117&gt;=80,H117="E0"),"REVIEW",IF(AND(L117&gt;=80,OR(I117="N",J117="N")),"CORROBORATION REVIEW","OK"))))</f>
        <v/>
      </c>
      <c r="P117" s="6" t="n"/>
    </row>
    <row r="118">
      <c r="A118" s="8" t="inlineStr">
        <is>
          <t>D10</t>
        </is>
      </c>
      <c r="B118" s="8" t="inlineStr">
        <is>
          <t>I02</t>
        </is>
      </c>
      <c r="C118" s="8" t="inlineStr">
        <is>
          <t>Research Portfolio Balance</t>
        </is>
      </c>
      <c r="D118" s="8" t="inlineStr">
        <is>
          <t>Y</t>
        </is>
      </c>
      <c r="E118" s="6" t="n"/>
      <c r="F118" s="6" t="n"/>
      <c r="G118" s="6" t="n"/>
      <c r="H118" s="8" t="inlineStr">
        <is>
          <t>E0</t>
        </is>
      </c>
      <c r="I118" s="8" t="inlineStr">
        <is>
          <t>N</t>
        </is>
      </c>
      <c r="J118" s="8" t="inlineStr">
        <is>
          <t>N</t>
        </is>
      </c>
      <c r="K118" s="6">
        <f>IF(H118="E0",0.20,IF(H118="E1",0.40,IF(H118="E2",0.65,IF(H118="E3",0.85,IF(H118="E4",1.00,0)))))</f>
        <v/>
      </c>
      <c r="L118" s="6">
        <f>IF(D118="N","",IF(OR(E118="",F118=""),"",IF(G118="N/A",100*((0.60*E118)+(0.40*F118))/5,IF(G118="",100*((0.60*E118)+(0.40*F118))/5,100*((0.45*E118)+(0.30*F118)+(0.25*G118))/5))))</f>
        <v/>
      </c>
      <c r="M118" s="6">
        <f>IF(D118="N","",IFERROR(VLOOKUP(A118,'P0-4_Required_Maturity'!$A$2:$I$12,9,FALSE),3))</f>
        <v/>
      </c>
      <c r="N118" s="6">
        <f>IF(OR(E118="",M118=""),"",M118-E118)</f>
        <v/>
      </c>
      <c r="O118" s="6">
        <f>IF(D118="N","N/A",IF(OR(E118="",F118="",H118=""),"INCOMPLETE",IF(AND(L118&gt;=80,H118="E0"),"REVIEW",IF(AND(L118&gt;=80,OR(I118="N",J118="N")),"CORROBORATION REVIEW","OK"))))</f>
        <v/>
      </c>
      <c r="P118" s="6" t="n"/>
    </row>
    <row r="119">
      <c r="A119" s="8" t="inlineStr">
        <is>
          <t>D10</t>
        </is>
      </c>
      <c r="B119" s="8" t="inlineStr">
        <is>
          <t>I03</t>
        </is>
      </c>
      <c r="C119" s="8" t="inlineStr">
        <is>
          <t>Interdisciplinary Research Capability</t>
        </is>
      </c>
      <c r="D119" s="8" t="inlineStr">
        <is>
          <t>Y</t>
        </is>
      </c>
      <c r="E119" s="6" t="n"/>
      <c r="F119" s="6" t="n"/>
      <c r="G119" s="6" t="n"/>
      <c r="H119" s="8" t="inlineStr">
        <is>
          <t>E0</t>
        </is>
      </c>
      <c r="I119" s="8" t="inlineStr">
        <is>
          <t>N</t>
        </is>
      </c>
      <c r="J119" s="8" t="inlineStr">
        <is>
          <t>N</t>
        </is>
      </c>
      <c r="K119" s="6">
        <f>IF(H119="E0",0.20,IF(H119="E1",0.40,IF(H119="E2",0.65,IF(H119="E3",0.85,IF(H119="E4",1.00,0)))))</f>
        <v/>
      </c>
      <c r="L119" s="6">
        <f>IF(D119="N","",IF(OR(E119="",F119=""),"",IF(G119="N/A",100*((0.60*E119)+(0.40*F119))/5,IF(G119="",100*((0.60*E119)+(0.40*F119))/5,100*((0.45*E119)+(0.30*F119)+(0.25*G119))/5))))</f>
        <v/>
      </c>
      <c r="M119" s="6">
        <f>IF(D119="N","",IFERROR(VLOOKUP(A119,'P0-4_Required_Maturity'!$A$2:$I$12,9,FALSE),3))</f>
        <v/>
      </c>
      <c r="N119" s="6">
        <f>IF(OR(E119="",M119=""),"",M119-E119)</f>
        <v/>
      </c>
      <c r="O119" s="6">
        <f>IF(D119="N","N/A",IF(OR(E119="",F119="",H119=""),"INCOMPLETE",IF(AND(L119&gt;=80,H119="E0"),"REVIEW",IF(AND(L119&gt;=80,OR(I119="N",J119="N")),"CORROBORATION REVIEW","OK"))))</f>
        <v/>
      </c>
      <c r="P119" s="6" t="n"/>
    </row>
    <row r="120">
      <c r="A120" s="8" t="inlineStr">
        <is>
          <t>D10</t>
        </is>
      </c>
      <c r="B120" s="8" t="inlineStr">
        <is>
          <t>I04</t>
        </is>
      </c>
      <c r="C120" s="8" t="inlineStr">
        <is>
          <t>AI-Enabled Research Capability</t>
        </is>
      </c>
      <c r="D120" s="8" t="inlineStr">
        <is>
          <t>Y</t>
        </is>
      </c>
      <c r="E120" s="6" t="n"/>
      <c r="F120" s="6" t="n"/>
      <c r="G120" s="6" t="n"/>
      <c r="H120" s="8" t="inlineStr">
        <is>
          <t>E0</t>
        </is>
      </c>
      <c r="I120" s="8" t="inlineStr">
        <is>
          <t>N</t>
        </is>
      </c>
      <c r="J120" s="8" t="inlineStr">
        <is>
          <t>N</t>
        </is>
      </c>
      <c r="K120" s="6">
        <f>IF(H120="E0",0.20,IF(H120="E1",0.40,IF(H120="E2",0.65,IF(H120="E3",0.85,IF(H120="E4",1.00,0)))))</f>
        <v/>
      </c>
      <c r="L120" s="6">
        <f>IF(D120="N","",IF(OR(E120="",F120=""),"",IF(G120="N/A",100*((0.60*E120)+(0.40*F120))/5,IF(G120="",100*((0.60*E120)+(0.40*F120))/5,100*((0.45*E120)+(0.30*F120)+(0.25*G120))/5))))</f>
        <v/>
      </c>
      <c r="M120" s="6">
        <f>IF(D120="N","",IFERROR(VLOOKUP(A120,'P0-4_Required_Maturity'!$A$2:$I$12,9,FALSE),3))</f>
        <v/>
      </c>
      <c r="N120" s="6">
        <f>IF(OR(E120="",M120=""),"",M120-E120)</f>
        <v/>
      </c>
      <c r="O120" s="6">
        <f>IF(D120="N","N/A",IF(OR(E120="",F120="",H120=""),"INCOMPLETE",IF(AND(L120&gt;=80,H120="E0"),"REVIEW",IF(AND(L120&gt;=80,OR(I120="N",J120="N")),"CORROBORATION REVIEW","OK"))))</f>
        <v/>
      </c>
      <c r="P120" s="6" t="n"/>
    </row>
    <row r="121">
      <c r="A121" s="8" t="inlineStr">
        <is>
          <t>D10</t>
        </is>
      </c>
      <c r="B121" s="8" t="inlineStr">
        <is>
          <t>I05</t>
        </is>
      </c>
      <c r="C121" s="8" t="inlineStr">
        <is>
          <t>Research Infrastructure Readiness</t>
        </is>
      </c>
      <c r="D121" s="8" t="inlineStr">
        <is>
          <t>Y</t>
        </is>
      </c>
      <c r="E121" s="6" t="n"/>
      <c r="F121" s="6" t="n"/>
      <c r="G121" s="6" t="n"/>
      <c r="H121" s="8" t="inlineStr">
        <is>
          <t>E0</t>
        </is>
      </c>
      <c r="I121" s="8" t="inlineStr">
        <is>
          <t>N</t>
        </is>
      </c>
      <c r="J121" s="8" t="inlineStr">
        <is>
          <t>N</t>
        </is>
      </c>
      <c r="K121" s="6">
        <f>IF(H121="E0",0.20,IF(H121="E1",0.40,IF(H121="E2",0.65,IF(H121="E3",0.85,IF(H121="E4",1.00,0)))))</f>
        <v/>
      </c>
      <c r="L121" s="6">
        <f>IF(D121="N","",IF(OR(E121="",F121=""),"",IF(G121="N/A",100*((0.60*E121)+(0.40*F121))/5,IF(G121="",100*((0.60*E121)+(0.40*F121))/5,100*((0.45*E121)+(0.30*F121)+(0.25*G121))/5))))</f>
        <v/>
      </c>
      <c r="M121" s="6">
        <f>IF(D121="N","",IFERROR(VLOOKUP(A121,'P0-4_Required_Maturity'!$A$2:$I$12,9,FALSE),3))</f>
        <v/>
      </c>
      <c r="N121" s="6">
        <f>IF(OR(E121="",M121=""),"",M121-E121)</f>
        <v/>
      </c>
      <c r="O121" s="6">
        <f>IF(D121="N","N/A",IF(OR(E121="",F121="",H121=""),"INCOMPLETE",IF(AND(L121&gt;=80,H121="E0"),"REVIEW",IF(AND(L121&gt;=80,OR(I121="N",J121="N")),"CORROBORATION REVIEW","OK"))))</f>
        <v/>
      </c>
      <c r="P121" s="6" t="n"/>
    </row>
    <row r="122">
      <c r="A122" s="8" t="inlineStr">
        <is>
          <t>D10</t>
        </is>
      </c>
      <c r="B122" s="8" t="inlineStr">
        <is>
          <t>I06</t>
        </is>
      </c>
      <c r="C122" s="8" t="inlineStr">
        <is>
          <t>Researcher Capability</t>
        </is>
      </c>
      <c r="D122" s="8" t="inlineStr">
        <is>
          <t>Y</t>
        </is>
      </c>
      <c r="E122" s="6" t="n"/>
      <c r="F122" s="6" t="n"/>
      <c r="G122" s="6" t="n"/>
      <c r="H122" s="8" t="inlineStr">
        <is>
          <t>E0</t>
        </is>
      </c>
      <c r="I122" s="8" t="inlineStr">
        <is>
          <t>N</t>
        </is>
      </c>
      <c r="J122" s="8" t="inlineStr">
        <is>
          <t>N</t>
        </is>
      </c>
      <c r="K122" s="6">
        <f>IF(H122="E0",0.20,IF(H122="E1",0.40,IF(H122="E2",0.65,IF(H122="E3",0.85,IF(H122="E4",1.00,0)))))</f>
        <v/>
      </c>
      <c r="L122" s="6">
        <f>IF(D122="N","",IF(OR(E122="",F122=""),"",IF(G122="N/A",100*((0.60*E122)+(0.40*F122))/5,IF(G122="",100*((0.60*E122)+(0.40*F122))/5,100*((0.45*E122)+(0.30*F122)+(0.25*G122))/5))))</f>
        <v/>
      </c>
      <c r="M122" s="6">
        <f>IF(D122="N","",IFERROR(VLOOKUP(A122,'P0-4_Required_Maturity'!$A$2:$I$12,9,FALSE),3))</f>
        <v/>
      </c>
      <c r="N122" s="6">
        <f>IF(OR(E122="",M122=""),"",M122-E122)</f>
        <v/>
      </c>
      <c r="O122" s="6">
        <f>IF(D122="N","N/A",IF(OR(E122="",F122="",H122=""),"INCOMPLETE",IF(AND(L122&gt;=80,H122="E0"),"REVIEW",IF(AND(L122&gt;=80,OR(I122="N",J122="N")),"CORROBORATION REVIEW","OK"))))</f>
        <v/>
      </c>
      <c r="P122" s="6" t="n"/>
    </row>
    <row r="123">
      <c r="A123" s="8" t="inlineStr">
        <is>
          <t>D10</t>
        </is>
      </c>
      <c r="B123" s="8" t="inlineStr">
        <is>
          <t>I07</t>
        </is>
      </c>
      <c r="C123" s="8" t="inlineStr">
        <is>
          <t>Research Funding Capability</t>
        </is>
      </c>
      <c r="D123" s="8" t="inlineStr">
        <is>
          <t>Y</t>
        </is>
      </c>
      <c r="E123" s="6" t="n"/>
      <c r="F123" s="6" t="n"/>
      <c r="G123" s="6" t="n"/>
      <c r="H123" s="8" t="inlineStr">
        <is>
          <t>E0</t>
        </is>
      </c>
      <c r="I123" s="8" t="inlineStr">
        <is>
          <t>N</t>
        </is>
      </c>
      <c r="J123" s="8" t="inlineStr">
        <is>
          <t>N</t>
        </is>
      </c>
      <c r="K123" s="6">
        <f>IF(H123="E0",0.20,IF(H123="E1",0.40,IF(H123="E2",0.65,IF(H123="E3",0.85,IF(H123="E4",1.00,0)))))</f>
        <v/>
      </c>
      <c r="L123" s="6">
        <f>IF(D123="N","",IF(OR(E123="",F123=""),"",IF(G123="N/A",100*((0.60*E123)+(0.40*F123))/5,IF(G123="",100*((0.60*E123)+(0.40*F123))/5,100*((0.45*E123)+(0.30*F123)+(0.25*G123))/5))))</f>
        <v/>
      </c>
      <c r="M123" s="6">
        <f>IF(D123="N","",IFERROR(VLOOKUP(A123,'P0-4_Required_Maturity'!$A$2:$I$12,9,FALSE),3))</f>
        <v/>
      </c>
      <c r="N123" s="6">
        <f>IF(OR(E123="",M123=""),"",M123-E123)</f>
        <v/>
      </c>
      <c r="O123" s="6">
        <f>IF(D123="N","N/A",IF(OR(E123="",F123="",H123=""),"INCOMPLETE",IF(AND(L123&gt;=80,H123="E0"),"REVIEW",IF(AND(L123&gt;=80,OR(I123="N",J123="N")),"CORROBORATION REVIEW","OK"))))</f>
        <v/>
      </c>
      <c r="P123" s="6" t="n"/>
    </row>
    <row r="124">
      <c r="A124" s="8" t="inlineStr">
        <is>
          <t>D10</t>
        </is>
      </c>
      <c r="B124" s="8" t="inlineStr">
        <is>
          <t>I08</t>
        </is>
      </c>
      <c r="C124" s="8" t="inlineStr">
        <is>
          <t>Knowledge Translation Capability</t>
        </is>
      </c>
      <c r="D124" s="8" t="inlineStr">
        <is>
          <t>Y</t>
        </is>
      </c>
      <c r="E124" s="6" t="n"/>
      <c r="F124" s="6" t="n"/>
      <c r="G124" s="6" t="n"/>
      <c r="H124" s="8" t="inlineStr">
        <is>
          <t>E0</t>
        </is>
      </c>
      <c r="I124" s="8" t="inlineStr">
        <is>
          <t>N</t>
        </is>
      </c>
      <c r="J124" s="8" t="inlineStr">
        <is>
          <t>N</t>
        </is>
      </c>
      <c r="K124" s="6">
        <f>IF(H124="E0",0.20,IF(H124="E1",0.40,IF(H124="E2",0.65,IF(H124="E3",0.85,IF(H124="E4",1.00,0)))))</f>
        <v/>
      </c>
      <c r="L124" s="6">
        <f>IF(D124="N","",IF(OR(E124="",F124=""),"",IF(G124="N/A",100*((0.60*E124)+(0.40*F124))/5,IF(G124="",100*((0.60*E124)+(0.40*F124))/5,100*((0.45*E124)+(0.30*F124)+(0.25*G124))/5))))</f>
        <v/>
      </c>
      <c r="M124" s="6">
        <f>IF(D124="N","",IFERROR(VLOOKUP(A124,'P0-4_Required_Maturity'!$A$2:$I$12,9,FALSE),3))</f>
        <v/>
      </c>
      <c r="N124" s="6">
        <f>IF(OR(E124="",M124=""),"",M124-E124)</f>
        <v/>
      </c>
      <c r="O124" s="6">
        <f>IF(D124="N","N/A",IF(OR(E124="",F124="",H124=""),"INCOMPLETE",IF(AND(L124&gt;=80,H124="E0"),"REVIEW",IF(AND(L124&gt;=80,OR(I124="N",J124="N")),"CORROBORATION REVIEW","OK"))))</f>
        <v/>
      </c>
      <c r="P124" s="6" t="n"/>
    </row>
    <row r="125">
      <c r="A125" s="8" t="inlineStr">
        <is>
          <t>D10</t>
        </is>
      </c>
      <c r="B125" s="8" t="inlineStr">
        <is>
          <t>I09</t>
        </is>
      </c>
      <c r="C125" s="8" t="inlineStr">
        <is>
          <t>Industry-Linked Research</t>
        </is>
      </c>
      <c r="D125" s="8" t="inlineStr">
        <is>
          <t>Y</t>
        </is>
      </c>
      <c r="E125" s="6" t="n"/>
      <c r="F125" s="6" t="n"/>
      <c r="G125" s="6" t="n"/>
      <c r="H125" s="8" t="inlineStr">
        <is>
          <t>E0</t>
        </is>
      </c>
      <c r="I125" s="8" t="inlineStr">
        <is>
          <t>N</t>
        </is>
      </c>
      <c r="J125" s="8" t="inlineStr">
        <is>
          <t>N</t>
        </is>
      </c>
      <c r="K125" s="6">
        <f>IF(H125="E0",0.20,IF(H125="E1",0.40,IF(H125="E2",0.65,IF(H125="E3",0.85,IF(H125="E4",1.00,0)))))</f>
        <v/>
      </c>
      <c r="L125" s="6">
        <f>IF(D125="N","",IF(OR(E125="",F125=""),"",IF(G125="N/A",100*((0.60*E125)+(0.40*F125))/5,IF(G125="",100*((0.60*E125)+(0.40*F125))/5,100*((0.45*E125)+(0.30*F125)+(0.25*G125))/5))))</f>
        <v/>
      </c>
      <c r="M125" s="6">
        <f>IF(D125="N","",IFERROR(VLOOKUP(A125,'P0-4_Required_Maturity'!$A$2:$I$12,9,FALSE),3))</f>
        <v/>
      </c>
      <c r="N125" s="6">
        <f>IF(OR(E125="",M125=""),"",M125-E125)</f>
        <v/>
      </c>
      <c r="O125" s="6">
        <f>IF(D125="N","N/A",IF(OR(E125="",F125="",H125=""),"INCOMPLETE",IF(AND(L125&gt;=80,H125="E0"),"REVIEW",IF(AND(L125&gt;=80,OR(I125="N",J125="N")),"CORROBORATION REVIEW","OK"))))</f>
        <v/>
      </c>
      <c r="P125" s="6" t="n"/>
    </row>
    <row r="126">
      <c r="A126" s="8" t="inlineStr">
        <is>
          <t>D10</t>
        </is>
      </c>
      <c r="B126" s="8" t="inlineStr">
        <is>
          <t>I10</t>
        </is>
      </c>
      <c r="C126" s="8" t="inlineStr">
        <is>
          <t>Research-to-Innovation Pipeline</t>
        </is>
      </c>
      <c r="D126" s="8" t="inlineStr">
        <is>
          <t>Y</t>
        </is>
      </c>
      <c r="E126" s="6" t="n"/>
      <c r="F126" s="6" t="n"/>
      <c r="G126" s="6" t="n"/>
      <c r="H126" s="8" t="inlineStr">
        <is>
          <t>E0</t>
        </is>
      </c>
      <c r="I126" s="8" t="inlineStr">
        <is>
          <t>N</t>
        </is>
      </c>
      <c r="J126" s="8" t="inlineStr">
        <is>
          <t>N</t>
        </is>
      </c>
      <c r="K126" s="6">
        <f>IF(H126="E0",0.20,IF(H126="E1",0.40,IF(H126="E2",0.65,IF(H126="E3",0.85,IF(H126="E4",1.00,0)))))</f>
        <v/>
      </c>
      <c r="L126" s="6">
        <f>IF(D126="N","",IF(OR(E126="",F126=""),"",IF(G126="N/A",100*((0.60*E126)+(0.40*F126))/5,IF(G126="",100*((0.60*E126)+(0.40*F126))/5,100*((0.45*E126)+(0.30*F126)+(0.25*G126))/5))))</f>
        <v/>
      </c>
      <c r="M126" s="6">
        <f>IF(D126="N","",IFERROR(VLOOKUP(A126,'P0-4_Required_Maturity'!$A$2:$I$12,9,FALSE),3))</f>
        <v/>
      </c>
      <c r="N126" s="6">
        <f>IF(OR(E126="",M126=""),"",M126-E126)</f>
        <v/>
      </c>
      <c r="O126" s="6">
        <f>IF(D126="N","N/A",IF(OR(E126="",F126="",H126=""),"INCOMPLETE",IF(AND(L126&gt;=80,H126="E0"),"REVIEW",IF(AND(L126&gt;=80,OR(I126="N",J126="N")),"CORROBORATION REVIEW","OK"))))</f>
        <v/>
      </c>
      <c r="P126" s="6" t="n"/>
    </row>
    <row r="127">
      <c r="A127" s="8" t="inlineStr">
        <is>
          <t>D10</t>
        </is>
      </c>
      <c r="B127" s="8" t="inlineStr">
        <is>
          <t>I11</t>
        </is>
      </c>
      <c r="C127" s="8" t="inlineStr">
        <is>
          <t>IP &amp; Knowledge Assets</t>
        </is>
      </c>
      <c r="D127" s="8" t="inlineStr">
        <is>
          <t>Y</t>
        </is>
      </c>
      <c r="E127" s="6" t="n"/>
      <c r="F127" s="6" t="n"/>
      <c r="G127" s="6" t="n"/>
      <c r="H127" s="8" t="inlineStr">
        <is>
          <t>E0</t>
        </is>
      </c>
      <c r="I127" s="8" t="inlineStr">
        <is>
          <t>N</t>
        </is>
      </c>
      <c r="J127" s="8" t="inlineStr">
        <is>
          <t>N</t>
        </is>
      </c>
      <c r="K127" s="6">
        <f>IF(H127="E0",0.20,IF(H127="E1",0.40,IF(H127="E2",0.65,IF(H127="E3",0.85,IF(H127="E4",1.00,0)))))</f>
        <v/>
      </c>
      <c r="L127" s="6">
        <f>IF(D127="N","",IF(OR(E127="",F127=""),"",IF(G127="N/A",100*((0.60*E127)+(0.40*F127))/5,IF(G127="",100*((0.60*E127)+(0.40*F127))/5,100*((0.45*E127)+(0.30*F127)+(0.25*G127))/5))))</f>
        <v/>
      </c>
      <c r="M127" s="6">
        <f>IF(D127="N","",IFERROR(VLOOKUP(A127,'P0-4_Required_Maturity'!$A$2:$I$12,9,FALSE),3))</f>
        <v/>
      </c>
      <c r="N127" s="6">
        <f>IF(OR(E127="",M127=""),"",M127-E127)</f>
        <v/>
      </c>
      <c r="O127" s="6">
        <f>IF(D127="N","N/A",IF(OR(E127="",F127="",H127=""),"INCOMPLETE",IF(AND(L127&gt;=80,H127="E0"),"REVIEW",IF(AND(L127&gt;=80,OR(I127="N",J127="N")),"CORROBORATION REVIEW","OK"))))</f>
        <v/>
      </c>
      <c r="P127" s="6" t="n"/>
    </row>
    <row r="128">
      <c r="A128" s="8" t="inlineStr">
        <is>
          <t>D10</t>
        </is>
      </c>
      <c r="B128" s="8" t="inlineStr">
        <is>
          <t>I12</t>
        </is>
      </c>
      <c r="C128" s="8" t="inlineStr">
        <is>
          <t>Research Integrity &amp; Responsible AI</t>
        </is>
      </c>
      <c r="D128" s="8" t="inlineStr">
        <is>
          <t>Y</t>
        </is>
      </c>
      <c r="E128" s="6" t="n"/>
      <c r="F128" s="6" t="n"/>
      <c r="G128" s="6" t="n"/>
      <c r="H128" s="8" t="inlineStr">
        <is>
          <t>E0</t>
        </is>
      </c>
      <c r="I128" s="8" t="inlineStr">
        <is>
          <t>N</t>
        </is>
      </c>
      <c r="J128" s="8" t="inlineStr">
        <is>
          <t>N</t>
        </is>
      </c>
      <c r="K128" s="6">
        <f>IF(H128="E0",0.20,IF(H128="E1",0.40,IF(H128="E2",0.65,IF(H128="E3",0.85,IF(H128="E4",1.00,0)))))</f>
        <v/>
      </c>
      <c r="L128" s="6">
        <f>IF(D128="N","",IF(OR(E128="",F128=""),"",IF(G128="N/A",100*((0.60*E128)+(0.40*F128))/5,IF(G128="",100*((0.60*E128)+(0.40*F128))/5,100*((0.45*E128)+(0.30*F128)+(0.25*G128))/5))))</f>
        <v/>
      </c>
      <c r="M128" s="6">
        <f>IF(D128="N","",IFERROR(VLOOKUP(A128,'P0-4_Required_Maturity'!$A$2:$I$12,9,FALSE),3))</f>
        <v/>
      </c>
      <c r="N128" s="6">
        <f>IF(OR(E128="",M128=""),"",M128-E128)</f>
        <v/>
      </c>
      <c r="O128" s="6">
        <f>IF(D128="N","N/A",IF(OR(E128="",F128="",H128=""),"INCOMPLETE",IF(AND(L128&gt;=80,H128="E0"),"REVIEW",IF(AND(L128&gt;=80,OR(I128="N",J128="N")),"CORROBORATION REVIEW","OK"))))</f>
        <v/>
      </c>
      <c r="P128" s="6" t="n"/>
    </row>
    <row r="129">
      <c r="A129" s="8" t="inlineStr">
        <is>
          <t>D10</t>
        </is>
      </c>
      <c r="B129" s="8" t="inlineStr">
        <is>
          <t>I13</t>
        </is>
      </c>
      <c r="C129" s="8" t="inlineStr">
        <is>
          <t>Research Impact Evidence</t>
        </is>
      </c>
      <c r="D129" s="8" t="inlineStr">
        <is>
          <t>Y</t>
        </is>
      </c>
      <c r="E129" s="6" t="n"/>
      <c r="F129" s="6" t="n"/>
      <c r="G129" s="6" t="n"/>
      <c r="H129" s="8" t="inlineStr">
        <is>
          <t>E0</t>
        </is>
      </c>
      <c r="I129" s="8" t="inlineStr">
        <is>
          <t>N</t>
        </is>
      </c>
      <c r="J129" s="8" t="inlineStr">
        <is>
          <t>N</t>
        </is>
      </c>
      <c r="K129" s="6">
        <f>IF(H129="E0",0.20,IF(H129="E1",0.40,IF(H129="E2",0.65,IF(H129="E3",0.85,IF(H129="E4",1.00,0)))))</f>
        <v/>
      </c>
      <c r="L129" s="6">
        <f>IF(D129="N","",IF(OR(E129="",F129=""),"",IF(G129="N/A",100*((0.60*E129)+(0.40*F129))/5,IF(G129="",100*((0.60*E129)+(0.40*F129))/5,100*((0.45*E129)+(0.30*F129)+(0.25*G129))/5))))</f>
        <v/>
      </c>
      <c r="M129" s="6">
        <f>IF(D129="N","",IFERROR(VLOOKUP(A129,'P0-4_Required_Maturity'!$A$2:$I$12,9,FALSE),3))</f>
        <v/>
      </c>
      <c r="N129" s="6">
        <f>IF(OR(E129="",M129=""),"",M129-E129)</f>
        <v/>
      </c>
      <c r="O129" s="6">
        <f>IF(D129="N","N/A",IF(OR(E129="",F129="",H129=""),"INCOMPLETE",IF(AND(L129&gt;=80,H129="E0"),"REVIEW",IF(AND(L129&gt;=80,OR(I129="N",J129="N")),"CORROBORATION REVIEW","OK"))))</f>
        <v/>
      </c>
      <c r="P129" s="6" t="n"/>
    </row>
    <row r="130">
      <c r="A130" s="8" t="inlineStr">
        <is>
          <t>D10</t>
        </is>
      </c>
      <c r="B130" s="8" t="inlineStr">
        <is>
          <t>I14</t>
        </is>
      </c>
      <c r="C130" s="8" t="inlineStr">
        <is>
          <t>Student Research Capability</t>
        </is>
      </c>
      <c r="D130" s="8" t="inlineStr">
        <is>
          <t>Y</t>
        </is>
      </c>
      <c r="E130" s="6" t="n"/>
      <c r="F130" s="6" t="n"/>
      <c r="G130" s="6" t="n"/>
      <c r="H130" s="8" t="inlineStr">
        <is>
          <t>E0</t>
        </is>
      </c>
      <c r="I130" s="8" t="inlineStr">
        <is>
          <t>N</t>
        </is>
      </c>
      <c r="J130" s="8" t="inlineStr">
        <is>
          <t>N</t>
        </is>
      </c>
      <c r="K130" s="6">
        <f>IF(H130="E0",0.20,IF(H130="E1",0.40,IF(H130="E2",0.65,IF(H130="E3",0.85,IF(H130="E4",1.00,0)))))</f>
        <v/>
      </c>
      <c r="L130" s="6">
        <f>IF(D130="N","",IF(OR(E130="",F130=""),"",IF(G130="N/A",100*((0.60*E130)+(0.40*F130))/5,IF(G130="",100*((0.60*E130)+(0.40*F130))/5,100*((0.45*E130)+(0.30*F130)+(0.25*G130))/5))))</f>
        <v/>
      </c>
      <c r="M130" s="6">
        <f>IF(D130="N","",IFERROR(VLOOKUP(A130,'P0-4_Required_Maturity'!$A$2:$I$12,9,FALSE),3))</f>
        <v/>
      </c>
      <c r="N130" s="6">
        <f>IF(OR(E130="",M130=""),"",M130-E130)</f>
        <v/>
      </c>
      <c r="O130" s="6">
        <f>IF(D130="N","N/A",IF(OR(E130="",F130="",H130=""),"INCOMPLETE",IF(AND(L130&gt;=80,H130="E0"),"REVIEW",IF(AND(L130&gt;=80,OR(I130="N",J130="N")),"CORROBORATION REVIEW","OK"))))</f>
        <v/>
      </c>
      <c r="P130" s="6" t="n"/>
    </row>
    <row r="131">
      <c r="A131" s="8" t="inlineStr">
        <is>
          <t>D11</t>
        </is>
      </c>
      <c r="B131" s="8" t="inlineStr">
        <is>
          <t>I01</t>
        </is>
      </c>
      <c r="C131" s="8" t="inlineStr">
        <is>
          <t>External Change Sensing</t>
        </is>
      </c>
      <c r="D131" s="8" t="inlineStr">
        <is>
          <t>Y</t>
        </is>
      </c>
      <c r="E131" s="6" t="n"/>
      <c r="F131" s="6" t="n"/>
      <c r="G131" s="6" t="n"/>
      <c r="H131" s="8" t="inlineStr">
        <is>
          <t>E0</t>
        </is>
      </c>
      <c r="I131" s="8" t="inlineStr">
        <is>
          <t>N</t>
        </is>
      </c>
      <c r="J131" s="8" t="inlineStr">
        <is>
          <t>N</t>
        </is>
      </c>
      <c r="K131" s="6">
        <f>IF(H131="E0",0.20,IF(H131="E1",0.40,IF(H131="E2",0.65,IF(H131="E3",0.85,IF(H131="E4",1.00,0)))))</f>
        <v/>
      </c>
      <c r="L131" s="6">
        <f>IF(D131="N","",IF(OR(E131="",F131=""),"",IF(G131="N/A",100*((0.60*E131)+(0.40*F131))/5,IF(G131="",100*((0.60*E131)+(0.40*F131))/5,100*((0.45*E131)+(0.30*F131)+(0.25*G131))/5))))</f>
        <v/>
      </c>
      <c r="M131" s="6">
        <f>IF(D131="N","",IFERROR(VLOOKUP(A131,'P0-4_Required_Maturity'!$A$2:$I$12,9,FALSE),3))</f>
        <v/>
      </c>
      <c r="N131" s="6">
        <f>IF(OR(E131="",M131=""),"",M131-E131)</f>
        <v/>
      </c>
      <c r="O131" s="6">
        <f>IF(D131="N","N/A",IF(OR(E131="",F131="",H131=""),"INCOMPLETE",IF(AND(L131&gt;=80,H131="E0"),"REVIEW",IF(AND(L131&gt;=80,OR(I131="N",J131="N")),"CORROBORATION REVIEW","OK"))))</f>
        <v/>
      </c>
      <c r="P131" s="6" t="n"/>
    </row>
    <row r="132">
      <c r="A132" s="8" t="inlineStr">
        <is>
          <t>D11</t>
        </is>
      </c>
      <c r="B132" s="8" t="inlineStr">
        <is>
          <t>I02</t>
        </is>
      </c>
      <c r="C132" s="8" t="inlineStr">
        <is>
          <t>Strategic Response Agility</t>
        </is>
      </c>
      <c r="D132" s="8" t="inlineStr">
        <is>
          <t>Y</t>
        </is>
      </c>
      <c r="E132" s="6" t="n"/>
      <c r="F132" s="6" t="n"/>
      <c r="G132" s="6" t="n"/>
      <c r="H132" s="8" t="inlineStr">
        <is>
          <t>E0</t>
        </is>
      </c>
      <c r="I132" s="8" t="inlineStr">
        <is>
          <t>N</t>
        </is>
      </c>
      <c r="J132" s="8" t="inlineStr">
        <is>
          <t>N</t>
        </is>
      </c>
      <c r="K132" s="6">
        <f>IF(H132="E0",0.20,IF(H132="E1",0.40,IF(H132="E2",0.65,IF(H132="E3",0.85,IF(H132="E4",1.00,0)))))</f>
        <v/>
      </c>
      <c r="L132" s="6">
        <f>IF(D132="N","",IF(OR(E132="",F132=""),"",IF(G132="N/A",100*((0.60*E132)+(0.40*F132))/5,IF(G132="",100*((0.60*E132)+(0.40*F132))/5,100*((0.45*E132)+(0.30*F132)+(0.25*G132))/5))))</f>
        <v/>
      </c>
      <c r="M132" s="6">
        <f>IF(D132="N","",IFERROR(VLOOKUP(A132,'P0-4_Required_Maturity'!$A$2:$I$12,9,FALSE),3))</f>
        <v/>
      </c>
      <c r="N132" s="6">
        <f>IF(OR(E132="",M132=""),"",M132-E132)</f>
        <v/>
      </c>
      <c r="O132" s="6">
        <f>IF(D132="N","N/A",IF(OR(E132="",F132="",H132=""),"INCOMPLETE",IF(AND(L132&gt;=80,H132="E0"),"REVIEW",IF(AND(L132&gt;=80,OR(I132="N",J132="N")),"CORROBORATION REVIEW","OK"))))</f>
        <v/>
      </c>
      <c r="P132" s="6" t="n"/>
    </row>
    <row r="133">
      <c r="A133" s="8" t="inlineStr">
        <is>
          <t>D11</t>
        </is>
      </c>
      <c r="B133" s="8" t="inlineStr">
        <is>
          <t>I03</t>
        </is>
      </c>
      <c r="C133" s="8" t="inlineStr">
        <is>
          <t>Adaptive Decision Architecture</t>
        </is>
      </c>
      <c r="D133" s="8" t="inlineStr">
        <is>
          <t>Y</t>
        </is>
      </c>
      <c r="E133" s="6" t="n"/>
      <c r="F133" s="6" t="n"/>
      <c r="G133" s="6" t="n"/>
      <c r="H133" s="8" t="inlineStr">
        <is>
          <t>E0</t>
        </is>
      </c>
      <c r="I133" s="8" t="inlineStr">
        <is>
          <t>N</t>
        </is>
      </c>
      <c r="J133" s="8" t="inlineStr">
        <is>
          <t>N</t>
        </is>
      </c>
      <c r="K133" s="6">
        <f>IF(H133="E0",0.20,IF(H133="E1",0.40,IF(H133="E2",0.65,IF(H133="E3",0.85,IF(H133="E4",1.00,0)))))</f>
        <v/>
      </c>
      <c r="L133" s="6">
        <f>IF(D133="N","",IF(OR(E133="",F133=""),"",IF(G133="N/A",100*((0.60*E133)+(0.40*F133))/5,IF(G133="",100*((0.60*E133)+(0.40*F133))/5,100*((0.45*E133)+(0.30*F133)+(0.25*G133))/5))))</f>
        <v/>
      </c>
      <c r="M133" s="6">
        <f>IF(D133="N","",IFERROR(VLOOKUP(A133,'P0-4_Required_Maturity'!$A$2:$I$12,9,FALSE),3))</f>
        <v/>
      </c>
      <c r="N133" s="6">
        <f>IF(OR(E133="",M133=""),"",M133-E133)</f>
        <v/>
      </c>
      <c r="O133" s="6">
        <f>IF(D133="N","N/A",IF(OR(E133="",F133="",H133=""),"INCOMPLETE",IF(AND(L133&gt;=80,H133="E0"),"REVIEW",IF(AND(L133&gt;=80,OR(I133="N",J133="N")),"CORROBORATION REVIEW","OK"))))</f>
        <v/>
      </c>
      <c r="P133" s="6" t="n"/>
    </row>
    <row r="134">
      <c r="A134" s="8" t="inlineStr">
        <is>
          <t>D11</t>
        </is>
      </c>
      <c r="B134" s="8" t="inlineStr">
        <is>
          <t>I04</t>
        </is>
      </c>
      <c r="C134" s="8" t="inlineStr">
        <is>
          <t>Resource Reallocation Agility</t>
        </is>
      </c>
      <c r="D134" s="8" t="inlineStr">
        <is>
          <t>Y</t>
        </is>
      </c>
      <c r="E134" s="6" t="n"/>
      <c r="F134" s="6" t="n"/>
      <c r="G134" s="6" t="n"/>
      <c r="H134" s="8" t="inlineStr">
        <is>
          <t>E0</t>
        </is>
      </c>
      <c r="I134" s="8" t="inlineStr">
        <is>
          <t>N</t>
        </is>
      </c>
      <c r="J134" s="8" t="inlineStr">
        <is>
          <t>N</t>
        </is>
      </c>
      <c r="K134" s="6">
        <f>IF(H134="E0",0.20,IF(H134="E1",0.40,IF(H134="E2",0.65,IF(H134="E3",0.85,IF(H134="E4",1.00,0)))))</f>
        <v/>
      </c>
      <c r="L134" s="6">
        <f>IF(D134="N","",IF(OR(E134="",F134=""),"",IF(G134="N/A",100*((0.60*E134)+(0.40*F134))/5,IF(G134="",100*((0.60*E134)+(0.40*F134))/5,100*((0.45*E134)+(0.30*F134)+(0.25*G134))/5))))</f>
        <v/>
      </c>
      <c r="M134" s="6">
        <f>IF(D134="N","",IFERROR(VLOOKUP(A134,'P0-4_Required_Maturity'!$A$2:$I$12,9,FALSE),3))</f>
        <v/>
      </c>
      <c r="N134" s="6">
        <f>IF(OR(E134="",M134=""),"",M134-E134)</f>
        <v/>
      </c>
      <c r="O134" s="6">
        <f>IF(D134="N","N/A",IF(OR(E134="",F134="",H134=""),"INCOMPLETE",IF(AND(L134&gt;=80,H134="E0"),"REVIEW",IF(AND(L134&gt;=80,OR(I134="N",J134="N")),"CORROBORATION REVIEW","OK"))))</f>
        <v/>
      </c>
      <c r="P134" s="6" t="n"/>
    </row>
    <row r="135">
      <c r="A135" s="8" t="inlineStr">
        <is>
          <t>D11</t>
        </is>
      </c>
      <c r="B135" s="8" t="inlineStr">
        <is>
          <t>I05</t>
        </is>
      </c>
      <c r="C135" s="8" t="inlineStr">
        <is>
          <t>Institutional Experimentation</t>
        </is>
      </c>
      <c r="D135" s="8" t="inlineStr">
        <is>
          <t>Y</t>
        </is>
      </c>
      <c r="E135" s="6" t="n"/>
      <c r="F135" s="6" t="n"/>
      <c r="G135" s="6" t="n"/>
      <c r="H135" s="8" t="inlineStr">
        <is>
          <t>E0</t>
        </is>
      </c>
      <c r="I135" s="8" t="inlineStr">
        <is>
          <t>N</t>
        </is>
      </c>
      <c r="J135" s="8" t="inlineStr">
        <is>
          <t>N</t>
        </is>
      </c>
      <c r="K135" s="6">
        <f>IF(H135="E0",0.20,IF(H135="E1",0.40,IF(H135="E2",0.65,IF(H135="E3",0.85,IF(H135="E4",1.00,0)))))</f>
        <v/>
      </c>
      <c r="L135" s="6">
        <f>IF(D135="N","",IF(OR(E135="",F135=""),"",IF(G135="N/A",100*((0.60*E135)+(0.40*F135))/5,IF(G135="",100*((0.60*E135)+(0.40*F135))/5,100*((0.45*E135)+(0.30*F135)+(0.25*G135))/5))))</f>
        <v/>
      </c>
      <c r="M135" s="6">
        <f>IF(D135="N","",IFERROR(VLOOKUP(A135,'P0-4_Required_Maturity'!$A$2:$I$12,9,FALSE),3))</f>
        <v/>
      </c>
      <c r="N135" s="6">
        <f>IF(OR(E135="",M135=""),"",M135-E135)</f>
        <v/>
      </c>
      <c r="O135" s="6">
        <f>IF(D135="N","N/A",IF(OR(E135="",F135="",H135=""),"INCOMPLETE",IF(AND(L135&gt;=80,H135="E0"),"REVIEW",IF(AND(L135&gt;=80,OR(I135="N",J135="N")),"CORROBORATION REVIEW","OK"))))</f>
        <v/>
      </c>
      <c r="P135" s="6" t="n"/>
    </row>
    <row r="136">
      <c r="A136" s="8" t="inlineStr">
        <is>
          <t>D11</t>
        </is>
      </c>
      <c r="B136" s="8" t="inlineStr">
        <is>
          <t>I06</t>
        </is>
      </c>
      <c r="C136" s="8" t="inlineStr">
        <is>
          <t>Failure-to-Learning Capability</t>
        </is>
      </c>
      <c r="D136" s="8" t="inlineStr">
        <is>
          <t>Y</t>
        </is>
      </c>
      <c r="E136" s="6" t="n"/>
      <c r="F136" s="6" t="n"/>
      <c r="G136" s="6" t="n"/>
      <c r="H136" s="8" t="inlineStr">
        <is>
          <t>E0</t>
        </is>
      </c>
      <c r="I136" s="8" t="inlineStr">
        <is>
          <t>N</t>
        </is>
      </c>
      <c r="J136" s="8" t="inlineStr">
        <is>
          <t>N</t>
        </is>
      </c>
      <c r="K136" s="6">
        <f>IF(H136="E0",0.20,IF(H136="E1",0.40,IF(H136="E2",0.65,IF(H136="E3",0.85,IF(H136="E4",1.00,0)))))</f>
        <v/>
      </c>
      <c r="L136" s="6">
        <f>IF(D136="N","",IF(OR(E136="",F136=""),"",IF(G136="N/A",100*((0.60*E136)+(0.40*F136))/5,IF(G136="",100*((0.60*E136)+(0.40*F136))/5,100*((0.45*E136)+(0.30*F136)+(0.25*G136))/5))))</f>
        <v/>
      </c>
      <c r="M136" s="6">
        <f>IF(D136="N","",IFERROR(VLOOKUP(A136,'P0-4_Required_Maturity'!$A$2:$I$12,9,FALSE),3))</f>
        <v/>
      </c>
      <c r="N136" s="6">
        <f>IF(OR(E136="",M136=""),"",M136-E136)</f>
        <v/>
      </c>
      <c r="O136" s="6">
        <f>IF(D136="N","N/A",IF(OR(E136="",F136="",H136=""),"INCOMPLETE",IF(AND(L136&gt;=80,H136="E0"),"REVIEW",IF(AND(L136&gt;=80,OR(I136="N",J136="N")),"CORROBORATION REVIEW","OK"))))</f>
        <v/>
      </c>
      <c r="P136" s="6" t="n"/>
    </row>
    <row r="137">
      <c r="A137" s="8" t="inlineStr">
        <is>
          <t>D11</t>
        </is>
      </c>
      <c r="B137" s="8" t="inlineStr">
        <is>
          <t>I07</t>
        </is>
      </c>
      <c r="C137" s="8" t="inlineStr">
        <is>
          <t>Change Management Capacity</t>
        </is>
      </c>
      <c r="D137" s="8" t="inlineStr">
        <is>
          <t>Y</t>
        </is>
      </c>
      <c r="E137" s="6" t="n"/>
      <c r="F137" s="6" t="n"/>
      <c r="G137" s="6" t="n"/>
      <c r="H137" s="8" t="inlineStr">
        <is>
          <t>E0</t>
        </is>
      </c>
      <c r="I137" s="8" t="inlineStr">
        <is>
          <t>N</t>
        </is>
      </c>
      <c r="J137" s="8" t="inlineStr">
        <is>
          <t>N</t>
        </is>
      </c>
      <c r="K137" s="6">
        <f>IF(H137="E0",0.20,IF(H137="E1",0.40,IF(H137="E2",0.65,IF(H137="E3",0.85,IF(H137="E4",1.00,0)))))</f>
        <v/>
      </c>
      <c r="L137" s="6">
        <f>IF(D137="N","",IF(OR(E137="",F137=""),"",IF(G137="N/A",100*((0.60*E137)+(0.40*F137))/5,IF(G137="",100*((0.60*E137)+(0.40*F137))/5,100*((0.45*E137)+(0.30*F137)+(0.25*G137))/5))))</f>
        <v/>
      </c>
      <c r="M137" s="6">
        <f>IF(D137="N","",IFERROR(VLOOKUP(A137,'P0-4_Required_Maturity'!$A$2:$I$12,9,FALSE),3))</f>
        <v/>
      </c>
      <c r="N137" s="6">
        <f>IF(OR(E137="",M137=""),"",M137-E137)</f>
        <v/>
      </c>
      <c r="O137" s="6">
        <f>IF(D137="N","N/A",IF(OR(E137="",F137="",H137=""),"INCOMPLETE",IF(AND(L137&gt;=80,H137="E0"),"REVIEW",IF(AND(L137&gt;=80,OR(I137="N",J137="N")),"CORROBORATION REVIEW","OK"))))</f>
        <v/>
      </c>
      <c r="P137" s="6" t="n"/>
    </row>
    <row r="138">
      <c r="A138" s="8" t="inlineStr">
        <is>
          <t>D11</t>
        </is>
      </c>
      <c r="B138" s="8" t="inlineStr">
        <is>
          <t>I08</t>
        </is>
      </c>
      <c r="C138" s="8" t="inlineStr">
        <is>
          <t>Adaptive Leadership Alignment</t>
        </is>
      </c>
      <c r="D138" s="8" t="inlineStr">
        <is>
          <t>Y</t>
        </is>
      </c>
      <c r="E138" s="6" t="n"/>
      <c r="F138" s="6" t="n"/>
      <c r="G138" s="6" t="n"/>
      <c r="H138" s="8" t="inlineStr">
        <is>
          <t>E0</t>
        </is>
      </c>
      <c r="I138" s="8" t="inlineStr">
        <is>
          <t>N</t>
        </is>
      </c>
      <c r="J138" s="8" t="inlineStr">
        <is>
          <t>N</t>
        </is>
      </c>
      <c r="K138" s="6">
        <f>IF(H138="E0",0.20,IF(H138="E1",0.40,IF(H138="E2",0.65,IF(H138="E3",0.85,IF(H138="E4",1.00,0)))))</f>
        <v/>
      </c>
      <c r="L138" s="6">
        <f>IF(D138="N","",IF(OR(E138="",F138=""),"",IF(G138="N/A",100*((0.60*E138)+(0.40*F138))/5,IF(G138="",100*((0.60*E138)+(0.40*F138))/5,100*((0.45*E138)+(0.30*F138)+(0.25*G138))/5))))</f>
        <v/>
      </c>
      <c r="M138" s="6">
        <f>IF(D138="N","",IFERROR(VLOOKUP(A138,'P0-4_Required_Maturity'!$A$2:$I$12,9,FALSE),3))</f>
        <v/>
      </c>
      <c r="N138" s="6">
        <f>IF(OR(E138="",M138=""),"",M138-E138)</f>
        <v/>
      </c>
      <c r="O138" s="6">
        <f>IF(D138="N","N/A",IF(OR(E138="",F138="",H138=""),"INCOMPLETE",IF(AND(L138&gt;=80,H138="E0"),"REVIEW",IF(AND(L138&gt;=80,OR(I138="N",J138="N")),"CORROBORATION REVIEW","OK"))))</f>
        <v/>
      </c>
      <c r="P138" s="6" t="n"/>
    </row>
    <row r="139">
      <c r="A139" s="8" t="inlineStr">
        <is>
          <t>D11</t>
        </is>
      </c>
      <c r="B139" s="8" t="inlineStr">
        <is>
          <t>I09</t>
        </is>
      </c>
      <c r="C139" s="8" t="inlineStr">
        <is>
          <t>Learner Signal Responsiveness</t>
        </is>
      </c>
      <c r="D139" s="8" t="inlineStr">
        <is>
          <t>Y</t>
        </is>
      </c>
      <c r="E139" s="6" t="n"/>
      <c r="F139" s="6" t="n"/>
      <c r="G139" s="6" t="n"/>
      <c r="H139" s="8" t="inlineStr">
        <is>
          <t>E0</t>
        </is>
      </c>
      <c r="I139" s="8" t="inlineStr">
        <is>
          <t>N</t>
        </is>
      </c>
      <c r="J139" s="8" t="inlineStr">
        <is>
          <t>N</t>
        </is>
      </c>
      <c r="K139" s="6">
        <f>IF(H139="E0",0.20,IF(H139="E1",0.40,IF(H139="E2",0.65,IF(H139="E3",0.85,IF(H139="E4",1.00,0)))))</f>
        <v/>
      </c>
      <c r="L139" s="6">
        <f>IF(D139="N","",IF(OR(E139="",F139=""),"",IF(G139="N/A",100*((0.60*E139)+(0.40*F139))/5,IF(G139="",100*((0.60*E139)+(0.40*F139))/5,100*((0.45*E139)+(0.30*F139)+(0.25*G139))/5))))</f>
        <v/>
      </c>
      <c r="M139" s="6">
        <f>IF(D139="N","",IFERROR(VLOOKUP(A139,'P0-4_Required_Maturity'!$A$2:$I$12,9,FALSE),3))</f>
        <v/>
      </c>
      <c r="N139" s="6">
        <f>IF(OR(E139="",M139=""),"",M139-E139)</f>
        <v/>
      </c>
      <c r="O139" s="6">
        <f>IF(D139="N","N/A",IF(OR(E139="",F139="",H139=""),"INCOMPLETE",IF(AND(L139&gt;=80,H139="E0"),"REVIEW",IF(AND(L139&gt;=80,OR(I139="N",J139="N")),"CORROBORATION REVIEW","OK"))))</f>
        <v/>
      </c>
      <c r="P139" s="6" t="n"/>
    </row>
    <row r="140">
      <c r="A140" s="8" t="inlineStr">
        <is>
          <t>D11</t>
        </is>
      </c>
      <c r="B140" s="8" t="inlineStr">
        <is>
          <t>I10</t>
        </is>
      </c>
      <c r="C140" s="8" t="inlineStr">
        <is>
          <t>Economic &amp; Workforce Responsiveness</t>
        </is>
      </c>
      <c r="D140" s="8" t="inlineStr">
        <is>
          <t>Y</t>
        </is>
      </c>
      <c r="E140" s="6" t="n"/>
      <c r="F140" s="6" t="n"/>
      <c r="G140" s="6" t="n"/>
      <c r="H140" s="8" t="inlineStr">
        <is>
          <t>E0</t>
        </is>
      </c>
      <c r="I140" s="8" t="inlineStr">
        <is>
          <t>N</t>
        </is>
      </c>
      <c r="J140" s="8" t="inlineStr">
        <is>
          <t>N</t>
        </is>
      </c>
      <c r="K140" s="6">
        <f>IF(H140="E0",0.20,IF(H140="E1",0.40,IF(H140="E2",0.65,IF(H140="E3",0.85,IF(H140="E4",1.00,0)))))</f>
        <v/>
      </c>
      <c r="L140" s="6">
        <f>IF(D140="N","",IF(OR(E140="",F140=""),"",IF(G140="N/A",100*((0.60*E140)+(0.40*F140))/5,IF(G140="",100*((0.60*E140)+(0.40*F140))/5,100*((0.45*E140)+(0.30*F140)+(0.25*G140))/5))))</f>
        <v/>
      </c>
      <c r="M140" s="6">
        <f>IF(D140="N","",IFERROR(VLOOKUP(A140,'P0-4_Required_Maturity'!$A$2:$I$12,9,FALSE),3))</f>
        <v/>
      </c>
      <c r="N140" s="6">
        <f>IF(OR(E140="",M140=""),"",M140-E140)</f>
        <v/>
      </c>
      <c r="O140" s="6">
        <f>IF(D140="N","N/A",IF(OR(E140="",F140="",H140=""),"INCOMPLETE",IF(AND(L140&gt;=80,H140="E0"),"REVIEW",IF(AND(L140&gt;=80,OR(I140="N",J140="N")),"CORROBORATION REVIEW","OK"))))</f>
        <v/>
      </c>
      <c r="P140" s="6" t="n"/>
    </row>
    <row r="141">
      <c r="A141" s="8" t="inlineStr">
        <is>
          <t>D11</t>
        </is>
      </c>
      <c r="B141" s="8" t="inlineStr">
        <is>
          <t>I11</t>
        </is>
      </c>
      <c r="C141" s="8" t="inlineStr">
        <is>
          <t>Scenario Planning Capability</t>
        </is>
      </c>
      <c r="D141" s="8" t="inlineStr">
        <is>
          <t>Y</t>
        </is>
      </c>
      <c r="E141" s="6" t="n"/>
      <c r="F141" s="6" t="n"/>
      <c r="G141" s="6" t="n"/>
      <c r="H141" s="8" t="inlineStr">
        <is>
          <t>E0</t>
        </is>
      </c>
      <c r="I141" s="8" t="inlineStr">
        <is>
          <t>N</t>
        </is>
      </c>
      <c r="J141" s="8" t="inlineStr">
        <is>
          <t>N</t>
        </is>
      </c>
      <c r="K141" s="6">
        <f>IF(H141="E0",0.20,IF(H141="E1",0.40,IF(H141="E2",0.65,IF(H141="E3",0.85,IF(H141="E4",1.00,0)))))</f>
        <v/>
      </c>
      <c r="L141" s="6">
        <f>IF(D141="N","",IF(OR(E141="",F141=""),"",IF(G141="N/A",100*((0.60*E141)+(0.40*F141))/5,IF(G141="",100*((0.60*E141)+(0.40*F141))/5,100*((0.45*E141)+(0.30*F141)+(0.25*G141))/5))))</f>
        <v/>
      </c>
      <c r="M141" s="6">
        <f>IF(D141="N","",IFERROR(VLOOKUP(A141,'P0-4_Required_Maturity'!$A$2:$I$12,9,FALSE),3))</f>
        <v/>
      </c>
      <c r="N141" s="6">
        <f>IF(OR(E141="",M141=""),"",M141-E141)</f>
        <v/>
      </c>
      <c r="O141" s="6">
        <f>IF(D141="N","N/A",IF(OR(E141="",F141="",H141=""),"INCOMPLETE",IF(AND(L141&gt;=80,H141="E0"),"REVIEW",IF(AND(L141&gt;=80,OR(I141="N",J141="N")),"CORROBORATION REVIEW","OK"))))</f>
        <v/>
      </c>
      <c r="P141" s="6" t="n"/>
    </row>
    <row r="142">
      <c r="A142" s="8" t="inlineStr">
        <is>
          <t>D11</t>
        </is>
      </c>
      <c r="B142" s="8" t="inlineStr">
        <is>
          <t>I12</t>
        </is>
      </c>
      <c r="C142" s="8" t="inlineStr">
        <is>
          <t>Institutional Resilience</t>
        </is>
      </c>
      <c r="D142" s="8" t="inlineStr">
        <is>
          <t>Y</t>
        </is>
      </c>
      <c r="E142" s="6" t="n"/>
      <c r="F142" s="6" t="n"/>
      <c r="G142" s="6" t="n"/>
      <c r="H142" s="8" t="inlineStr">
        <is>
          <t>E0</t>
        </is>
      </c>
      <c r="I142" s="8" t="inlineStr">
        <is>
          <t>N</t>
        </is>
      </c>
      <c r="J142" s="8" t="inlineStr">
        <is>
          <t>N</t>
        </is>
      </c>
      <c r="K142" s="6">
        <f>IF(H142="E0",0.20,IF(H142="E1",0.40,IF(H142="E2",0.65,IF(H142="E3",0.85,IF(H142="E4",1.00,0)))))</f>
        <v/>
      </c>
      <c r="L142" s="6">
        <f>IF(D142="N","",IF(OR(E142="",F142=""),"",IF(G142="N/A",100*((0.60*E142)+(0.40*F142))/5,IF(G142="",100*((0.60*E142)+(0.40*F142))/5,100*((0.45*E142)+(0.30*F142)+(0.25*G142))/5))))</f>
        <v/>
      </c>
      <c r="M142" s="6">
        <f>IF(D142="N","",IFERROR(VLOOKUP(A142,'P0-4_Required_Maturity'!$A$2:$I$12,9,FALSE),3))</f>
        <v/>
      </c>
      <c r="N142" s="6">
        <f>IF(OR(E142="",M142=""),"",M142-E142)</f>
        <v/>
      </c>
      <c r="O142" s="6">
        <f>IF(D142="N","N/A",IF(OR(E142="",F142="",H142=""),"INCOMPLETE",IF(AND(L142&gt;=80,H142="E0"),"REVIEW",IF(AND(L142&gt;=80,OR(I142="N",J142="N")),"CORROBORATION REVIEW","OK"))))</f>
        <v/>
      </c>
      <c r="P142" s="6" t="n"/>
    </row>
    <row r="143">
      <c r="A143" s="8" t="inlineStr">
        <is>
          <t>D11</t>
        </is>
      </c>
      <c r="B143" s="8" t="inlineStr">
        <is>
          <t>I13</t>
        </is>
      </c>
      <c r="C143" s="8" t="inlineStr">
        <is>
          <t>Institutional Learning System</t>
        </is>
      </c>
      <c r="D143" s="8" t="inlineStr">
        <is>
          <t>Y</t>
        </is>
      </c>
      <c r="E143" s="6" t="n"/>
      <c r="F143" s="6" t="n"/>
      <c r="G143" s="6" t="n"/>
      <c r="H143" s="8" t="inlineStr">
        <is>
          <t>E0</t>
        </is>
      </c>
      <c r="I143" s="8" t="inlineStr">
        <is>
          <t>N</t>
        </is>
      </c>
      <c r="J143" s="8" t="inlineStr">
        <is>
          <t>N</t>
        </is>
      </c>
      <c r="K143" s="6">
        <f>IF(H143="E0",0.20,IF(H143="E1",0.40,IF(H143="E2",0.65,IF(H143="E3",0.85,IF(H143="E4",1.00,0)))))</f>
        <v/>
      </c>
      <c r="L143" s="6">
        <f>IF(D143="N","",IF(OR(E143="",F143=""),"",IF(G143="N/A",100*((0.60*E143)+(0.40*F143))/5,IF(G143="",100*((0.60*E143)+(0.40*F143))/5,100*((0.45*E143)+(0.30*F143)+(0.25*G143))/5))))</f>
        <v/>
      </c>
      <c r="M143" s="6">
        <f>IF(D143="N","",IFERROR(VLOOKUP(A143,'P0-4_Required_Maturity'!$A$2:$I$12,9,FALSE),3))</f>
        <v/>
      </c>
      <c r="N143" s="6">
        <f>IF(OR(E143="",M143=""),"",M143-E143)</f>
        <v/>
      </c>
      <c r="O143" s="6">
        <f>IF(D143="N","N/A",IF(OR(E143="",F143="",H143=""),"INCOMPLETE",IF(AND(L143&gt;=80,H143="E0"),"REVIEW",IF(AND(L143&gt;=80,OR(I143="N",J143="N")),"CORROBORATION REVIEW","OK"))))</f>
        <v/>
      </c>
      <c r="P143" s="6" t="n"/>
    </row>
    <row r="144">
      <c r="A144" s="8" t="inlineStr">
        <is>
          <t>D11</t>
        </is>
      </c>
      <c r="B144" s="8" t="inlineStr">
        <is>
          <t>I14</t>
        </is>
      </c>
      <c r="C144" s="8" t="inlineStr">
        <is>
          <t>Future Transformation Capacity</t>
        </is>
      </c>
      <c r="D144" s="8" t="inlineStr">
        <is>
          <t>Y</t>
        </is>
      </c>
      <c r="E144" s="6" t="n"/>
      <c r="F144" s="6" t="n"/>
      <c r="G144" s="6" t="n"/>
      <c r="H144" s="8" t="inlineStr">
        <is>
          <t>E0</t>
        </is>
      </c>
      <c r="I144" s="8" t="inlineStr">
        <is>
          <t>N</t>
        </is>
      </c>
      <c r="J144" s="8" t="inlineStr">
        <is>
          <t>N</t>
        </is>
      </c>
      <c r="K144" s="6">
        <f>IF(H144="E0",0.20,IF(H144="E1",0.40,IF(H144="E2",0.65,IF(H144="E3",0.85,IF(H144="E4",1.00,0)))))</f>
        <v/>
      </c>
      <c r="L144" s="6">
        <f>IF(D144="N","",IF(OR(E144="",F144=""),"",IF(G144="N/A",100*((0.60*E144)+(0.40*F144))/5,IF(G144="",100*((0.60*E144)+(0.40*F144))/5,100*((0.45*E144)+(0.30*F144)+(0.25*G144))/5))))</f>
        <v/>
      </c>
      <c r="M144" s="6">
        <f>IF(D144="N","",IFERROR(VLOOKUP(A144,'P0-4_Required_Maturity'!$A$2:$I$12,9,FALSE),3))</f>
        <v/>
      </c>
      <c r="N144" s="6">
        <f>IF(OR(E144="",M144=""),"",M144-E144)</f>
        <v/>
      </c>
      <c r="O144" s="6">
        <f>IF(D144="N","N/A",IF(OR(E144="",F144="",H144=""),"INCOMPLETE",IF(AND(L144&gt;=80,H144="E0"),"REVIEW",IF(AND(L144&gt;=80,OR(I144="N",J144="N")),"CORROBORATION REVIEW","OK"))))</f>
        <v/>
      </c>
      <c r="P144" s="6"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60.140625" customWidth="1" min="2" max="2"/>
    <col width="22.140625" customWidth="1" min="3" max="3"/>
    <col width="27.140625" customWidth="1" min="4" max="4"/>
    <col width="60.7109375" customWidth="1" min="5" max="5"/>
  </cols>
  <sheetData>
    <row r="1">
      <c r="A1" s="7" t="inlineStr">
        <is>
          <t>Domain</t>
        </is>
      </c>
      <c r="B1" s="7" t="inlineStr">
        <is>
          <t>Domain Name</t>
        </is>
      </c>
      <c r="C1" s="7" t="inlineStr">
        <is>
          <t>Provisional Weight</t>
        </is>
      </c>
      <c r="D1" s="7" t="inlineStr">
        <is>
          <t>Baseline Required Maturity</t>
        </is>
      </c>
      <c r="E1" s="7" t="inlineStr">
        <is>
          <t>Validation Note</t>
        </is>
      </c>
    </row>
    <row r="2">
      <c r="A2" s="8" t="inlineStr">
        <is>
          <t>D01</t>
        </is>
      </c>
      <c r="B2" s="8" t="inlineStr">
        <is>
          <t>Institutional Strategy, Foresight &amp; AI Direction</t>
        </is>
      </c>
      <c r="C2" s="9" t="n">
        <v>0.1</v>
      </c>
      <c r="D2" s="8" t="n">
        <v>3</v>
      </c>
      <c r="E2" s="8" t="inlineStr">
        <is>
          <t>Provisional; validate through sensitivity and institution-type pilot.</t>
        </is>
      </c>
    </row>
    <row r="3">
      <c r="A3" s="8" t="inlineStr">
        <is>
          <t>D02</t>
        </is>
      </c>
      <c r="B3" s="8" t="inlineStr">
        <is>
          <t>Governance, Responsible AI &amp; Institutional Risk</t>
        </is>
      </c>
      <c r="C3" s="9" t="n">
        <v>0.12</v>
      </c>
      <c r="D3" s="8" t="n">
        <v>3</v>
      </c>
      <c r="E3" s="8" t="inlineStr">
        <is>
          <t>Provisional; validate through sensitivity and institution-type pilot.</t>
        </is>
      </c>
    </row>
    <row r="4">
      <c r="A4" s="8" t="inlineStr">
        <is>
          <t>D03</t>
        </is>
      </c>
      <c r="B4" s="8" t="inlineStr">
        <is>
          <t>Human Capability, Cognitive Readiness &amp; AI-Ready Education</t>
        </is>
      </c>
      <c r="C4" s="9" t="n">
        <v>0.12</v>
      </c>
      <c r="D4" s="8" t="n">
        <v>3</v>
      </c>
      <c r="E4" s="8" t="inlineStr">
        <is>
          <t>Provisional; validate through sensitivity and institution-type pilot.</t>
        </is>
      </c>
    </row>
    <row r="5">
      <c r="A5" s="8" t="inlineStr">
        <is>
          <t>D04</t>
        </is>
      </c>
      <c r="B5" s="8" t="inlineStr">
        <is>
          <t>Curriculum &amp; Programme Future Resilience</t>
        </is>
      </c>
      <c r="C5" s="9" t="n">
        <v>0.1</v>
      </c>
      <c r="D5" s="8" t="n">
        <v>3</v>
      </c>
      <c r="E5" s="8" t="inlineStr">
        <is>
          <t>Provisional; validate through sensitivity and institution-type pilot.</t>
        </is>
      </c>
    </row>
    <row r="6">
      <c r="A6" s="8" t="inlineStr">
        <is>
          <t>D05</t>
        </is>
      </c>
      <c r="B6" s="8" t="inlineStr">
        <is>
          <t>Faculty Capability &amp; Academic Workforce Transformation</t>
        </is>
      </c>
      <c r="C6" s="9" t="n">
        <v>0.1</v>
      </c>
      <c r="D6" s="8" t="n">
        <v>3</v>
      </c>
      <c r="E6" s="8" t="inlineStr">
        <is>
          <t>Provisional; validate through sensitivity and institution-type pilot.</t>
        </is>
      </c>
    </row>
    <row r="7">
      <c r="A7" s="8" t="inlineStr">
        <is>
          <t>D06</t>
        </is>
      </c>
      <c r="B7" s="8" t="inlineStr">
        <is>
          <t>Student Capability, Agency &amp; Future Readiness</t>
        </is>
      </c>
      <c r="C7" s="9" t="n">
        <v>0.1</v>
      </c>
      <c r="D7" s="8" t="n">
        <v>3</v>
      </c>
      <c r="E7" s="8" t="inlineStr">
        <is>
          <t>Provisional; validate through sensitivity and institution-type pilot.</t>
        </is>
      </c>
    </row>
    <row r="8">
      <c r="A8" s="8" t="inlineStr">
        <is>
          <t>D07</t>
        </is>
      </c>
      <c r="B8" s="8" t="inlineStr">
        <is>
          <t>Learning, Assessment &amp; Evidence of Capability</t>
        </is>
      </c>
      <c r="C8" s="9" t="n">
        <v>0.1</v>
      </c>
      <c r="D8" s="8" t="n">
        <v>3</v>
      </c>
      <c r="E8" s="8" t="inlineStr">
        <is>
          <t>Provisional; validate through sensitivity and institution-type pilot.</t>
        </is>
      </c>
    </row>
    <row r="9">
      <c r="A9" s="8" t="inlineStr">
        <is>
          <t>D08</t>
        </is>
      </c>
      <c r="B9" s="8" t="inlineStr">
        <is>
          <t>Digital, Data &amp; Institutional Intelligence</t>
        </is>
      </c>
      <c r="C9" s="9" t="n">
        <v>0.08</v>
      </c>
      <c r="D9" s="8" t="n">
        <v>3</v>
      </c>
      <c r="E9" s="8" t="inlineStr">
        <is>
          <t>Provisional; validate through sensitivity and institution-type pilot.</t>
        </is>
      </c>
    </row>
    <row r="10">
      <c r="A10" s="8" t="inlineStr">
        <is>
          <t>D09</t>
        </is>
      </c>
      <c r="B10" s="8" t="inlineStr">
        <is>
          <t>Employability, Industry &amp; Economic Relevance</t>
        </is>
      </c>
      <c r="C10" s="9" t="n">
        <v>0.09</v>
      </c>
      <c r="D10" s="8" t="n">
        <v>3</v>
      </c>
      <c r="E10" s="8" t="inlineStr">
        <is>
          <t>Provisional; validate through sensitivity and institution-type pilot.</t>
        </is>
      </c>
    </row>
    <row r="11">
      <c r="A11" s="8" t="inlineStr">
        <is>
          <t>D10</t>
        </is>
      </c>
      <c r="B11" s="8" t="inlineStr">
        <is>
          <t>Research, Innovation &amp; Knowledge Creation</t>
        </is>
      </c>
      <c r="C11" s="9" t="n">
        <v>0.05</v>
      </c>
      <c r="D11" s="8" t="n">
        <v>3</v>
      </c>
      <c r="E11" s="8" t="inlineStr">
        <is>
          <t>Provisional; validate through sensitivity and institution-type pilot.</t>
        </is>
      </c>
    </row>
    <row r="12">
      <c r="A12" s="8" t="inlineStr">
        <is>
          <t>D11</t>
        </is>
      </c>
      <c r="B12" s="8" t="inlineStr">
        <is>
          <t>Institutional Adaptability &amp; AI Resilience</t>
        </is>
      </c>
      <c r="C12" s="9" t="n">
        <v>0.04</v>
      </c>
      <c r="D12" s="8" t="n">
        <v>3</v>
      </c>
      <c r="E12" s="8" t="inlineStr">
        <is>
          <t>Provisional; validate through sensitivity and institution-type pilot.</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20.140625" customWidth="1" min="2" max="2"/>
    <col width="17.140625" customWidth="1" min="4" max="4"/>
    <col width="22.140625" customWidth="1" min="5" max="5"/>
    <col width="14.140625" customWidth="1" min="7" max="7"/>
    <col width="20.140625" customWidth="1" min="8" max="8"/>
  </cols>
  <sheetData>
    <row r="1">
      <c r="A1" s="7" t="inlineStr">
        <is>
          <t>Domain</t>
        </is>
      </c>
      <c r="B1" s="7" t="inlineStr">
        <is>
          <t>Domain Score /100</t>
        </is>
      </c>
      <c r="C1" s="7" t="inlineStr">
        <is>
          <t>Applicable Metrics</t>
        </is>
      </c>
      <c r="D1" s="7" t="inlineStr">
        <is>
          <t>N/A Metrics</t>
        </is>
      </c>
      <c r="E1" s="7" t="inlineStr">
        <is>
          <t>Average Confidence</t>
        </is>
      </c>
      <c r="F1" s="7" t="inlineStr">
        <is>
          <t>Weighted Contribution</t>
        </is>
      </c>
      <c r="G1" s="7" t="inlineStr">
        <is>
          <t>Weight</t>
        </is>
      </c>
      <c r="H1" s="7" t="inlineStr">
        <is>
          <t>Domain Status</t>
        </is>
      </c>
    </row>
    <row r="2">
      <c r="A2" s="8" t="inlineStr">
        <is>
          <t>D01</t>
        </is>
      </c>
      <c r="B2" s="6">
        <f>IFERROR(AVERAGEIF('P0-3_Scorecard'!$A$2:$A$144,A2,'P0-3_Scorecard'!$L$2:$L$144),"")</f>
        <v/>
      </c>
      <c r="C2" s="6">
        <f>COUNTIFS('P0-3_Scorecard'!$A$2:$A$144,A2,'P0-3_Scorecard'!$D$2:$D$144,"Y")</f>
        <v/>
      </c>
      <c r="D2" s="6">
        <f>COUNTIFS('P0-3_Scorecard'!$A$2:$A$144,A2,'P0-3_Scorecard'!$D$2:$D$144,"N")</f>
        <v/>
      </c>
      <c r="E2" s="6">
        <f>IFERROR(AVERAGEIF('P0-3_Scorecard'!$A$2:$A$144,A2,'P0-3_Scorecard'!$K$2:$K$144),"")</f>
        <v/>
      </c>
      <c r="F2" s="6">
        <f>IF(B2="","",B2*G2)</f>
        <v/>
      </c>
      <c r="G2" s="9" t="n">
        <v>0.1</v>
      </c>
      <c r="H2" s="6">
        <f>IF(B2="","NOT SCORED",IF(B2&gt;=80,"STRONG",IF(B2&gt;=60,"DEVELOPING","PRIORITY")))</f>
        <v/>
      </c>
    </row>
    <row r="3">
      <c r="A3" s="8" t="inlineStr">
        <is>
          <t>D02</t>
        </is>
      </c>
      <c r="B3" s="6">
        <f>IFERROR(AVERAGEIF('P0-3_Scorecard'!$A$2:$A$144,A3,'P0-3_Scorecard'!$L$2:$L$144),"")</f>
        <v/>
      </c>
      <c r="C3" s="6">
        <f>COUNTIFS('P0-3_Scorecard'!$A$2:$A$144,A3,'P0-3_Scorecard'!$D$2:$D$144,"Y")</f>
        <v/>
      </c>
      <c r="D3" s="6">
        <f>COUNTIFS('P0-3_Scorecard'!$A$2:$A$144,A3,'P0-3_Scorecard'!$D$2:$D$144,"N")</f>
        <v/>
      </c>
      <c r="E3" s="6">
        <f>IFERROR(AVERAGEIF('P0-3_Scorecard'!$A$2:$A$144,A3,'P0-3_Scorecard'!$K$2:$K$144),"")</f>
        <v/>
      </c>
      <c r="F3" s="6">
        <f>IF(B3="","",B3*G3)</f>
        <v/>
      </c>
      <c r="G3" s="9" t="n">
        <v>0.12</v>
      </c>
      <c r="H3" s="6">
        <f>IF(B3="","NOT SCORED",IF(B3&gt;=80,"STRONG",IF(B3&gt;=60,"DEVELOPING","PRIORITY")))</f>
        <v/>
      </c>
    </row>
    <row r="4">
      <c r="A4" s="8" t="inlineStr">
        <is>
          <t>D03</t>
        </is>
      </c>
      <c r="B4" s="6">
        <f>IFERROR(AVERAGEIF('P0-3_Scorecard'!$A$2:$A$144,A4,'P0-3_Scorecard'!$L$2:$L$144),"")</f>
        <v/>
      </c>
      <c r="C4" s="6">
        <f>COUNTIFS('P0-3_Scorecard'!$A$2:$A$144,A4,'P0-3_Scorecard'!$D$2:$D$144,"Y")</f>
        <v/>
      </c>
      <c r="D4" s="6">
        <f>COUNTIFS('P0-3_Scorecard'!$A$2:$A$144,A4,'P0-3_Scorecard'!$D$2:$D$144,"N")</f>
        <v/>
      </c>
      <c r="E4" s="6">
        <f>IFERROR(AVERAGEIF('P0-3_Scorecard'!$A$2:$A$144,A4,'P0-3_Scorecard'!$K$2:$K$144),"")</f>
        <v/>
      </c>
      <c r="F4" s="6">
        <f>IF(B4="","",B4*G4)</f>
        <v/>
      </c>
      <c r="G4" s="9" t="n">
        <v>0.12</v>
      </c>
      <c r="H4" s="6">
        <f>IF(B4="","NOT SCORED",IF(B4&gt;=80,"STRONG",IF(B4&gt;=60,"DEVELOPING","PRIORITY")))</f>
        <v/>
      </c>
    </row>
    <row r="5">
      <c r="A5" s="8" t="inlineStr">
        <is>
          <t>D04</t>
        </is>
      </c>
      <c r="B5" s="6">
        <f>IFERROR(AVERAGEIF('P0-3_Scorecard'!$A$2:$A$144,A5,'P0-3_Scorecard'!$L$2:$L$144),"")</f>
        <v/>
      </c>
      <c r="C5" s="6">
        <f>COUNTIFS('P0-3_Scorecard'!$A$2:$A$144,A5,'P0-3_Scorecard'!$D$2:$D$144,"Y")</f>
        <v/>
      </c>
      <c r="D5" s="6">
        <f>COUNTIFS('P0-3_Scorecard'!$A$2:$A$144,A5,'P0-3_Scorecard'!$D$2:$D$144,"N")</f>
        <v/>
      </c>
      <c r="E5" s="6">
        <f>IFERROR(AVERAGEIF('P0-3_Scorecard'!$A$2:$A$144,A5,'P0-3_Scorecard'!$K$2:$K$144),"")</f>
        <v/>
      </c>
      <c r="F5" s="6">
        <f>IF(B5="","",B5*G5)</f>
        <v/>
      </c>
      <c r="G5" s="9" t="n">
        <v>0.1</v>
      </c>
      <c r="H5" s="6">
        <f>IF(B5="","NOT SCORED",IF(B5&gt;=80,"STRONG",IF(B5&gt;=60,"DEVELOPING","PRIORITY")))</f>
        <v/>
      </c>
    </row>
    <row r="6">
      <c r="A6" s="8" t="inlineStr">
        <is>
          <t>D05</t>
        </is>
      </c>
      <c r="B6" s="6">
        <f>IFERROR(AVERAGEIF('P0-3_Scorecard'!$A$2:$A$144,A6,'P0-3_Scorecard'!$L$2:$L$144),"")</f>
        <v/>
      </c>
      <c r="C6" s="6">
        <f>COUNTIFS('P0-3_Scorecard'!$A$2:$A$144,A6,'P0-3_Scorecard'!$D$2:$D$144,"Y")</f>
        <v/>
      </c>
      <c r="D6" s="6">
        <f>COUNTIFS('P0-3_Scorecard'!$A$2:$A$144,A6,'P0-3_Scorecard'!$D$2:$D$144,"N")</f>
        <v/>
      </c>
      <c r="E6" s="6">
        <f>IFERROR(AVERAGEIF('P0-3_Scorecard'!$A$2:$A$144,A6,'P0-3_Scorecard'!$K$2:$K$144),"")</f>
        <v/>
      </c>
      <c r="F6" s="6">
        <f>IF(B6="","",B6*G6)</f>
        <v/>
      </c>
      <c r="G6" s="9" t="n">
        <v>0.1</v>
      </c>
      <c r="H6" s="6">
        <f>IF(B6="","NOT SCORED",IF(B6&gt;=80,"STRONG",IF(B6&gt;=60,"DEVELOPING","PRIORITY")))</f>
        <v/>
      </c>
    </row>
    <row r="7">
      <c r="A7" s="8" t="inlineStr">
        <is>
          <t>D06</t>
        </is>
      </c>
      <c r="B7" s="6">
        <f>IFERROR(AVERAGEIF('P0-3_Scorecard'!$A$2:$A$144,A7,'P0-3_Scorecard'!$L$2:$L$144),"")</f>
        <v/>
      </c>
      <c r="C7" s="6">
        <f>COUNTIFS('P0-3_Scorecard'!$A$2:$A$144,A7,'P0-3_Scorecard'!$D$2:$D$144,"Y")</f>
        <v/>
      </c>
      <c r="D7" s="6">
        <f>COUNTIFS('P0-3_Scorecard'!$A$2:$A$144,A7,'P0-3_Scorecard'!$D$2:$D$144,"N")</f>
        <v/>
      </c>
      <c r="E7" s="6">
        <f>IFERROR(AVERAGEIF('P0-3_Scorecard'!$A$2:$A$144,A7,'P0-3_Scorecard'!$K$2:$K$144),"")</f>
        <v/>
      </c>
      <c r="F7" s="6">
        <f>IF(B7="","",B7*G7)</f>
        <v/>
      </c>
      <c r="G7" s="9" t="n">
        <v>0.1</v>
      </c>
      <c r="H7" s="6">
        <f>IF(B7="","NOT SCORED",IF(B7&gt;=80,"STRONG",IF(B7&gt;=60,"DEVELOPING","PRIORITY")))</f>
        <v/>
      </c>
    </row>
    <row r="8">
      <c r="A8" s="8" t="inlineStr">
        <is>
          <t>D07</t>
        </is>
      </c>
      <c r="B8" s="6">
        <f>IFERROR(AVERAGEIF('P0-3_Scorecard'!$A$2:$A$144,A8,'P0-3_Scorecard'!$L$2:$L$144),"")</f>
        <v/>
      </c>
      <c r="C8" s="6">
        <f>COUNTIFS('P0-3_Scorecard'!$A$2:$A$144,A8,'P0-3_Scorecard'!$D$2:$D$144,"Y")</f>
        <v/>
      </c>
      <c r="D8" s="6">
        <f>COUNTIFS('P0-3_Scorecard'!$A$2:$A$144,A8,'P0-3_Scorecard'!$D$2:$D$144,"N")</f>
        <v/>
      </c>
      <c r="E8" s="6">
        <f>IFERROR(AVERAGEIF('P0-3_Scorecard'!$A$2:$A$144,A8,'P0-3_Scorecard'!$K$2:$K$144),"")</f>
        <v/>
      </c>
      <c r="F8" s="6">
        <f>IF(B8="","",B8*G8)</f>
        <v/>
      </c>
      <c r="G8" s="9" t="n">
        <v>0.1</v>
      </c>
      <c r="H8" s="6">
        <f>IF(B8="","NOT SCORED",IF(B8&gt;=80,"STRONG",IF(B8&gt;=60,"DEVELOPING","PRIORITY")))</f>
        <v/>
      </c>
    </row>
    <row r="9">
      <c r="A9" s="8" t="inlineStr">
        <is>
          <t>D08</t>
        </is>
      </c>
      <c r="B9" s="6">
        <f>IFERROR(AVERAGEIF('P0-3_Scorecard'!$A$2:$A$144,A9,'P0-3_Scorecard'!$L$2:$L$144),"")</f>
        <v/>
      </c>
      <c r="C9" s="6">
        <f>COUNTIFS('P0-3_Scorecard'!$A$2:$A$144,A9,'P0-3_Scorecard'!$D$2:$D$144,"Y")</f>
        <v/>
      </c>
      <c r="D9" s="6">
        <f>COUNTIFS('P0-3_Scorecard'!$A$2:$A$144,A9,'P0-3_Scorecard'!$D$2:$D$144,"N")</f>
        <v/>
      </c>
      <c r="E9" s="6">
        <f>IFERROR(AVERAGEIF('P0-3_Scorecard'!$A$2:$A$144,A9,'P0-3_Scorecard'!$K$2:$K$144),"")</f>
        <v/>
      </c>
      <c r="F9" s="6">
        <f>IF(B9="","",B9*G9)</f>
        <v/>
      </c>
      <c r="G9" s="9" t="n">
        <v>0.08</v>
      </c>
      <c r="H9" s="6">
        <f>IF(B9="","NOT SCORED",IF(B9&gt;=80,"STRONG",IF(B9&gt;=60,"DEVELOPING","PRIORITY")))</f>
        <v/>
      </c>
    </row>
    <row r="10">
      <c r="A10" s="8" t="inlineStr">
        <is>
          <t>D09</t>
        </is>
      </c>
      <c r="B10" s="6">
        <f>IFERROR(AVERAGEIF('P0-3_Scorecard'!$A$2:$A$144,A10,'P0-3_Scorecard'!$L$2:$L$144),"")</f>
        <v/>
      </c>
      <c r="C10" s="6">
        <f>COUNTIFS('P0-3_Scorecard'!$A$2:$A$144,A10,'P0-3_Scorecard'!$D$2:$D$144,"Y")</f>
        <v/>
      </c>
      <c r="D10" s="6">
        <f>COUNTIFS('P0-3_Scorecard'!$A$2:$A$144,A10,'P0-3_Scorecard'!$D$2:$D$144,"N")</f>
        <v/>
      </c>
      <c r="E10" s="6">
        <f>IFERROR(AVERAGEIF('P0-3_Scorecard'!$A$2:$A$144,A10,'P0-3_Scorecard'!$K$2:$K$144),"")</f>
        <v/>
      </c>
      <c r="F10" s="6">
        <f>IF(B10="","",B10*G10)</f>
        <v/>
      </c>
      <c r="G10" s="9" t="n">
        <v>0.09</v>
      </c>
      <c r="H10" s="6">
        <f>IF(B10="","NOT SCORED",IF(B10&gt;=80,"STRONG",IF(B10&gt;=60,"DEVELOPING","PRIORITY")))</f>
        <v/>
      </c>
    </row>
    <row r="11">
      <c r="A11" s="8" t="inlineStr">
        <is>
          <t>D10</t>
        </is>
      </c>
      <c r="B11" s="6">
        <f>IFERROR(AVERAGEIF('P0-3_Scorecard'!$A$2:$A$144,A11,'P0-3_Scorecard'!$L$2:$L$144),"")</f>
        <v/>
      </c>
      <c r="C11" s="6">
        <f>COUNTIFS('P0-3_Scorecard'!$A$2:$A$144,A11,'P0-3_Scorecard'!$D$2:$D$144,"Y")</f>
        <v/>
      </c>
      <c r="D11" s="6">
        <f>COUNTIFS('P0-3_Scorecard'!$A$2:$A$144,A11,'P0-3_Scorecard'!$D$2:$D$144,"N")</f>
        <v/>
      </c>
      <c r="E11" s="6">
        <f>IFERROR(AVERAGEIF('P0-3_Scorecard'!$A$2:$A$144,A11,'P0-3_Scorecard'!$K$2:$K$144),"")</f>
        <v/>
      </c>
      <c r="F11" s="6">
        <f>IF(B11="","",B11*G11)</f>
        <v/>
      </c>
      <c r="G11" s="9" t="n">
        <v>0.05</v>
      </c>
      <c r="H11" s="6">
        <f>IF(B11="","NOT SCORED",IF(B11&gt;=80,"STRONG",IF(B11&gt;=60,"DEVELOPING","PRIORITY")))</f>
        <v/>
      </c>
    </row>
    <row r="12">
      <c r="A12" s="8" t="inlineStr">
        <is>
          <t>D11</t>
        </is>
      </c>
      <c r="B12" s="6">
        <f>IFERROR(AVERAGEIF('P0-3_Scorecard'!$A$2:$A$144,A12,'P0-3_Scorecard'!$L$2:$L$144),"")</f>
        <v/>
      </c>
      <c r="C12" s="6">
        <f>COUNTIFS('P0-3_Scorecard'!$A$2:$A$144,A12,'P0-3_Scorecard'!$D$2:$D$144,"Y")</f>
        <v/>
      </c>
      <c r="D12" s="6">
        <f>COUNTIFS('P0-3_Scorecard'!$A$2:$A$144,A12,'P0-3_Scorecard'!$D$2:$D$144,"N")</f>
        <v/>
      </c>
      <c r="E12" s="6">
        <f>IFERROR(AVERAGEIF('P0-3_Scorecard'!$A$2:$A$144,A12,'P0-3_Scorecard'!$K$2:$K$144),"")</f>
        <v/>
      </c>
      <c r="F12" s="6">
        <f>IF(B12="","",B12*G12)</f>
        <v/>
      </c>
      <c r="G12" s="9" t="n">
        <v>0.04</v>
      </c>
      <c r="H12" s="6">
        <f>IF(B12="","NOT SCORED",IF(B12&gt;=80,"STRONG",IF(B12&gt;=60,"DEVELOPING","PRIORITY")))</f>
        <v/>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34.140625" customWidth="1" min="1" max="1"/>
    <col width="60.7109375" customWidth="1" min="2" max="2"/>
  </cols>
  <sheetData>
    <row r="1">
      <c r="A1" s="7" t="inlineStr">
        <is>
          <t>P0-3 OVERALL INDEX</t>
        </is>
      </c>
      <c r="B1" s="7" t="inlineStr">
        <is>
          <t>Value</t>
        </is>
      </c>
    </row>
    <row r="2">
      <c r="A2" s="8" t="inlineStr">
        <is>
          <t>Overall ARUI /100</t>
        </is>
      </c>
      <c r="B2" s="6">
        <f>SUM('P0-3_Domain_Aggregation'!F2:F12)</f>
        <v/>
      </c>
    </row>
    <row r="3">
      <c r="A3" s="8" t="inlineStr">
        <is>
          <t>Weighted domain coverage</t>
        </is>
      </c>
      <c r="B3" s="6">
        <f>SUMPRODUCT('P0-3_Domain_Aggregation'!G2:G12,--('P0-3_Domain_Aggregation'!B2:B12&lt;&gt;""))</f>
        <v/>
      </c>
    </row>
    <row r="4">
      <c r="A4" s="8" t="inlineStr">
        <is>
          <t>Average confidence</t>
        </is>
      </c>
      <c r="B4" s="6">
        <f>IFERROR(SUMPRODUCT('P0-3_Domain_Aggregation'!E2:E12,'P0-3_Domain_Aggregation'!G2:G12)/B3,"")</f>
        <v/>
      </c>
    </row>
    <row r="5">
      <c r="A5" s="8" t="inlineStr">
        <is>
          <t>Interpretation</t>
        </is>
      </c>
      <c r="B5" s="8" t="inlineStr">
        <is>
          <t>Diagnostic only until P0-3 validation gates pass.</t>
        </is>
      </c>
    </row>
    <row r="6">
      <c r="A6" s="8" t="inlineStr">
        <is>
          <t>Public benchmark status</t>
        </is>
      </c>
      <c r="B6" s="8" t="inlineStr">
        <is>
          <t>BLOCKED</t>
        </is>
      </c>
    </row>
    <row r="7">
      <c r="A7" s="8" t="inlineStr">
        <is>
          <t>Certification status</t>
        </is>
      </c>
      <c r="B7" s="8" t="inlineStr">
        <is>
          <t>NOT A CERTIFICATION ENGINE</t>
        </is>
      </c>
    </row>
    <row r="8">
      <c r="A8" s="8" t="inlineStr">
        <is>
          <t>Pay-for-score protection</t>
        </is>
      </c>
      <c r="B8" s="8" t="inlineStr">
        <is>
          <t>Assessment fees may pay for assessment work; they must not influence score, rank, verification or recognition.</t>
        </is>
      </c>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4.140625" customWidth="1" min="1" max="1"/>
    <col width="44.140625" customWidth="1" min="2" max="2"/>
    <col width="54.140625" customWidth="1" min="3" max="3"/>
    <col width="50.140625" customWidth="1" min="5" max="5"/>
  </cols>
  <sheetData>
    <row r="1">
      <c r="A1" s="7" t="inlineStr">
        <is>
          <t>Variable</t>
        </is>
      </c>
      <c r="B1" s="7" t="inlineStr">
        <is>
          <t>Allowed inputs / bands</t>
        </is>
      </c>
      <c r="C1" s="7" t="inlineStr">
        <is>
          <t>Effect on scoring</t>
        </is>
      </c>
      <c r="D1" s="7" t="inlineStr">
        <is>
          <t>Effect on evidence burden</t>
        </is>
      </c>
      <c r="E1" s="7" t="inlineStr">
        <is>
          <t>Effect on required maturity</t>
        </is>
      </c>
      <c r="F1" s="7" t="inlineStr">
        <is>
          <t>Governance rule</t>
        </is>
      </c>
    </row>
    <row r="2">
      <c r="A2" s="8" t="inlineStr">
        <is>
          <t>Institution type</t>
        </is>
      </c>
      <c r="B2" s="8" t="inlineStr">
        <is>
          <t>University; Deemed; Autonomous; College; Specialist; Other</t>
        </is>
      </c>
      <c r="C2" s="8" t="inlineStr">
        <is>
          <t>No automatic bonus/penalty</t>
        </is>
      </c>
      <c r="D2" s="8" t="inlineStr">
        <is>
          <t>Adjust sample design proportionately</t>
        </is>
      </c>
      <c r="E2" s="8" t="inlineStr">
        <is>
          <t>Mandate-sensitive only</t>
        </is>
      </c>
      <c r="F2" s="8" t="inlineStr">
        <is>
          <t>Assessor must document applicability</t>
        </is>
      </c>
    </row>
    <row r="3">
      <c r="A3" s="8" t="inlineStr">
        <is>
          <t>Scale</t>
        </is>
      </c>
      <c r="B3" s="8" t="inlineStr">
        <is>
          <t>Student/FTE bands</t>
        </is>
      </c>
      <c r="C3" s="8" t="inlineStr">
        <is>
          <t>No automatic bonus/penalty</t>
        </is>
      </c>
      <c r="D3" s="8" t="inlineStr">
        <is>
          <t>Smaller populations may use proportionate samples</t>
        </is>
      </c>
      <c r="E3" s="8" t="inlineStr">
        <is>
          <t>None unless mandate/operating complexity changes</t>
        </is>
      </c>
      <c r="F3" s="8" t="inlineStr">
        <is>
          <t>Same construct standard</t>
        </is>
      </c>
    </row>
    <row r="4">
      <c r="A4" s="8" t="inlineStr">
        <is>
          <t>Geography</t>
        </is>
      </c>
      <c r="B4" s="8" t="inlineStr">
        <is>
          <t>Metro; urban; semi-urban; rural; multi-campus; remote</t>
        </is>
      </c>
      <c r="C4" s="8" t="inlineStr">
        <is>
          <t>No automatic bonus/penalty</t>
        </is>
      </c>
      <c r="D4" s="8" t="inlineStr">
        <is>
          <t>Evidence access/sample design may adapt</t>
        </is>
      </c>
      <c r="E4" s="8" t="inlineStr">
        <is>
          <t>None by geography alone</t>
        </is>
      </c>
      <c r="F4" s="8" t="inlineStr">
        <is>
          <t>Do not lower maturity expectation</t>
        </is>
      </c>
    </row>
    <row r="5">
      <c r="A5" s="8" t="inlineStr">
        <is>
          <t>Discipline mix</t>
        </is>
      </c>
      <c r="B5" s="8" t="inlineStr">
        <is>
          <t>Technical; professional; humanities; health; mixed</t>
        </is>
      </c>
      <c r="C5" s="8" t="inlineStr">
        <is>
          <t>No automatic bonus/penalty</t>
        </is>
      </c>
      <c r="D5" s="8" t="inlineStr">
        <is>
          <t>Examples/tasks branch by discipline</t>
        </is>
      </c>
      <c r="E5" s="8" t="inlineStr">
        <is>
          <t>Consequence/exposure may alter required maturity</t>
        </is>
      </c>
      <c r="F5" s="8" t="inlineStr">
        <is>
          <t>Construct remains invariant</t>
        </is>
      </c>
    </row>
    <row r="6">
      <c r="A6" s="8" t="inlineStr">
        <is>
          <t>Resource envelope</t>
        </is>
      </c>
      <c r="B6" s="8" t="inlineStr">
        <is>
          <t>Low/medium/high or documented resource profile</t>
        </is>
      </c>
      <c r="C6" s="8" t="inlineStr">
        <is>
          <t>No score bonus</t>
        </is>
      </c>
      <c r="D6" s="8" t="inlineStr">
        <is>
          <t>Evidence burden may be proportionate</t>
        </is>
      </c>
      <c r="E6" s="8" t="inlineStr">
        <is>
          <t>Does not lower target maturity</t>
        </is>
      </c>
      <c r="F6" s="8" t="inlineStr">
        <is>
          <t>No pay-to-score</t>
        </is>
      </c>
    </row>
    <row r="7">
      <c r="A7" s="8" t="inlineStr">
        <is>
          <t>Student profile</t>
        </is>
      </c>
      <c r="B7" s="8" t="inlineStr">
        <is>
          <t>First-generation; working; residential; online; mixed etc.</t>
        </is>
      </c>
      <c r="C7" s="8" t="inlineStr">
        <is>
          <t>No automatic bonus/penalty</t>
        </is>
      </c>
      <c r="D7" s="8" t="inlineStr">
        <is>
          <t>Sample and support evidence may adapt</t>
        </is>
      </c>
      <c r="E7" s="8" t="inlineStr">
        <is>
          <t>Mandate/exposure only</t>
        </is>
      </c>
      <c r="F7" s="8" t="inlineStr">
        <is>
          <t>Protect equity interpretation</t>
        </is>
      </c>
    </row>
    <row r="8">
      <c r="A8" s="8" t="inlineStr">
        <is>
          <t>Research intensity</t>
        </is>
      </c>
      <c r="B8" s="8" t="inlineStr">
        <is>
          <t>Low/medium/high</t>
        </is>
      </c>
      <c r="C8" s="8" t="inlineStr">
        <is>
          <t>No automatic bonus/penalty</t>
        </is>
      </c>
      <c r="D8" s="8" t="inlineStr">
        <is>
          <t>Research evidence branch</t>
        </is>
      </c>
      <c r="E8" s="8" t="inlineStr">
        <is>
          <t>Higher research consequence may increase R for D10</t>
        </is>
      </c>
      <c r="F8" s="8" t="inlineStr">
        <is>
          <t>Do not penalise non-research institutions for N/A constructs</t>
        </is>
      </c>
    </row>
    <row r="9">
      <c r="A9" s="8" t="inlineStr">
        <is>
          <t>AI exposure</t>
        </is>
      </c>
      <c r="B9" s="8" t="inlineStr">
        <is>
          <t>Low/medium/high/critical</t>
        </is>
      </c>
      <c r="C9" s="8" t="inlineStr">
        <is>
          <t>No automatic bonus/penalty</t>
        </is>
      </c>
      <c r="D9" s="8" t="inlineStr">
        <is>
          <t>Higher exposure can increase evidence depth</t>
        </is>
      </c>
      <c r="E9" s="8" t="inlineStr">
        <is>
          <t>May increase R where consequential exposure is material</t>
        </is>
      </c>
      <c r="F9" s="8" t="inlineStr">
        <is>
          <t>Document exposure basis</t>
        </is>
      </c>
    </row>
    <row r="10">
      <c r="A10" s="8" t="inlineStr">
        <is>
          <t>Institutional trajectory</t>
        </is>
      </c>
      <c r="B10" s="8" t="inlineStr">
        <is>
          <t>Stable; expanding; restructuring; turnaround; strategic transition</t>
        </is>
      </c>
      <c r="C10" s="8" t="inlineStr">
        <is>
          <t>No automatic bonus/penalty</t>
        </is>
      </c>
      <c r="D10" s="8" t="inlineStr">
        <is>
          <t>Use recent change evidence</t>
        </is>
      </c>
      <c r="E10" s="8" t="inlineStr">
        <is>
          <t>May affect transformation urgency, not capability score</t>
        </is>
      </c>
      <c r="F10" s="8" t="inlineStr">
        <is>
          <t>Do not convert difficulty into leniency</t>
        </is>
      </c>
    </row>
    <row r="11">
      <c r="A11" s="8" t="inlineStr">
        <is>
          <t>Context calibration formula</t>
        </is>
      </c>
      <c r="B11" s="8" t="inlineStr">
        <is>
          <t>R = clamp(0,5, Base mandate + Exposure adjustment + Consequence adjustment + Trajectory adjustment)</t>
        </is>
      </c>
      <c r="C11" s="8" t="inlineStr">
        <is>
          <t>Apply only to required maturity R, never raw capability score</t>
        </is>
      </c>
      <c r="D11" s="8" t="inlineStr">
        <is>
          <t>Evidence burden adjusted separately</t>
        </is>
      </c>
      <c r="E11" s="8" t="inlineStr">
        <is>
          <t>Target only</t>
        </is>
      </c>
      <c r="F11" s="8" t="inlineStr">
        <is>
          <t>All adjustments require documented rationale</t>
        </is>
      </c>
    </row>
    <row r="13">
      <c r="A13" t="inlineStr">
        <is>
          <t>P0-4 UPDATE</t>
        </is>
      </c>
      <c r="B13" t="inlineStr">
        <is>
          <t>Context calibration is now executable through P0-4_Context_Profile and P0-4_Required_Maturity; resource envelope affects evidence burden, not target maturity.</t>
        </is>
      </c>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0.140625" customWidth="1" min="1" max="1"/>
    <col width="57.140625" customWidth="1" min="3" max="3"/>
    <col width="60.7109375" customWidth="1" min="5" max="5"/>
  </cols>
  <sheetData>
    <row r="1">
      <c r="A1" s="7" t="inlineStr">
        <is>
          <t>Evidence Level</t>
        </is>
      </c>
      <c r="B1" s="7" t="inlineStr">
        <is>
          <t>Base Confidence</t>
        </is>
      </c>
      <c r="C1" s="7" t="inlineStr">
        <is>
          <t>Meaning</t>
        </is>
      </c>
      <c r="D1" s="7" t="inlineStr">
        <is>
          <t>Typical use</t>
        </is>
      </c>
      <c r="E1" s="7" t="inlineStr">
        <is>
          <t>High-score condition</t>
        </is>
      </c>
    </row>
    <row r="2">
      <c r="A2" s="8" t="inlineStr">
        <is>
          <t>E0</t>
        </is>
      </c>
      <c r="B2" s="11" t="n">
        <v>0.2</v>
      </c>
      <c r="C2" s="8" t="inlineStr">
        <is>
          <t>Description/claim only</t>
        </is>
      </c>
      <c r="D2" s="8" t="inlineStr">
        <is>
          <t>Discovery, not sufficient for high maturity</t>
        </is>
      </c>
      <c r="E2" s="8" t="inlineStr">
        <is>
          <t>Cannot support high maturity alone</t>
        </is>
      </c>
    </row>
    <row r="3">
      <c r="A3" s="8" t="inlineStr">
        <is>
          <t>E1</t>
        </is>
      </c>
      <c r="B3" s="11" t="n">
        <v>0.4</v>
      </c>
      <c r="C3" s="8" t="inlineStr">
        <is>
          <t>Institutional artefact</t>
        </is>
      </c>
      <c r="D3" s="8" t="inlineStr">
        <is>
          <t>Policy, plan, curriculum, framework</t>
        </is>
      </c>
      <c r="E3" s="8" t="inlineStr">
        <is>
          <t>Must show implementation for score ≥3</t>
        </is>
      </c>
    </row>
    <row r="4">
      <c r="A4" s="8" t="inlineStr">
        <is>
          <t>E2</t>
        </is>
      </c>
      <c r="B4" s="11" t="n">
        <v>0.65</v>
      </c>
      <c r="C4" s="8" t="inlineStr">
        <is>
          <t>Operational evidence</t>
        </is>
      </c>
      <c r="D4" s="8" t="inlineStr">
        <is>
          <t>Dated operating records, samples, workflow traces</t>
        </is>
      </c>
      <c r="E4" s="8" t="inlineStr">
        <is>
          <t>Score ≥3 requires direct operational/demonstration evidence</t>
        </is>
      </c>
    </row>
    <row r="5">
      <c r="A5" s="8" t="inlineStr">
        <is>
          <t>E3</t>
        </is>
      </c>
      <c r="B5" s="11" t="n">
        <v>0.85</v>
      </c>
      <c r="C5" s="8" t="inlineStr">
        <is>
          <t>Outcome evidence</t>
        </is>
      </c>
      <c r="D5" s="8" t="inlineStr">
        <is>
          <t>Measured outcomes linked to construct</t>
        </is>
      </c>
      <c r="E5" s="8" t="inlineStr">
        <is>
          <t>Required/preferred for claimed outcome strength</t>
        </is>
      </c>
    </row>
    <row r="6">
      <c r="A6" s="8" t="inlineStr">
        <is>
          <t>E4</t>
        </is>
      </c>
      <c r="B6" s="11" t="n">
        <v>1</v>
      </c>
      <c r="C6" s="8" t="inlineStr">
        <is>
          <t>Independent/triangulated evidence</t>
        </is>
      </c>
      <c r="D6" s="8" t="inlineStr">
        <is>
          <t>External validation or independent corroboration</t>
        </is>
      </c>
      <c r="E6" s="8" t="inlineStr">
        <is>
          <t>Preferred for high-stakes/high maturity claims</t>
        </is>
      </c>
    </row>
    <row r="7">
      <c r="A7" s="8" t="inlineStr">
        <is>
          <t>Adjustment</t>
        </is>
      </c>
      <c r="B7" s="8" t="inlineStr">
        <is>
          <t>Rule</t>
        </is>
      </c>
      <c r="C7" s="6" t="n"/>
      <c r="D7" s="6" t="n"/>
      <c r="E7" s="6" t="n"/>
    </row>
    <row r="8">
      <c r="A8" s="8" t="inlineStr">
        <is>
          <t>Corroboration</t>
        </is>
      </c>
      <c r="B8" s="8" t="inlineStr">
        <is>
          <t>For metric score ≥80, require corroboration unless intrinsically single-source.</t>
        </is>
      </c>
      <c r="C8" s="6" t="n"/>
      <c r="D8" s="6" t="n"/>
      <c r="E8" s="6" t="n"/>
    </row>
    <row r="9">
      <c r="A9" s="8" t="inlineStr">
        <is>
          <t>Independence</t>
        </is>
      </c>
      <c r="B9" s="8" t="inlineStr">
        <is>
          <t>For high-stakes/high maturity claims, independent source preferred/required by metric rule.</t>
        </is>
      </c>
      <c r="C9" s="6" t="n"/>
      <c r="D9" s="6" t="n"/>
      <c r="E9" s="6" t="n"/>
    </row>
    <row r="10">
      <c r="A10" s="8" t="inlineStr">
        <is>
          <t>Separation</t>
        </is>
      </c>
      <c r="B10" s="8" t="inlineStr">
        <is>
          <t>Confidence is reported separately and does not multiply capability score.</t>
        </is>
      </c>
      <c r="C10" s="6" t="n"/>
      <c r="D10" s="6" t="n"/>
      <c r="E10" s="6"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11.140625" customWidth="1" min="2" max="2"/>
    <col width="60.7109375" customWidth="1" min="4" max="4"/>
    <col width="60.140625" customWidth="1" min="5" max="5"/>
    <col width="57.140625" customWidth="1" min="6" max="6"/>
    <col width="37.140625" customWidth="1" min="7" max="7"/>
  </cols>
  <sheetData>
    <row r="1">
      <c r="A1" s="7" t="inlineStr">
        <is>
          <t>Rule ID</t>
        </is>
      </c>
      <c r="B1" s="7" t="inlineStr">
        <is>
          <t>From</t>
        </is>
      </c>
      <c r="C1" s="7" t="inlineStr">
        <is>
          <t>To</t>
        </is>
      </c>
      <c r="D1" s="7" t="inlineStr">
        <is>
          <t>Executable logic</t>
        </is>
      </c>
      <c r="E1" s="7" t="inlineStr">
        <is>
          <t>Trigger condition</t>
        </is>
      </c>
      <c r="F1" s="7" t="inlineStr">
        <is>
          <t>Scoring protection</t>
        </is>
      </c>
      <c r="G1" s="7" t="inlineStr">
        <is>
          <t>Action</t>
        </is>
      </c>
    </row>
    <row r="2">
      <c r="A2" s="8" t="inlineStr">
        <is>
          <t>CD01</t>
        </is>
      </c>
      <c r="B2" s="8" t="inlineStr">
        <is>
          <t>D01</t>
        </is>
      </c>
      <c r="C2" s="8" t="inlineStr">
        <is>
          <t>D03</t>
        </is>
      </c>
      <c r="D2" s="8" t="inlineStr">
        <is>
          <t>Compare D01 strategic priority evidence with D03 capability architecture/evidence.</t>
        </is>
      </c>
      <c r="E2" s="8" t="inlineStr">
        <is>
          <t>Priority exists but no mapped capability development/evidence.</t>
        </is>
      </c>
      <c r="F2" s="8" t="inlineStr">
        <is>
          <t>No D01 uplift from strategic statements alone.</t>
        </is>
      </c>
      <c r="G2" s="8" t="inlineStr">
        <is>
          <t>D03 deep-dive</t>
        </is>
      </c>
    </row>
    <row r="3">
      <c r="A3" s="8" t="inlineStr">
        <is>
          <t>CD02</t>
        </is>
      </c>
      <c r="B3" s="8" t="inlineStr">
        <is>
          <t>D01</t>
        </is>
      </c>
      <c r="C3" s="8" t="inlineStr">
        <is>
          <t>D02</t>
        </is>
      </c>
      <c r="D3" s="8" t="inlineStr">
        <is>
          <t>Compare consequential AI activities with D02 governance ownership/risk controls.</t>
        </is>
      </c>
      <c r="E3" s="8" t="inlineStr">
        <is>
          <t>Consequential activity exceeds documented governance coverage.</t>
        </is>
      </c>
      <c r="F3" s="8" t="inlineStr">
        <is>
          <t>D02 gap remains separate.</t>
        </is>
      </c>
      <c r="G3" s="8" t="inlineStr">
        <is>
          <t>Governance review</t>
        </is>
      </c>
    </row>
    <row r="4">
      <c r="A4" s="8" t="inlineStr">
        <is>
          <t>CD03</t>
        </is>
      </c>
      <c r="B4" s="8" t="inlineStr">
        <is>
          <t>D03</t>
        </is>
      </c>
      <c r="C4" s="8" t="inlineStr">
        <is>
          <t>D04</t>
        </is>
      </c>
      <c r="D4" s="8" t="inlineStr">
        <is>
          <t>Trace priority human capabilities to programme outcome maps and review evidence.</t>
        </is>
      </c>
      <c r="E4" s="8" t="inlineStr">
        <is>
          <t>Capability target has no operational curriculum mapping where applicable.</t>
        </is>
      </c>
      <c r="F4" s="8" t="inlineStr">
        <is>
          <t>Do not score D03 from D04 activity.</t>
        </is>
      </c>
      <c r="G4" s="8" t="inlineStr">
        <is>
          <t>Capability-to-curriculum review</t>
        </is>
      </c>
    </row>
    <row r="5">
      <c r="A5" s="8" t="inlineStr">
        <is>
          <t>CD04</t>
        </is>
      </c>
      <c r="B5" s="8" t="inlineStr">
        <is>
          <t>D03</t>
        </is>
      </c>
      <c r="C5" s="8" t="inlineStr">
        <is>
          <t>D07</t>
        </is>
      </c>
      <c r="D5" s="8" t="inlineStr">
        <is>
          <t>Check target capabilities against actual assessment demonstrations.</t>
        </is>
      </c>
      <c r="E5" s="8" t="inlineStr">
        <is>
          <t>Capability is stated but not demonstrated in sampled assessment.</t>
        </is>
      </c>
      <c r="F5" s="8" t="inlineStr">
        <is>
          <t>D03 score cannot be raised by assessment quality.</t>
        </is>
      </c>
      <c r="G5" s="8" t="inlineStr">
        <is>
          <t>Assessment alignment review</t>
        </is>
      </c>
    </row>
    <row r="6">
      <c r="A6" s="8" t="inlineStr">
        <is>
          <t>CD05</t>
        </is>
      </c>
      <c r="B6" s="8" t="inlineStr">
        <is>
          <t>D06</t>
        </is>
      </c>
      <c r="C6" s="8" t="inlineStr">
        <is>
          <t>D09</t>
        </is>
      </c>
      <c r="D6" s="8" t="inlineStr">
        <is>
          <t>Compare student capability evidence with portfolio/recruiter/placement evidence.</t>
        </is>
      </c>
      <c r="E6" s="8" t="inlineStr">
        <is>
          <t>Student claims materially exceed external validation or vice versa.</t>
        </is>
      </c>
      <c r="F6" s="8" t="inlineStr">
        <is>
          <t>D06 owns lived capability; D09 owns external validation.</t>
        </is>
      </c>
      <c r="G6" s="8" t="inlineStr">
        <is>
          <t>Signalling review</t>
        </is>
      </c>
    </row>
    <row r="7">
      <c r="A7" s="8" t="inlineStr">
        <is>
          <t>CD06</t>
        </is>
      </c>
      <c r="B7" s="8" t="inlineStr">
        <is>
          <t>D08</t>
        </is>
      </c>
      <c r="C7" s="8" t="inlineStr">
        <is>
          <t>D11</t>
        </is>
      </c>
      <c r="D7" s="8" t="inlineStr">
        <is>
          <t>Trace intelligence availability into actual decisions/actions.</t>
        </is>
      </c>
      <c r="E7" s="8" t="inlineStr">
        <is>
          <t>Strong data availability with weak action pathway.</t>
        </is>
      </c>
      <c r="F7" s="8" t="inlineStr">
        <is>
          <t>Data availability is not resilience.</t>
        </is>
      </c>
      <c r="G7" s="8" t="inlineStr">
        <is>
          <t>Intelligence-to-action review</t>
        </is>
      </c>
    </row>
    <row r="8">
      <c r="A8" s="8" t="inlineStr">
        <is>
          <t>CD07</t>
        </is>
      </c>
      <c r="B8" s="8" t="inlineStr">
        <is>
          <t>D09</t>
        </is>
      </c>
      <c r="C8" s="8" t="inlineStr">
        <is>
          <t>D04</t>
        </is>
      </c>
      <c r="D8" s="8" t="inlineStr">
        <is>
          <t>Trace material labour-market signals into programme response.</t>
        </is>
      </c>
      <c r="E8" s="8" t="inlineStr">
        <is>
          <t>Material signal exists but no appropriate programme response.</t>
        </is>
      </c>
      <c r="F8" s="8" t="inlineStr">
        <is>
          <t>Signal belongs D09; programme change belongs D04.</t>
        </is>
      </c>
      <c r="G8" s="8" t="inlineStr">
        <is>
          <t>Signal-to-curriculum review</t>
        </is>
      </c>
    </row>
    <row r="9">
      <c r="A9" s="8" t="inlineStr">
        <is>
          <t>CD08</t>
        </is>
      </c>
      <c r="B9" s="8" t="inlineStr">
        <is>
          <t>D10</t>
        </is>
      </c>
      <c r="C9" s="8" t="inlineStr">
        <is>
          <t>D11</t>
        </is>
      </c>
      <c r="D9" s="8" t="inlineStr">
        <is>
          <t>Trace research/innovation learning into institutional decisions.</t>
        </is>
      </c>
      <c r="E9" s="8" t="inlineStr">
        <is>
          <t>Learning is claimed but not visible in decisions/changes.</t>
        </is>
      </c>
      <c r="F9" s="8" t="inlineStr">
        <is>
          <t>No duplicate research/resilience scoring.</t>
        </is>
      </c>
      <c r="G9" s="8" t="inlineStr">
        <is>
          <t>Learning-loop review</t>
        </is>
      </c>
    </row>
    <row r="10">
      <c r="A10" s="8" t="inlineStr">
        <is>
          <t>CD09</t>
        </is>
      </c>
      <c r="B10" s="8" t="inlineStr">
        <is>
          <t>D11</t>
        </is>
      </c>
      <c r="C10" s="8" t="inlineStr">
        <is>
          <t>D01</t>
        </is>
      </c>
      <c r="D10" s="8" t="inlineStr">
        <is>
          <t>Trace major adaptation events into strategic assumptions and resource decisions.</t>
        </is>
      </c>
      <c r="E10" s="8" t="inlineStr">
        <is>
          <t>Adaptation occurred but strategic assumptions did not update where relevant.</t>
        </is>
      </c>
      <c r="F10" s="8" t="inlineStr">
        <is>
          <t>D11 owns adaptation; D01 owns direction.</t>
        </is>
      </c>
      <c r="G10" s="8" t="inlineStr">
        <is>
          <t>Strategic learning review</t>
        </is>
      </c>
    </row>
    <row r="11">
      <c r="A11" s="8" t="inlineStr">
        <is>
          <t>CD10</t>
        </is>
      </c>
      <c r="B11" s="8" t="inlineStr">
        <is>
          <t>D02</t>
        </is>
      </c>
      <c r="C11" s="8" t="inlineStr">
        <is>
          <t>D08</t>
        </is>
      </c>
      <c r="D11" s="8" t="inlineStr">
        <is>
          <t>Map governance requirements to actual technical/data controls.</t>
        </is>
      </c>
      <c r="E11" s="8" t="inlineStr">
        <is>
          <t>Policy/control requirement has no technical implementation evidence where applicable.</t>
        </is>
      </c>
      <c r="F11" s="8" t="inlineStr">
        <is>
          <t>D02 owns policy/control; D08 owns implementation.</t>
        </is>
      </c>
      <c r="G11" s="8" t="inlineStr">
        <is>
          <t>Policy-to-implementation review</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140625" customWidth="1" min="1" max="1"/>
    <col width="60.7109375" customWidth="1" min="2" max="3"/>
    <col width="24.140625" customWidth="1" min="4" max="4"/>
  </cols>
  <sheetData>
    <row r="1">
      <c r="A1" s="7" t="inlineStr">
        <is>
          <t>Test</t>
        </is>
      </c>
      <c r="B1" s="7" t="inlineStr">
        <is>
          <t>Specification</t>
        </is>
      </c>
      <c r="C1" s="7" t="inlineStr">
        <is>
          <t>Pass criterion</t>
        </is>
      </c>
      <c r="D1" s="7" t="inlineStr">
        <is>
          <t>Status</t>
        </is>
      </c>
    </row>
    <row r="2">
      <c r="A2" s="8" t="inlineStr">
        <is>
          <t>Domain weight sensitivity</t>
        </is>
      </c>
      <c r="B2" s="8" t="inlineStr">
        <is>
          <t>Recalculate overall score under ±20% relative perturbation of each domain weight, renormalising to 100%.</t>
        </is>
      </c>
      <c r="C2" s="8" t="inlineStr">
        <is>
          <t>No single domain causes material instability; predefine threshold before pilot.</t>
        </is>
      </c>
      <c r="D2" s="8" t="inlineStr">
        <is>
          <t>PENDING PILOT</t>
        </is>
      </c>
    </row>
    <row r="3">
      <c r="A3" s="8" t="inlineStr">
        <is>
          <t>Metric coefficient sensitivity</t>
        </is>
      </c>
      <c r="B3" s="8" t="inlineStr">
        <is>
          <t>Test M/I/O coefficient alternatives around 45/30/25 and N/A 60/40.</t>
        </is>
      </c>
      <c r="C3" s="8" t="inlineStr">
        <is>
          <t>Rank/order and diagnostic conclusions remain acceptably stable.</t>
        </is>
      </c>
      <c r="D3" s="8" t="inlineStr">
        <is>
          <t>PENDING PILOT</t>
        </is>
      </c>
    </row>
    <row r="4">
      <c r="A4" s="8" t="inlineStr">
        <is>
          <t>N/A sensitivity</t>
        </is>
      </c>
      <c r="B4" s="8" t="inlineStr">
        <is>
          <t>Compare strict N/A exclusion vs documented proportional aggregation.</t>
        </is>
      </c>
      <c r="C4" s="8" t="inlineStr">
        <is>
          <t>No material score inflation through N/A usage.</t>
        </is>
      </c>
      <c r="D4" s="8" t="inlineStr">
        <is>
          <t>PENDING PILOT</t>
        </is>
      </c>
    </row>
    <row r="5">
      <c r="A5" s="8" t="inlineStr">
        <is>
          <t>Evidence-confidence sensitivity</t>
        </is>
      </c>
      <c r="B5" s="8" t="inlineStr">
        <is>
          <t>Confirm reporting confidence separately does not distort capability rankings.</t>
        </is>
      </c>
      <c r="C5" s="8" t="inlineStr">
        <is>
          <t>Capability score remains evidence-independent except for validity gates.</t>
        </is>
      </c>
      <c r="D5" s="8" t="inlineStr">
        <is>
          <t>PENDING PILOT</t>
        </is>
      </c>
    </row>
    <row r="6">
      <c r="A6" s="8" t="inlineStr">
        <is>
          <t>Institution-type sensitivity</t>
        </is>
      </c>
      <c r="B6" s="8" t="inlineStr">
        <is>
          <t>Run known groups across different institutional types and discipline mixes.</t>
        </is>
      </c>
      <c r="C6" s="8" t="inlineStr">
        <is>
          <t>Expected group differences explainable and not resource-biased.</t>
        </is>
      </c>
      <c r="D6" s="8" t="inlineStr">
        <is>
          <t>PENDING PILOT</t>
        </is>
      </c>
    </row>
    <row r="7">
      <c r="A7" s="8" t="inlineStr">
        <is>
          <t>Required maturity sensitivity</t>
        </is>
      </c>
      <c r="B7" s="8" t="inlineStr">
        <is>
          <t>Vary exposure/consequence/mandate adjustments.</t>
        </is>
      </c>
      <c r="C7" s="8" t="inlineStr">
        <is>
          <t>Transformation priorities are stable and interpretable.</t>
        </is>
      </c>
      <c r="D7" s="8" t="inlineStr">
        <is>
          <t>PENDING PILOT</t>
        </is>
      </c>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34.140625" customWidth="1" min="2" max="2"/>
    <col width="60.7109375" customWidth="1" min="3" max="4"/>
    <col width="24.140625" customWidth="1" min="5" max="5"/>
  </cols>
  <sheetData>
    <row r="1">
      <c r="A1" s="7" t="inlineStr">
        <is>
          <t>Gate</t>
        </is>
      </c>
      <c r="B1" s="7" t="inlineStr">
        <is>
          <t>Test</t>
        </is>
      </c>
      <c r="C1" s="7" t="inlineStr">
        <is>
          <t>Minimum design</t>
        </is>
      </c>
      <c r="D1" s="7" t="inlineStr">
        <is>
          <t>Output</t>
        </is>
      </c>
      <c r="E1" s="7" t="inlineStr">
        <is>
          <t>Status</t>
        </is>
      </c>
    </row>
    <row r="2">
      <c r="A2" s="8" t="inlineStr">
        <is>
          <t>V-G01</t>
        </is>
      </c>
      <c r="B2" s="8" t="inlineStr">
        <is>
          <t>Coefficient calibration</t>
        </is>
      </c>
      <c r="C2" s="8" t="inlineStr">
        <is>
          <t>Pilot institutions across types; compare alternative coefficient sets</t>
        </is>
      </c>
      <c r="D2" s="8" t="inlineStr">
        <is>
          <t>Selected coefficient set + sensitivity report</t>
        </is>
      </c>
      <c r="E2" s="8" t="inlineStr">
        <is>
          <t>PENDING</t>
        </is>
      </c>
    </row>
    <row r="3">
      <c r="A3" s="8" t="inlineStr">
        <is>
          <t>V-G02</t>
        </is>
      </c>
      <c r="B3" s="8" t="inlineStr">
        <is>
          <t>Maturity inter-rater reliability</t>
        </is>
      </c>
      <c r="C3" s="8" t="inlineStr">
        <is>
          <t>At least two trained assessors independently score same sample</t>
        </is>
      </c>
      <c r="D3" s="8" t="inlineStr">
        <is>
          <t>Agreement statistic + adjudication rules</t>
        </is>
      </c>
      <c r="E3" s="8" t="inlineStr">
        <is>
          <t>PENDING</t>
        </is>
      </c>
    </row>
    <row r="4">
      <c r="A4" s="8" t="inlineStr">
        <is>
          <t>V-G03</t>
        </is>
      </c>
      <c r="B4" s="8" t="inlineStr">
        <is>
          <t>Test-retest stability</t>
        </is>
      </c>
      <c r="C4" s="8" t="inlineStr">
        <is>
          <t>Repeat assessment after defined interval with stable evidence</t>
        </is>
      </c>
      <c r="D4" s="8" t="inlineStr">
        <is>
          <t>Stability statistic + drift analysis</t>
        </is>
      </c>
      <c r="E4" s="8" t="inlineStr">
        <is>
          <t>PENDING</t>
        </is>
      </c>
    </row>
    <row r="5">
      <c r="A5" s="8" t="inlineStr">
        <is>
          <t>V-G04</t>
        </is>
      </c>
      <c r="B5" s="8" t="inlineStr">
        <is>
          <t>Known-groups validity</t>
        </is>
      </c>
      <c r="C5" s="8" t="inlineStr">
        <is>
          <t>Compare institutions expected to differ on readiness constructs</t>
        </is>
      </c>
      <c r="D5" s="8" t="inlineStr">
        <is>
          <t>Known-groups effect evidence</t>
        </is>
      </c>
      <c r="E5" s="8" t="inlineStr">
        <is>
          <t>PENDING</t>
        </is>
      </c>
    </row>
    <row r="6">
      <c r="A6" s="8" t="inlineStr">
        <is>
          <t>V-G05</t>
        </is>
      </c>
      <c r="B6" s="8" t="inlineStr">
        <is>
          <t>Convergent validity</t>
        </is>
      </c>
      <c r="C6" s="8" t="inlineStr">
        <is>
          <t>Compare with credible external/internal readiness measures where construct overlap is legitimate</t>
        </is>
      </c>
      <c r="D6" s="8" t="inlineStr">
        <is>
          <t>Correlation/convergence analysis</t>
        </is>
      </c>
      <c r="E6" s="8" t="inlineStr">
        <is>
          <t>PENDING</t>
        </is>
      </c>
    </row>
    <row r="7">
      <c r="A7" s="8" t="inlineStr">
        <is>
          <t>V-G06</t>
        </is>
      </c>
      <c r="B7" s="8" t="inlineStr">
        <is>
          <t>Weight sensitivity</t>
        </is>
      </c>
      <c r="C7" s="8" t="inlineStr">
        <is>
          <t>Stress-test domain weights and coefficient sets</t>
        </is>
      </c>
      <c r="D7" s="8" t="inlineStr">
        <is>
          <t>Stability thresholds met</t>
        </is>
      </c>
      <c r="E7" s="8" t="inlineStr">
        <is>
          <t>PENDING</t>
        </is>
      </c>
    </row>
    <row r="8">
      <c r="A8" s="8" t="inlineStr">
        <is>
          <t>V-G07</t>
        </is>
      </c>
      <c r="B8" s="8" t="inlineStr">
        <is>
          <t>Public benchmark readiness</t>
        </is>
      </c>
      <c r="C8" s="8" t="inlineStr">
        <is>
          <t>Only after V-G01–V-G06 pass and governance/COI controls are active</t>
        </is>
      </c>
      <c r="D8" s="8" t="inlineStr">
        <is>
          <t>Public release decision</t>
        </is>
      </c>
      <c r="E8" s="8" t="inlineStr">
        <is>
          <t>BLOCKED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60.7109375" customWidth="1" min="2" max="2"/>
    <col width="20.140625" customWidth="1" min="3" max="3"/>
    <col width="60.7109375" customWidth="1" min="4" max="4"/>
  </cols>
  <sheetData>
    <row r="1">
      <c r="A1" s="7" t="inlineStr">
        <is>
          <t>Gate</t>
        </is>
      </c>
      <c r="B1" s="7" t="inlineStr">
        <is>
          <t>Requirement</t>
        </is>
      </c>
      <c r="C1" s="7" t="inlineStr">
        <is>
          <t>Status</t>
        </is>
      </c>
      <c r="D1" s="7" t="inlineStr">
        <is>
          <t>Evidence / next action</t>
        </is>
      </c>
    </row>
    <row r="2">
      <c r="A2" s="8" t="inlineStr">
        <is>
          <t>S-G01</t>
        </is>
      </c>
      <c r="B2" s="8" t="inlineStr">
        <is>
          <t>All 143 metrics have operational scoring rule</t>
        </is>
      </c>
      <c r="C2" s="8" t="inlineStr">
        <is>
          <t>PASS</t>
        </is>
      </c>
      <c r="D2" s="8" t="inlineStr">
        <is>
          <t>143 metric rules created.</t>
        </is>
      </c>
    </row>
    <row r="3">
      <c r="A3" s="8" t="inlineStr">
        <is>
          <t>S-G02</t>
        </is>
      </c>
      <c r="B3" s="8" t="inlineStr">
        <is>
          <t>Maturity and implementation inputs are explicitly separated</t>
        </is>
      </c>
      <c r="C3" s="8" t="inlineStr">
        <is>
          <t>PASS</t>
        </is>
      </c>
      <c r="D3" s="8" t="inlineStr">
        <is>
          <t>Scorecard has M and I fields.</t>
        </is>
      </c>
    </row>
    <row r="4">
      <c r="A4" s="8" t="inlineStr">
        <is>
          <t>S-G03</t>
        </is>
      </c>
      <c r="B4" s="8" t="inlineStr">
        <is>
          <t>Outcome is optional only under legitimate N/A rule</t>
        </is>
      </c>
      <c r="C4" s="8" t="inlineStr">
        <is>
          <t>PASS</t>
        </is>
      </c>
      <c r="D4" s="8" t="inlineStr">
        <is>
          <t>Outcome/N/A rule encoded.</t>
        </is>
      </c>
    </row>
    <row r="5">
      <c r="A5" s="8" t="inlineStr">
        <is>
          <t>S-G04</t>
        </is>
      </c>
      <c r="B5" s="8" t="inlineStr">
        <is>
          <t>Evidence confidence is separate from capability score</t>
        </is>
      </c>
      <c r="C5" s="8" t="inlineStr">
        <is>
          <t>PASS</t>
        </is>
      </c>
      <c r="D5" s="8" t="inlineStr">
        <is>
          <t>Confidence column and evidence rules retained.</t>
        </is>
      </c>
    </row>
    <row r="6">
      <c r="A6" s="8" t="inlineStr">
        <is>
          <t>S-G05</t>
        </is>
      </c>
      <c r="B6" s="8" t="inlineStr">
        <is>
          <t>Domain aggregation is executable</t>
        </is>
      </c>
      <c r="C6" s="8" t="inlineStr">
        <is>
          <t>PASS</t>
        </is>
      </c>
      <c r="D6" s="8" t="inlineStr">
        <is>
          <t>Formula-driven domain aggregation sheet.</t>
        </is>
      </c>
    </row>
    <row r="7">
      <c r="A7" s="8" t="inlineStr">
        <is>
          <t>S-G06</t>
        </is>
      </c>
      <c r="B7" s="8" t="inlineStr">
        <is>
          <t>Overall index aggregation is executable</t>
        </is>
      </c>
      <c r="C7" s="8" t="inlineStr">
        <is>
          <t>PASS</t>
        </is>
      </c>
      <c r="D7" s="8" t="inlineStr">
        <is>
          <t>Formula-driven overall index sheet.</t>
        </is>
      </c>
    </row>
    <row r="8">
      <c r="A8" s="8" t="inlineStr">
        <is>
          <t>S-G07</t>
        </is>
      </c>
      <c r="B8" s="8" t="inlineStr">
        <is>
          <t>Context calibration does not grant score bonus</t>
        </is>
      </c>
      <c r="C8" s="8" t="inlineStr">
        <is>
          <t>PASS</t>
        </is>
      </c>
      <c r="D8" s="8" t="inlineStr">
        <is>
          <t>Calibration sheet constrains context to proportionality/required maturity.</t>
        </is>
      </c>
    </row>
    <row r="9">
      <c r="A9" s="8" t="inlineStr">
        <is>
          <t>S-G08</t>
        </is>
      </c>
      <c r="B9" s="8" t="inlineStr">
        <is>
          <t>Cross-domain scoring protections are executable</t>
        </is>
      </c>
      <c r="C9" s="8" t="inlineStr">
        <is>
          <t>PASS</t>
        </is>
      </c>
      <c r="D9" s="8" t="inlineStr">
        <is>
          <t>10 canonical cross-domain rules encoded.</t>
        </is>
      </c>
    </row>
    <row r="10">
      <c r="A10" s="8" t="inlineStr">
        <is>
          <t>S-G09</t>
        </is>
      </c>
      <c r="B10" s="8" t="inlineStr">
        <is>
          <t>Coefficient/weight empirical validation</t>
        </is>
      </c>
      <c r="C10" s="8" t="inlineStr">
        <is>
          <t>PENDING</t>
        </is>
      </c>
      <c r="D10" s="8" t="inlineStr">
        <is>
          <t>Pilot and sensitivity testing.</t>
        </is>
      </c>
    </row>
    <row r="11">
      <c r="A11" s="8" t="inlineStr">
        <is>
          <t>S-G10</t>
        </is>
      </c>
      <c r="B11" s="8" t="inlineStr">
        <is>
          <t>Inter-rater reliability</t>
        </is>
      </c>
      <c r="C11" s="8" t="inlineStr">
        <is>
          <t>PENDING</t>
        </is>
      </c>
      <c r="D11" s="8" t="inlineStr">
        <is>
          <t>Assessor calibration study.</t>
        </is>
      </c>
    </row>
    <row r="12">
      <c r="A12" s="8" t="inlineStr">
        <is>
          <t>S-G11</t>
        </is>
      </c>
      <c r="B12" s="8" t="inlineStr">
        <is>
          <t>Test-retest reliability</t>
        </is>
      </c>
      <c r="C12" s="8" t="inlineStr">
        <is>
          <t>PENDING</t>
        </is>
      </c>
      <c r="D12" s="8" t="inlineStr">
        <is>
          <t>Repeated assessment study.</t>
        </is>
      </c>
    </row>
    <row r="13">
      <c r="A13" s="8" t="inlineStr">
        <is>
          <t>S-G12</t>
        </is>
      </c>
      <c r="B13" s="8" t="inlineStr">
        <is>
          <t>Known-groups/convergent validity</t>
        </is>
      </c>
      <c r="C13" s="8" t="inlineStr">
        <is>
          <t>PENDING</t>
        </is>
      </c>
      <c r="D13" s="8" t="inlineStr">
        <is>
          <t>External criterion and pilot data.</t>
        </is>
      </c>
    </row>
    <row r="14">
      <c r="A14" s="8" t="inlineStr">
        <is>
          <t>S-G13</t>
        </is>
      </c>
      <c r="B14" s="8" t="inlineStr">
        <is>
          <t>Public benchmark/recognition</t>
        </is>
      </c>
      <c r="C14" s="8" t="inlineStr">
        <is>
          <t>BLOCKED</t>
        </is>
      </c>
      <c r="D14" s="8" t="inlineStr">
        <is>
          <t>Remain diagnostic until validation gates pass.</t>
        </is>
      </c>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140625" customWidth="1" min="1" max="1"/>
    <col width="60.7109375" customWidth="1" min="2" max="2"/>
  </cols>
  <sheetData>
    <row r="1">
      <c r="A1" s="7" t="inlineStr">
        <is>
          <t>Version</t>
        </is>
      </c>
      <c r="B1" s="7" t="inlineStr">
        <is>
          <t>P0-3</t>
        </is>
      </c>
    </row>
    <row r="2">
      <c r="A2" s="8" t="inlineStr">
        <is>
          <t>Base</t>
        </is>
      </c>
      <c r="B2" s="8" t="inlineStr">
        <is>
          <t>P0-2 Remediated ALL GREEN</t>
        </is>
      </c>
    </row>
    <row r="3">
      <c r="A3" s="8" t="inlineStr">
        <is>
          <t>Change</t>
        </is>
      </c>
      <c r="B3" s="8" t="inlineStr">
        <is>
          <t>Added executable provisional metric, domain and overall scoring architecture for all 143 metrics.</t>
        </is>
      </c>
    </row>
    <row r="4">
      <c r="A4" s="8" t="inlineStr">
        <is>
          <t>Preserved</t>
        </is>
      </c>
      <c r="B4" s="8" t="inlineStr">
        <is>
          <t>All D01–D11 domains, metrics, cards, questions, remediation rules, maturity anchors and P0-2 audit layers retained.</t>
        </is>
      </c>
    </row>
    <row r="5">
      <c r="A5" s="8" t="inlineStr">
        <is>
          <t>Important</t>
        </is>
      </c>
      <c r="B5" s="8" t="inlineStr">
        <is>
          <t>GREEN in P0-2 means measurement-path completeness. P0-3 scoring is operational but remains provisional until empirical validation.</t>
        </is>
      </c>
    </row>
    <row r="6">
      <c r="A6" s="8" t="inlineStr">
        <is>
          <t>Next</t>
        </is>
      </c>
      <c r="B6" s="8" t="inlineStr">
        <is>
          <t>Pilot scoring, coefficient sensitivity, inter-rater calibration, test-retest, known-groups and convergent validity; then P0-4 context calibration and benchmark governance.</t>
        </is>
      </c>
    </row>
  </sheetData>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90" customWidth="1" min="2" max="2"/>
  </cols>
  <sheetData>
    <row r="1">
      <c r="A1" s="12" t="inlineStr">
        <is>
          <t>P0-4 CONTEXT PROFILE</t>
        </is>
      </c>
    </row>
    <row r="2">
      <c r="A2" t="inlineStr">
        <is>
          <t>Purpose</t>
        </is>
      </c>
      <c r="B2" t="inlineStr">
        <is>
          <t>User/assessor inputs used to determine institution-specific required maturity and evidence burden. Context never directly adds points to capability score.</t>
        </is>
      </c>
    </row>
    <row r="3">
      <c r="A3" s="13" t="inlineStr">
        <is>
          <t>Input</t>
        </is>
      </c>
      <c r="B3" t="inlineStr">
        <is>
          <t>Selected value</t>
        </is>
      </c>
    </row>
    <row r="4">
      <c r="A4" s="13" t="inlineStr">
        <is>
          <t>Institution type</t>
        </is>
      </c>
      <c r="B4" t="inlineStr">
        <is>
          <t>University</t>
        </is>
      </c>
    </row>
    <row r="5">
      <c r="A5" s="13" t="inlineStr">
        <is>
          <t>Institution mandate</t>
        </is>
      </c>
      <c r="B5" t="inlineStr">
        <is>
          <t>Broad teaching + research</t>
        </is>
      </c>
    </row>
    <row r="6">
      <c r="A6" s="13" t="inlineStr">
        <is>
          <t>AI exposure</t>
        </is>
      </c>
      <c r="B6" t="inlineStr">
        <is>
          <t>Moderate</t>
        </is>
      </c>
    </row>
    <row r="7">
      <c r="A7" s="13" t="inlineStr">
        <is>
          <t>Disciplinary consequence</t>
        </is>
      </c>
      <c r="B7" t="inlineStr">
        <is>
          <t>Moderate</t>
        </is>
      </c>
    </row>
    <row r="8">
      <c r="A8" s="13" t="inlineStr">
        <is>
          <t>Institutional trajectory</t>
        </is>
      </c>
      <c r="B8" t="inlineStr">
        <is>
          <t>Stable / incremental change</t>
        </is>
      </c>
    </row>
    <row r="9">
      <c r="A9" s="13" t="inlineStr">
        <is>
          <t>Scale</t>
        </is>
      </c>
      <c r="B9" t="inlineStr">
        <is>
          <t>Medium</t>
        </is>
      </c>
    </row>
    <row r="10">
      <c r="A10" s="13" t="inlineStr">
        <is>
          <t>Geography / operating context</t>
        </is>
      </c>
      <c r="B10" t="inlineStr">
        <is>
          <t>India / mixed urban-regional</t>
        </is>
      </c>
    </row>
    <row r="11">
      <c r="A11" s="13" t="inlineStr">
        <is>
          <t>Resource envelope</t>
        </is>
      </c>
      <c r="B11" t="inlineStr">
        <is>
          <t>Medium</t>
        </is>
      </c>
    </row>
    <row r="12">
      <c r="A12" s="13" t="inlineStr">
        <is>
          <t>Research intensity</t>
        </is>
      </c>
      <c r="B12" t="inlineStr">
        <is>
          <t>Moderate</t>
        </is>
      </c>
    </row>
    <row r="13">
      <c r="A13" s="13" t="inlineStr">
        <is>
          <t>Student profile complexity</t>
        </is>
      </c>
      <c r="B13" t="inlineStr">
        <is>
          <t>Moderate</t>
        </is>
      </c>
    </row>
    <row r="14">
      <c r="A14" s="13" t="inlineStr">
        <is>
          <t>Context completeness</t>
        </is>
      </c>
      <c r="B14" s="14">
        <f>IF(COUNTA(B4:B13)=10,"COMPLETE","INCOMPLETE")</f>
        <v/>
      </c>
    </row>
    <row r="15">
      <c r="A15" t="inlineStr">
        <is>
          <t>Governance rule</t>
        </is>
      </c>
      <c r="B15" t="inlineStr">
        <is>
          <t>Assessor must document rationale for non-default selections; missing context cannot be used to lower required maturity.</t>
        </is>
      </c>
    </row>
  </sheetData>
  <mergeCells count="1">
    <mergeCell ref="A1:B1"/>
  </mergeCells>
  <dataValidations count="10">
    <dataValidation sqref="B4" showDropDown="0" showInputMessage="0" showErrorMessage="0" allowBlank="0" type="list">
      <formula1>"University,Deemed University,Autonomous College,Specialist Institution,Other"</formula1>
    </dataValidation>
    <dataValidation sqref="B5" showDropDown="0" showInputMessage="0" showErrorMessage="0" allowBlank="0" type="list">
      <formula1>"Broad teaching + research,Teaching-intensive,Research-intensive,Professional/professional-regulated,Specialist/niche"</formula1>
    </dataValidation>
    <dataValidation sqref="B6" showDropDown="0" showInputMessage="0" showErrorMessage="0" allowBlank="0" type="list">
      <formula1>"Low,Moderate,High,Critical"</formula1>
    </dataValidation>
    <dataValidation sqref="B7" showDropDown="0" showInputMessage="0" showErrorMessage="0" allowBlank="0" type="list">
      <formula1>"Low,Moderate,High,Critical"</formula1>
    </dataValidation>
    <dataValidation sqref="B8" showDropDown="0" showInputMessage="0" showErrorMessage="0" allowBlank="0" type="list">
      <formula1>"Declining,Stable / incremental change,Transforming,High-growth / expansion"</formula1>
    </dataValidation>
    <dataValidation sqref="B9" showDropDown="0" showInputMessage="0" showErrorMessage="0" allowBlank="0" type="list">
      <formula1>"Small,Medium,Large,Very large"</formula1>
    </dataValidation>
    <dataValidation sqref="B10" showDropDown="0" showInputMessage="0" showErrorMessage="0" allowBlank="0" type="list">
      <formula1>"India / mixed urban-regional,Metro-dominant,Regional/rural,Multi-campus / distributed,International / transnational"</formula1>
    </dataValidation>
    <dataValidation sqref="B11" showDropDown="0" showInputMessage="0" showErrorMessage="0" allowBlank="0" type="list">
      <formula1>"Constrained,Low-medium,Medium,High"</formula1>
    </dataValidation>
    <dataValidation sqref="B12" showDropDown="0" showInputMessage="0" showErrorMessage="0" allowBlank="0" type="list">
      <formula1>"Low,Moderate,High,Very high"</formula1>
    </dataValidation>
    <dataValidation sqref="B13" showDropDown="0" showInputMessage="0" showErrorMessage="0" allowBlank="0" type="list">
      <formula1>"Low,Moderate,High,Very high"</formula1>
    </dataValidation>
  </dataValidation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2" customWidth="1" min="3" max="3"/>
    <col width="65" customWidth="1" min="4" max="4"/>
    <col width="60" customWidth="1" min="5" max="5"/>
  </cols>
  <sheetData>
    <row r="1">
      <c r="A1" s="15" t="inlineStr">
        <is>
          <t>Variable</t>
        </is>
      </c>
      <c r="B1" s="15" t="inlineStr">
        <is>
          <t>Level</t>
        </is>
      </c>
      <c r="C1" s="15" t="inlineStr">
        <is>
          <t>Factor</t>
        </is>
      </c>
      <c r="D1" s="15" t="inlineStr">
        <is>
          <t>Interpretation</t>
        </is>
      </c>
      <c r="E1" s="15" t="inlineStr">
        <is>
          <t>Target vs evidence effect</t>
        </is>
      </c>
    </row>
    <row r="2">
      <c r="A2" t="inlineStr">
        <is>
          <t>Institution mandate</t>
        </is>
      </c>
      <c r="B2" t="inlineStr">
        <is>
          <t>Teaching-intensive</t>
        </is>
      </c>
      <c r="C2" t="n">
        <v>0</v>
      </c>
      <c r="D2" t="inlineStr">
        <is>
          <t>Context factor increases required maturity pressure only where relevant.</t>
        </is>
      </c>
      <c r="E2" t="inlineStr">
        <is>
          <t>Required maturity / evidence burden; never a capability score bonus.</t>
        </is>
      </c>
    </row>
    <row r="3">
      <c r="A3" t="inlineStr">
        <is>
          <t>Institution mandate</t>
        </is>
      </c>
      <c r="B3" t="inlineStr">
        <is>
          <t>Broad teaching + research</t>
        </is>
      </c>
      <c r="C3" t="n">
        <v>0.25</v>
      </c>
      <c r="D3" t="inlineStr">
        <is>
          <t>Context factor increases required maturity pressure only where relevant.</t>
        </is>
      </c>
      <c r="E3" t="inlineStr">
        <is>
          <t>Required maturity / evidence burden; never a capability score bonus.</t>
        </is>
      </c>
    </row>
    <row r="4">
      <c r="A4" t="inlineStr">
        <is>
          <t>Institution mandate</t>
        </is>
      </c>
      <c r="B4" t="inlineStr">
        <is>
          <t>Research-intensive</t>
        </is>
      </c>
      <c r="C4" t="n">
        <v>0.5</v>
      </c>
      <c r="D4" t="inlineStr">
        <is>
          <t>Context factor increases required maturity pressure only where relevant.</t>
        </is>
      </c>
      <c r="E4" t="inlineStr">
        <is>
          <t>Required maturity / evidence burden; never a capability score bonus.</t>
        </is>
      </c>
    </row>
    <row r="5">
      <c r="A5" t="inlineStr">
        <is>
          <t>Institution mandate</t>
        </is>
      </c>
      <c r="B5" t="inlineStr">
        <is>
          <t>Professional/professional-regulated</t>
        </is>
      </c>
      <c r="C5" t="n">
        <v>0.5</v>
      </c>
      <c r="D5" t="inlineStr">
        <is>
          <t>Context factor increases required maturity pressure only where relevant.</t>
        </is>
      </c>
      <c r="E5" t="inlineStr">
        <is>
          <t>Required maturity / evidence burden; never a capability score bonus.</t>
        </is>
      </c>
    </row>
    <row r="6">
      <c r="A6" t="inlineStr">
        <is>
          <t>Institution mandate</t>
        </is>
      </c>
      <c r="B6" t="inlineStr">
        <is>
          <t>Specialist/niche</t>
        </is>
      </c>
      <c r="C6" t="n">
        <v>0.25</v>
      </c>
      <c r="D6" t="inlineStr">
        <is>
          <t>Context factor increases required maturity pressure only where relevant.</t>
        </is>
      </c>
      <c r="E6" t="inlineStr">
        <is>
          <t>Required maturity / evidence burden; never a capability score bonus.</t>
        </is>
      </c>
    </row>
    <row r="7">
      <c r="A7" t="inlineStr">
        <is>
          <t>AI exposure</t>
        </is>
      </c>
      <c r="B7" t="inlineStr">
        <is>
          <t>Low</t>
        </is>
      </c>
      <c r="C7" t="n">
        <v>0</v>
      </c>
      <c r="D7" t="inlineStr">
        <is>
          <t>Context factor increases required maturity pressure only where relevant.</t>
        </is>
      </c>
      <c r="E7" t="inlineStr">
        <is>
          <t>Required maturity / evidence burden; never a capability score bonus.</t>
        </is>
      </c>
    </row>
    <row r="8">
      <c r="A8" t="inlineStr">
        <is>
          <t>AI exposure</t>
        </is>
      </c>
      <c r="B8" t="inlineStr">
        <is>
          <t>Moderate</t>
        </is>
      </c>
      <c r="C8" t="n">
        <v>0.25</v>
      </c>
      <c r="D8" t="inlineStr">
        <is>
          <t>Context factor increases required maturity pressure only where relevant.</t>
        </is>
      </c>
      <c r="E8" t="inlineStr">
        <is>
          <t>Required maturity / evidence burden; never a capability score bonus.</t>
        </is>
      </c>
    </row>
    <row r="9">
      <c r="A9" t="inlineStr">
        <is>
          <t>AI exposure</t>
        </is>
      </c>
      <c r="B9" t="inlineStr">
        <is>
          <t>High</t>
        </is>
      </c>
      <c r="C9" t="n">
        <v>0.5</v>
      </c>
      <c r="D9" t="inlineStr">
        <is>
          <t>Context factor increases required maturity pressure only where relevant.</t>
        </is>
      </c>
      <c r="E9" t="inlineStr">
        <is>
          <t>Required maturity / evidence burden; never a capability score bonus.</t>
        </is>
      </c>
    </row>
    <row r="10">
      <c r="A10" t="inlineStr">
        <is>
          <t>AI exposure</t>
        </is>
      </c>
      <c r="B10" t="inlineStr">
        <is>
          <t>Critical</t>
        </is>
      </c>
      <c r="C10" t="n">
        <v>0.75</v>
      </c>
      <c r="D10" t="inlineStr">
        <is>
          <t>Context factor increases required maturity pressure only where relevant.</t>
        </is>
      </c>
      <c r="E10" t="inlineStr">
        <is>
          <t>Required maturity / evidence burden; never a capability score bonus.</t>
        </is>
      </c>
    </row>
    <row r="11">
      <c r="A11" t="inlineStr">
        <is>
          <t>Disciplinary consequence</t>
        </is>
      </c>
      <c r="B11" t="inlineStr">
        <is>
          <t>Low</t>
        </is>
      </c>
      <c r="C11" t="n">
        <v>0</v>
      </c>
      <c r="D11" t="inlineStr">
        <is>
          <t>Context factor increases required maturity pressure only where relevant.</t>
        </is>
      </c>
      <c r="E11" t="inlineStr">
        <is>
          <t>Required maturity / evidence burden; never a capability score bonus.</t>
        </is>
      </c>
    </row>
    <row r="12">
      <c r="A12" t="inlineStr">
        <is>
          <t>Disciplinary consequence</t>
        </is>
      </c>
      <c r="B12" t="inlineStr">
        <is>
          <t>Moderate</t>
        </is>
      </c>
      <c r="C12" t="n">
        <v>0.25</v>
      </c>
      <c r="D12" t="inlineStr">
        <is>
          <t>Context factor increases required maturity pressure only where relevant.</t>
        </is>
      </c>
      <c r="E12" t="inlineStr">
        <is>
          <t>Required maturity / evidence burden; never a capability score bonus.</t>
        </is>
      </c>
    </row>
    <row r="13">
      <c r="A13" t="inlineStr">
        <is>
          <t>Disciplinary consequence</t>
        </is>
      </c>
      <c r="B13" t="inlineStr">
        <is>
          <t>High</t>
        </is>
      </c>
      <c r="C13" t="n">
        <v>0.5</v>
      </c>
      <c r="D13" t="inlineStr">
        <is>
          <t>Context factor increases required maturity pressure only where relevant.</t>
        </is>
      </c>
      <c r="E13" t="inlineStr">
        <is>
          <t>Required maturity / evidence burden; never a capability score bonus.</t>
        </is>
      </c>
    </row>
    <row r="14">
      <c r="A14" t="inlineStr">
        <is>
          <t>Disciplinary consequence</t>
        </is>
      </c>
      <c r="B14" t="inlineStr">
        <is>
          <t>Critical</t>
        </is>
      </c>
      <c r="C14" t="n">
        <v>0.75</v>
      </c>
      <c r="D14" t="inlineStr">
        <is>
          <t>Context factor increases required maturity pressure only where relevant.</t>
        </is>
      </c>
      <c r="E14" t="inlineStr">
        <is>
          <t>Required maturity / evidence burden; never a capability score bonus.</t>
        </is>
      </c>
    </row>
    <row r="15">
      <c r="A15" t="inlineStr">
        <is>
          <t>Institutional trajectory</t>
        </is>
      </c>
      <c r="B15" t="inlineStr">
        <is>
          <t>Declining</t>
        </is>
      </c>
      <c r="C15" t="n">
        <v>0</v>
      </c>
      <c r="D15" t="inlineStr">
        <is>
          <t>Context factor increases required maturity pressure only where relevant.</t>
        </is>
      </c>
      <c r="E15" t="inlineStr">
        <is>
          <t>Required maturity / evidence burden; never a capability score bonus.</t>
        </is>
      </c>
    </row>
    <row r="16">
      <c r="A16" t="inlineStr">
        <is>
          <t>Institutional trajectory</t>
        </is>
      </c>
      <c r="B16" t="inlineStr">
        <is>
          <t>Stable / incremental change</t>
        </is>
      </c>
      <c r="C16" t="n">
        <v>0.1</v>
      </c>
      <c r="D16" t="inlineStr">
        <is>
          <t>Context factor increases required maturity pressure only where relevant.</t>
        </is>
      </c>
      <c r="E16" t="inlineStr">
        <is>
          <t>Required maturity / evidence burden; never a capability score bonus.</t>
        </is>
      </c>
    </row>
    <row r="17">
      <c r="A17" t="inlineStr">
        <is>
          <t>Institutional trajectory</t>
        </is>
      </c>
      <c r="B17" t="inlineStr">
        <is>
          <t>Transforming</t>
        </is>
      </c>
      <c r="C17" t="n">
        <v>0.25</v>
      </c>
      <c r="D17" t="inlineStr">
        <is>
          <t>Context factor increases required maturity pressure only where relevant.</t>
        </is>
      </c>
      <c r="E17" t="inlineStr">
        <is>
          <t>Required maturity / evidence burden; never a capability score bonus.</t>
        </is>
      </c>
    </row>
    <row r="18">
      <c r="A18" t="inlineStr">
        <is>
          <t>Institutional trajectory</t>
        </is>
      </c>
      <c r="B18" t="inlineStr">
        <is>
          <t>High-growth / expansion</t>
        </is>
      </c>
      <c r="C18" t="n">
        <v>0.35</v>
      </c>
      <c r="D18" t="inlineStr">
        <is>
          <t>Context factor increases required maturity pressure only where relevant.</t>
        </is>
      </c>
      <c r="E18" t="inlineStr">
        <is>
          <t>Required maturity / evidence burden; never a capability score bonus.</t>
        </is>
      </c>
    </row>
  </sheetData>
  <autoFilter ref="A1:E18"/>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0" customWidth="1" min="3" max="3"/>
    <col width="22" customWidth="1" min="4" max="4"/>
    <col width="24" customWidth="1" min="5" max="5"/>
    <col width="22" customWidth="1" min="6" max="6"/>
    <col width="12" customWidth="1" min="7" max="7"/>
    <col width="10" customWidth="1" min="8" max="8"/>
    <col width="10" customWidth="1" min="9" max="9"/>
    <col width="65" customWidth="1" min="10" max="10"/>
  </cols>
  <sheetData>
    <row r="1">
      <c r="A1" s="15" t="inlineStr">
        <is>
          <t>Domain</t>
        </is>
      </c>
      <c r="B1" s="15" t="inlineStr">
        <is>
          <t>Domain Name</t>
        </is>
      </c>
      <c r="C1" s="15" t="inlineStr">
        <is>
          <t>Mandate Sensitivity</t>
        </is>
      </c>
      <c r="D1" s="15" t="inlineStr">
        <is>
          <t>AI Exposure Sensitivity</t>
        </is>
      </c>
      <c r="E1" s="15" t="inlineStr">
        <is>
          <t>Consequence Sensitivity</t>
        </is>
      </c>
      <c r="F1" s="15" t="inlineStr">
        <is>
          <t>Trajectory Sensitivity</t>
        </is>
      </c>
      <c r="G1" s="15" t="inlineStr">
        <is>
          <t>Baseline R</t>
        </is>
      </c>
      <c r="H1" s="15" t="inlineStr">
        <is>
          <t>Min R</t>
        </is>
      </c>
      <c r="I1" s="15" t="inlineStr">
        <is>
          <t>Max R</t>
        </is>
      </c>
      <c r="J1" s="15" t="inlineStr">
        <is>
          <t>Rationale</t>
        </is>
      </c>
    </row>
    <row r="2">
      <c r="A2" t="inlineStr">
        <is>
          <t>D01</t>
        </is>
      </c>
      <c r="B2" t="inlineStr">
        <is>
          <t>Institutional Strategy, Foresight &amp; AI Direction</t>
        </is>
      </c>
      <c r="C2" t="n">
        <v>0.8</v>
      </c>
      <c r="D2" t="n">
        <v>0.8</v>
      </c>
      <c r="E2" t="n">
        <v>0.4</v>
      </c>
      <c r="F2" t="n">
        <v>0.8</v>
      </c>
      <c r="G2" t="n">
        <v>3</v>
      </c>
      <c r="H2" t="n">
        <v>1</v>
      </c>
      <c r="I2" t="n">
        <v>5</v>
      </c>
      <c r="J2" t="inlineStr">
        <is>
          <t>Sensitivity controls how strongly context pressures required maturity; it is not a score multiplier.</t>
        </is>
      </c>
    </row>
    <row r="3">
      <c r="A3" t="inlineStr">
        <is>
          <t>D02</t>
        </is>
      </c>
      <c r="B3" t="inlineStr">
        <is>
          <t>Governance, Responsible AI &amp; Institutional Risk</t>
        </is>
      </c>
      <c r="C3" t="n">
        <v>0.7</v>
      </c>
      <c r="D3" t="n">
        <v>0.9</v>
      </c>
      <c r="E3" t="n">
        <v>1</v>
      </c>
      <c r="F3" t="n">
        <v>0.5</v>
      </c>
      <c r="G3" t="n">
        <v>3</v>
      </c>
      <c r="H3" t="n">
        <v>1</v>
      </c>
      <c r="I3" t="n">
        <v>5</v>
      </c>
      <c r="J3" t="inlineStr">
        <is>
          <t>Sensitivity controls how strongly context pressures required maturity; it is not a score multiplier.</t>
        </is>
      </c>
    </row>
    <row r="4">
      <c r="A4" t="inlineStr">
        <is>
          <t>D03</t>
        </is>
      </c>
      <c r="B4" t="inlineStr">
        <is>
          <t>Human Capability, Cognitive Readiness &amp; AI-Ready Education</t>
        </is>
      </c>
      <c r="C4" t="n">
        <v>0.9</v>
      </c>
      <c r="D4" t="n">
        <v>0.8</v>
      </c>
      <c r="E4" t="n">
        <v>0.6</v>
      </c>
      <c r="F4" t="n">
        <v>0.5</v>
      </c>
      <c r="G4" t="n">
        <v>3</v>
      </c>
      <c r="H4" t="n">
        <v>1</v>
      </c>
      <c r="I4" t="n">
        <v>5</v>
      </c>
      <c r="J4" t="inlineStr">
        <is>
          <t>Sensitivity controls how strongly context pressures required maturity; it is not a score multiplier.</t>
        </is>
      </c>
    </row>
    <row r="5">
      <c r="A5" t="inlineStr">
        <is>
          <t>D04</t>
        </is>
      </c>
      <c r="B5" t="inlineStr">
        <is>
          <t>Curriculum &amp; Programme Future Resilience</t>
        </is>
      </c>
      <c r="C5" t="n">
        <v>0.9</v>
      </c>
      <c r="D5" t="n">
        <v>0.8</v>
      </c>
      <c r="E5" t="n">
        <v>0.8</v>
      </c>
      <c r="F5" t="n">
        <v>0.6</v>
      </c>
      <c r="G5" t="n">
        <v>3</v>
      </c>
      <c r="H5" t="n">
        <v>1</v>
      </c>
      <c r="I5" t="n">
        <v>5</v>
      </c>
      <c r="J5" t="inlineStr">
        <is>
          <t>Sensitivity controls how strongly context pressures required maturity; it is not a score multiplier.</t>
        </is>
      </c>
    </row>
    <row r="6">
      <c r="A6" t="inlineStr">
        <is>
          <t>D05</t>
        </is>
      </c>
      <c r="B6" t="inlineStr">
        <is>
          <t>Faculty Capability &amp; Academic Workforce Transformation</t>
        </is>
      </c>
      <c r="C6" t="n">
        <v>0.8</v>
      </c>
      <c r="D6" t="n">
        <v>0.8</v>
      </c>
      <c r="E6" t="n">
        <v>0.6</v>
      </c>
      <c r="F6" t="n">
        <v>0.6</v>
      </c>
      <c r="G6" t="n">
        <v>3</v>
      </c>
      <c r="H6" t="n">
        <v>1</v>
      </c>
      <c r="I6" t="n">
        <v>5</v>
      </c>
      <c r="J6" t="inlineStr">
        <is>
          <t>Sensitivity controls how strongly context pressures required maturity; it is not a score multiplier.</t>
        </is>
      </c>
    </row>
    <row r="7">
      <c r="A7" t="inlineStr">
        <is>
          <t>D06</t>
        </is>
      </c>
      <c r="B7" t="inlineStr">
        <is>
          <t>Student Capability, Agency &amp; Future Readiness</t>
        </is>
      </c>
      <c r="C7" t="n">
        <v>0.8</v>
      </c>
      <c r="D7" t="n">
        <v>0.8</v>
      </c>
      <c r="E7" t="n">
        <v>0.7</v>
      </c>
      <c r="F7" t="n">
        <v>0.5</v>
      </c>
      <c r="G7" t="n">
        <v>3</v>
      </c>
      <c r="H7" t="n">
        <v>1</v>
      </c>
      <c r="I7" t="n">
        <v>5</v>
      </c>
      <c r="J7" t="inlineStr">
        <is>
          <t>Sensitivity controls how strongly context pressures required maturity; it is not a score multiplier.</t>
        </is>
      </c>
    </row>
    <row r="8">
      <c r="A8" t="inlineStr">
        <is>
          <t>D07</t>
        </is>
      </c>
      <c r="B8" t="inlineStr">
        <is>
          <t>Learning, Assessment &amp; Evidence of Capability</t>
        </is>
      </c>
      <c r="C8" t="n">
        <v>0.9</v>
      </c>
      <c r="D8" t="n">
        <v>0.9</v>
      </c>
      <c r="E8" t="n">
        <v>0.9</v>
      </c>
      <c r="F8" t="n">
        <v>0.5</v>
      </c>
      <c r="G8" t="n">
        <v>3</v>
      </c>
      <c r="H8" t="n">
        <v>1</v>
      </c>
      <c r="I8" t="n">
        <v>5</v>
      </c>
      <c r="J8" t="inlineStr">
        <is>
          <t>Sensitivity controls how strongly context pressures required maturity; it is not a score multiplier.</t>
        </is>
      </c>
    </row>
    <row r="9">
      <c r="A9" t="inlineStr">
        <is>
          <t>D08</t>
        </is>
      </c>
      <c r="B9" t="inlineStr">
        <is>
          <t>Digital, Data &amp; Institutional Intelligence</t>
        </is>
      </c>
      <c r="C9" t="n">
        <v>0.6</v>
      </c>
      <c r="D9" t="n">
        <v>1</v>
      </c>
      <c r="E9" t="n">
        <v>0.8</v>
      </c>
      <c r="F9" t="n">
        <v>0.6</v>
      </c>
      <c r="G9" t="n">
        <v>3</v>
      </c>
      <c r="H9" t="n">
        <v>1</v>
      </c>
      <c r="I9" t="n">
        <v>5</v>
      </c>
      <c r="J9" t="inlineStr">
        <is>
          <t>Sensitivity controls how strongly context pressures required maturity; it is not a score multiplier.</t>
        </is>
      </c>
    </row>
    <row r="10">
      <c r="A10" t="inlineStr">
        <is>
          <t>D09</t>
        </is>
      </c>
      <c r="B10" t="inlineStr">
        <is>
          <t>Employability, Industry &amp; Economic Relevance</t>
        </is>
      </c>
      <c r="C10" t="n">
        <v>0.7</v>
      </c>
      <c r="D10" t="n">
        <v>0.8</v>
      </c>
      <c r="E10" t="n">
        <v>0.6</v>
      </c>
      <c r="F10" t="n">
        <v>0.8</v>
      </c>
      <c r="G10" t="n">
        <v>3</v>
      </c>
      <c r="H10" t="n">
        <v>1</v>
      </c>
      <c r="I10" t="n">
        <v>5</v>
      </c>
      <c r="J10" t="inlineStr">
        <is>
          <t>Sensitivity controls how strongly context pressures required maturity; it is not a score multiplier.</t>
        </is>
      </c>
    </row>
    <row r="11">
      <c r="A11" t="inlineStr">
        <is>
          <t>D10</t>
        </is>
      </c>
      <c r="B11" t="inlineStr">
        <is>
          <t>Research, Innovation &amp; Knowledge Creation</t>
        </is>
      </c>
      <c r="C11" t="n">
        <v>0.7</v>
      </c>
      <c r="D11" t="n">
        <v>0.8</v>
      </c>
      <c r="E11" t="n">
        <v>0.8</v>
      </c>
      <c r="F11" t="n">
        <v>0.7</v>
      </c>
      <c r="G11" t="n">
        <v>3</v>
      </c>
      <c r="H11" t="n">
        <v>1</v>
      </c>
      <c r="I11" t="n">
        <v>5</v>
      </c>
      <c r="J11" t="inlineStr">
        <is>
          <t>Sensitivity controls how strongly context pressures required maturity; it is not a score multiplier.</t>
        </is>
      </c>
    </row>
    <row r="12">
      <c r="A12" t="inlineStr">
        <is>
          <t>D11</t>
        </is>
      </c>
      <c r="B12" t="inlineStr">
        <is>
          <t>Institutional Adaptability &amp; AI Resilience</t>
        </is>
      </c>
      <c r="C12" t="n">
        <v>0.8</v>
      </c>
      <c r="D12" t="n">
        <v>0.8</v>
      </c>
      <c r="E12" t="n">
        <v>0.7</v>
      </c>
      <c r="F12" t="n">
        <v>1</v>
      </c>
      <c r="G12" t="n">
        <v>3</v>
      </c>
      <c r="H12" t="n">
        <v>1</v>
      </c>
      <c r="I12" t="n">
        <v>5</v>
      </c>
      <c r="J12" t="inlineStr">
        <is>
          <t>Sensitivity controls how strongly context pressures required maturity; it is not a score multiplier.</t>
        </is>
      </c>
    </row>
  </sheetData>
  <autoFilter ref="A1:J12"/>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2" customWidth="1" min="3" max="3"/>
    <col width="16" customWidth="1" min="4" max="4"/>
    <col width="18" customWidth="1" min="5" max="5"/>
    <col width="20" customWidth="1" min="6" max="6"/>
    <col width="18" customWidth="1" min="7" max="7"/>
    <col width="18" customWidth="1" min="8" max="8"/>
    <col width="18" customWidth="1" min="9" max="9"/>
    <col width="70" customWidth="1" min="10" max="10"/>
    <col width="25" customWidth="1" min="11" max="11"/>
  </cols>
  <sheetData>
    <row r="1">
      <c r="A1" s="15" t="inlineStr">
        <is>
          <t>Domain</t>
        </is>
      </c>
      <c r="B1" s="15" t="inlineStr">
        <is>
          <t>Domain Name</t>
        </is>
      </c>
      <c r="C1" s="15" t="inlineStr">
        <is>
          <t>Baseline R</t>
        </is>
      </c>
      <c r="D1" s="15" t="inlineStr">
        <is>
          <t>Mandate Factor</t>
        </is>
      </c>
      <c r="E1" s="15" t="inlineStr">
        <is>
          <t>AI Exposure Factor</t>
        </is>
      </c>
      <c r="F1" s="15" t="inlineStr">
        <is>
          <t>Consequence Factor</t>
        </is>
      </c>
      <c r="G1" s="15" t="inlineStr">
        <is>
          <t>Trajectory Factor</t>
        </is>
      </c>
      <c r="H1" s="15" t="inlineStr">
        <is>
          <t>Context Pressure</t>
        </is>
      </c>
      <c r="I1" s="15" t="inlineStr">
        <is>
          <t>Required Maturity R</t>
        </is>
      </c>
      <c r="J1" s="15" t="inlineStr">
        <is>
          <t>Rationale / Trigger</t>
        </is>
      </c>
      <c r="K1" s="15" t="inlineStr">
        <is>
          <t>Evidence Burden Multiplier</t>
        </is>
      </c>
    </row>
    <row r="2">
      <c r="A2" t="inlineStr">
        <is>
          <t>D01</t>
        </is>
      </c>
      <c r="B2" t="inlineStr">
        <is>
          <t>Institutional Strategy, Foresight &amp; AI Direction</t>
        </is>
      </c>
      <c r="C2" t="n">
        <v>3</v>
      </c>
      <c r="D2">
        <f>SUMIFS('P0-4_Context_Factors'!$C$2:$C$17,'P0-4_Context_Factors'!$A$2:$A$17,"Institution mandate",'P0-4_Context_Factors'!$B$2:$B$17,'P0-4_Context_Profile'!$B$5)*'P0-4_Domain_Sensitivity'!$C2</f>
        <v/>
      </c>
      <c r="E2">
        <f>SUMIFS('P0-4_Context_Factors'!$C$2:$C$17,'P0-4_Context_Factors'!$A$2:$A$17,"AI exposure",'P0-4_Context_Factors'!$B$2:$B$17,'P0-4_Context_Profile'!$B$6)*'P0-4_Domain_Sensitivity'!$D2</f>
        <v/>
      </c>
      <c r="F2">
        <f>SUMIFS('P0-4_Context_Factors'!$C$2:$C$17,'P0-4_Context_Factors'!$A$2:$A$17,"Disciplinary consequence",'P0-4_Context_Factors'!$B$2:$B$17,'P0-4_Context_Profile'!$B$7)*'P0-4_Domain_Sensitivity'!$E2</f>
        <v/>
      </c>
      <c r="G2">
        <f>SUMIFS('P0-4_Context_Factors'!$C$2:$C$17,'P0-4_Context_Factors'!$A$2:$A$17,"Institutional trajectory",'P0-4_Context_Factors'!$B$2:$B$17,'P0-4_Context_Profile'!$B$8)*'P0-4_Domain_Sensitivity'!$F2</f>
        <v/>
      </c>
      <c r="H2">
        <f>D2+E2+F2+G2</f>
        <v/>
      </c>
      <c r="I2" s="16">
        <f>MIN(5,MAX(1,ROUND(C2+H2,0)))</f>
        <v/>
      </c>
      <c r="J2" t="inlineStr">
        <is>
          <t>Higher required maturity is triggered by stronger mandate, AI exposure, disciplinary consequence and/or rapid transformation pressure.</t>
        </is>
      </c>
      <c r="K2">
        <f>IF('P0-4_Context_Profile'!$B$11="Constrained",0.85,IF('P0-4_Context_Profile'!$B$11="Low-medium",0.95,IF('P0-4_Context_Profile'!$B$11="Medium",1,IF('P0-4_Context_Profile'!$B$11="High",1.10,1.20))))</f>
        <v/>
      </c>
    </row>
    <row r="3">
      <c r="A3" t="inlineStr">
        <is>
          <t>D02</t>
        </is>
      </c>
      <c r="B3" t="inlineStr">
        <is>
          <t>Governance, Responsible AI &amp; Institutional Risk</t>
        </is>
      </c>
      <c r="C3" t="n">
        <v>3</v>
      </c>
      <c r="D3">
        <f>SUMIFS('P0-4_Context_Factors'!$C$2:$C$17,'P0-4_Context_Factors'!$A$2:$A$17,"Institution mandate",'P0-4_Context_Factors'!$B$2:$B$17,'P0-4_Context_Profile'!$B$5)*'P0-4_Domain_Sensitivity'!$C3</f>
        <v/>
      </c>
      <c r="E3">
        <f>SUMIFS('P0-4_Context_Factors'!$C$2:$C$17,'P0-4_Context_Factors'!$A$2:$A$17,"AI exposure",'P0-4_Context_Factors'!$B$2:$B$17,'P0-4_Context_Profile'!$B$6)*'P0-4_Domain_Sensitivity'!$D3</f>
        <v/>
      </c>
      <c r="F3">
        <f>SUMIFS('P0-4_Context_Factors'!$C$2:$C$17,'P0-4_Context_Factors'!$A$2:$A$17,"Disciplinary consequence",'P0-4_Context_Factors'!$B$2:$B$17,'P0-4_Context_Profile'!$B$7)*'P0-4_Domain_Sensitivity'!$E3</f>
        <v/>
      </c>
      <c r="G3">
        <f>SUMIFS('P0-4_Context_Factors'!$C$2:$C$17,'P0-4_Context_Factors'!$A$2:$A$17,"Institutional trajectory",'P0-4_Context_Factors'!$B$2:$B$17,'P0-4_Context_Profile'!$B$8)*'P0-4_Domain_Sensitivity'!$F3</f>
        <v/>
      </c>
      <c r="H3">
        <f>D3+E3+F3+G3</f>
        <v/>
      </c>
      <c r="I3" s="16">
        <f>MIN(5,MAX(1,ROUND(C3+H3,0)))</f>
        <v/>
      </c>
      <c r="J3" t="inlineStr">
        <is>
          <t>Higher required maturity is triggered by stronger mandate, AI exposure, disciplinary consequence and/or rapid transformation pressure.</t>
        </is>
      </c>
      <c r="K3">
        <f>IF('P0-4_Context_Profile'!$B$11="Constrained",0.85,IF('P0-4_Context_Profile'!$B$11="Low-medium",0.95,IF('P0-4_Context_Profile'!$B$11="Medium",1,IF('P0-4_Context_Profile'!$B$11="High",1.10,1.20))))</f>
        <v/>
      </c>
    </row>
    <row r="4">
      <c r="A4" t="inlineStr">
        <is>
          <t>D03</t>
        </is>
      </c>
      <c r="B4" t="inlineStr">
        <is>
          <t>Human Capability, Cognitive Readiness &amp; AI-Ready Education</t>
        </is>
      </c>
      <c r="C4" t="n">
        <v>3</v>
      </c>
      <c r="D4">
        <f>SUMIFS('P0-4_Context_Factors'!$C$2:$C$17,'P0-4_Context_Factors'!$A$2:$A$17,"Institution mandate",'P0-4_Context_Factors'!$B$2:$B$17,'P0-4_Context_Profile'!$B$5)*'P0-4_Domain_Sensitivity'!$C4</f>
        <v/>
      </c>
      <c r="E4">
        <f>SUMIFS('P0-4_Context_Factors'!$C$2:$C$17,'P0-4_Context_Factors'!$A$2:$A$17,"AI exposure",'P0-4_Context_Factors'!$B$2:$B$17,'P0-4_Context_Profile'!$B$6)*'P0-4_Domain_Sensitivity'!$D4</f>
        <v/>
      </c>
      <c r="F4">
        <f>SUMIFS('P0-4_Context_Factors'!$C$2:$C$17,'P0-4_Context_Factors'!$A$2:$A$17,"Disciplinary consequence",'P0-4_Context_Factors'!$B$2:$B$17,'P0-4_Context_Profile'!$B$7)*'P0-4_Domain_Sensitivity'!$E4</f>
        <v/>
      </c>
      <c r="G4">
        <f>SUMIFS('P0-4_Context_Factors'!$C$2:$C$17,'P0-4_Context_Factors'!$A$2:$A$17,"Institutional trajectory",'P0-4_Context_Factors'!$B$2:$B$17,'P0-4_Context_Profile'!$B$8)*'P0-4_Domain_Sensitivity'!$F4</f>
        <v/>
      </c>
      <c r="H4">
        <f>D4+E4+F4+G4</f>
        <v/>
      </c>
      <c r="I4" s="16">
        <f>MIN(5,MAX(1,ROUND(C4+H4,0)))</f>
        <v/>
      </c>
      <c r="J4" t="inlineStr">
        <is>
          <t>Higher required maturity is triggered by stronger mandate, AI exposure, disciplinary consequence and/or rapid transformation pressure.</t>
        </is>
      </c>
      <c r="K4">
        <f>IF('P0-4_Context_Profile'!$B$11="Constrained",0.85,IF('P0-4_Context_Profile'!$B$11="Low-medium",0.95,IF('P0-4_Context_Profile'!$B$11="Medium",1,IF('P0-4_Context_Profile'!$B$11="High",1.10,1.20))))</f>
        <v/>
      </c>
    </row>
    <row r="5">
      <c r="A5" t="inlineStr">
        <is>
          <t>D04</t>
        </is>
      </c>
      <c r="B5" t="inlineStr">
        <is>
          <t>Curriculum &amp; Programme Future Resilience</t>
        </is>
      </c>
      <c r="C5" t="n">
        <v>3</v>
      </c>
      <c r="D5">
        <f>SUMIFS('P0-4_Context_Factors'!$C$2:$C$17,'P0-4_Context_Factors'!$A$2:$A$17,"Institution mandate",'P0-4_Context_Factors'!$B$2:$B$17,'P0-4_Context_Profile'!$B$5)*'P0-4_Domain_Sensitivity'!$C5</f>
        <v/>
      </c>
      <c r="E5">
        <f>SUMIFS('P0-4_Context_Factors'!$C$2:$C$17,'P0-4_Context_Factors'!$A$2:$A$17,"AI exposure",'P0-4_Context_Factors'!$B$2:$B$17,'P0-4_Context_Profile'!$B$6)*'P0-4_Domain_Sensitivity'!$D5</f>
        <v/>
      </c>
      <c r="F5">
        <f>SUMIFS('P0-4_Context_Factors'!$C$2:$C$17,'P0-4_Context_Factors'!$A$2:$A$17,"Disciplinary consequence",'P0-4_Context_Factors'!$B$2:$B$17,'P0-4_Context_Profile'!$B$7)*'P0-4_Domain_Sensitivity'!$E5</f>
        <v/>
      </c>
      <c r="G5">
        <f>SUMIFS('P0-4_Context_Factors'!$C$2:$C$17,'P0-4_Context_Factors'!$A$2:$A$17,"Institutional trajectory",'P0-4_Context_Factors'!$B$2:$B$17,'P0-4_Context_Profile'!$B$8)*'P0-4_Domain_Sensitivity'!$F5</f>
        <v/>
      </c>
      <c r="H5">
        <f>D5+E5+F5+G5</f>
        <v/>
      </c>
      <c r="I5" s="16">
        <f>MIN(5,MAX(1,ROUND(C5+H5,0)))</f>
        <v/>
      </c>
      <c r="J5" t="inlineStr">
        <is>
          <t>Higher required maturity is triggered by stronger mandate, AI exposure, disciplinary consequence and/or rapid transformation pressure.</t>
        </is>
      </c>
      <c r="K5">
        <f>IF('P0-4_Context_Profile'!$B$11="Constrained",0.85,IF('P0-4_Context_Profile'!$B$11="Low-medium",0.95,IF('P0-4_Context_Profile'!$B$11="Medium",1,IF('P0-4_Context_Profile'!$B$11="High",1.10,1.20))))</f>
        <v/>
      </c>
    </row>
    <row r="6">
      <c r="A6" t="inlineStr">
        <is>
          <t>D05</t>
        </is>
      </c>
      <c r="B6" t="inlineStr">
        <is>
          <t>Faculty Capability &amp; Academic Workforce Transformation</t>
        </is>
      </c>
      <c r="C6" t="n">
        <v>3</v>
      </c>
      <c r="D6">
        <f>SUMIFS('P0-4_Context_Factors'!$C$2:$C$17,'P0-4_Context_Factors'!$A$2:$A$17,"Institution mandate",'P0-4_Context_Factors'!$B$2:$B$17,'P0-4_Context_Profile'!$B$5)*'P0-4_Domain_Sensitivity'!$C6</f>
        <v/>
      </c>
      <c r="E6">
        <f>SUMIFS('P0-4_Context_Factors'!$C$2:$C$17,'P0-4_Context_Factors'!$A$2:$A$17,"AI exposure",'P0-4_Context_Factors'!$B$2:$B$17,'P0-4_Context_Profile'!$B$6)*'P0-4_Domain_Sensitivity'!$D6</f>
        <v/>
      </c>
      <c r="F6">
        <f>SUMIFS('P0-4_Context_Factors'!$C$2:$C$17,'P0-4_Context_Factors'!$A$2:$A$17,"Disciplinary consequence",'P0-4_Context_Factors'!$B$2:$B$17,'P0-4_Context_Profile'!$B$7)*'P0-4_Domain_Sensitivity'!$E6</f>
        <v/>
      </c>
      <c r="G6">
        <f>SUMIFS('P0-4_Context_Factors'!$C$2:$C$17,'P0-4_Context_Factors'!$A$2:$A$17,"Institutional trajectory",'P0-4_Context_Factors'!$B$2:$B$17,'P0-4_Context_Profile'!$B$8)*'P0-4_Domain_Sensitivity'!$F6</f>
        <v/>
      </c>
      <c r="H6">
        <f>D6+E6+F6+G6</f>
        <v/>
      </c>
      <c r="I6" s="16">
        <f>MIN(5,MAX(1,ROUND(C6+H6,0)))</f>
        <v/>
      </c>
      <c r="J6" t="inlineStr">
        <is>
          <t>Higher required maturity is triggered by stronger mandate, AI exposure, disciplinary consequence and/or rapid transformation pressure.</t>
        </is>
      </c>
      <c r="K6">
        <f>IF('P0-4_Context_Profile'!$B$11="Constrained",0.85,IF('P0-4_Context_Profile'!$B$11="Low-medium",0.95,IF('P0-4_Context_Profile'!$B$11="Medium",1,IF('P0-4_Context_Profile'!$B$11="High",1.10,1.20))))</f>
        <v/>
      </c>
    </row>
    <row r="7">
      <c r="A7" t="inlineStr">
        <is>
          <t>D06</t>
        </is>
      </c>
      <c r="B7" t="inlineStr">
        <is>
          <t>Student Capability, Agency &amp; Future Readiness</t>
        </is>
      </c>
      <c r="C7" t="n">
        <v>3</v>
      </c>
      <c r="D7">
        <f>SUMIFS('P0-4_Context_Factors'!$C$2:$C$17,'P0-4_Context_Factors'!$A$2:$A$17,"Institution mandate",'P0-4_Context_Factors'!$B$2:$B$17,'P0-4_Context_Profile'!$B$5)*'P0-4_Domain_Sensitivity'!$C7</f>
        <v/>
      </c>
      <c r="E7">
        <f>SUMIFS('P0-4_Context_Factors'!$C$2:$C$17,'P0-4_Context_Factors'!$A$2:$A$17,"AI exposure",'P0-4_Context_Factors'!$B$2:$B$17,'P0-4_Context_Profile'!$B$6)*'P0-4_Domain_Sensitivity'!$D7</f>
        <v/>
      </c>
      <c r="F7">
        <f>SUMIFS('P0-4_Context_Factors'!$C$2:$C$17,'P0-4_Context_Factors'!$A$2:$A$17,"Disciplinary consequence",'P0-4_Context_Factors'!$B$2:$B$17,'P0-4_Context_Profile'!$B$7)*'P0-4_Domain_Sensitivity'!$E7</f>
        <v/>
      </c>
      <c r="G7">
        <f>SUMIFS('P0-4_Context_Factors'!$C$2:$C$17,'P0-4_Context_Factors'!$A$2:$A$17,"Institutional trajectory",'P0-4_Context_Factors'!$B$2:$B$17,'P0-4_Context_Profile'!$B$8)*'P0-4_Domain_Sensitivity'!$F7</f>
        <v/>
      </c>
      <c r="H7">
        <f>D7+E7+F7+G7</f>
        <v/>
      </c>
      <c r="I7" s="16">
        <f>MIN(5,MAX(1,ROUND(C7+H7,0)))</f>
        <v/>
      </c>
      <c r="J7" t="inlineStr">
        <is>
          <t>Higher required maturity is triggered by stronger mandate, AI exposure, disciplinary consequence and/or rapid transformation pressure.</t>
        </is>
      </c>
      <c r="K7">
        <f>IF('P0-4_Context_Profile'!$B$11="Constrained",0.85,IF('P0-4_Context_Profile'!$B$11="Low-medium",0.95,IF('P0-4_Context_Profile'!$B$11="Medium",1,IF('P0-4_Context_Profile'!$B$11="High",1.10,1.20))))</f>
        <v/>
      </c>
    </row>
    <row r="8">
      <c r="A8" t="inlineStr">
        <is>
          <t>D07</t>
        </is>
      </c>
      <c r="B8" t="inlineStr">
        <is>
          <t>Learning, Assessment &amp; Evidence of Capability</t>
        </is>
      </c>
      <c r="C8" t="n">
        <v>3</v>
      </c>
      <c r="D8">
        <f>SUMIFS('P0-4_Context_Factors'!$C$2:$C$17,'P0-4_Context_Factors'!$A$2:$A$17,"Institution mandate",'P0-4_Context_Factors'!$B$2:$B$17,'P0-4_Context_Profile'!$B$5)*'P0-4_Domain_Sensitivity'!$C8</f>
        <v/>
      </c>
      <c r="E8">
        <f>SUMIFS('P0-4_Context_Factors'!$C$2:$C$17,'P0-4_Context_Factors'!$A$2:$A$17,"AI exposure",'P0-4_Context_Factors'!$B$2:$B$17,'P0-4_Context_Profile'!$B$6)*'P0-4_Domain_Sensitivity'!$D8</f>
        <v/>
      </c>
      <c r="F8">
        <f>SUMIFS('P0-4_Context_Factors'!$C$2:$C$17,'P0-4_Context_Factors'!$A$2:$A$17,"Disciplinary consequence",'P0-4_Context_Factors'!$B$2:$B$17,'P0-4_Context_Profile'!$B$7)*'P0-4_Domain_Sensitivity'!$E8</f>
        <v/>
      </c>
      <c r="G8">
        <f>SUMIFS('P0-4_Context_Factors'!$C$2:$C$17,'P0-4_Context_Factors'!$A$2:$A$17,"Institutional trajectory",'P0-4_Context_Factors'!$B$2:$B$17,'P0-4_Context_Profile'!$B$8)*'P0-4_Domain_Sensitivity'!$F8</f>
        <v/>
      </c>
      <c r="H8">
        <f>D8+E8+F8+G8</f>
        <v/>
      </c>
      <c r="I8" s="16">
        <f>MIN(5,MAX(1,ROUND(C8+H8,0)))</f>
        <v/>
      </c>
      <c r="J8" t="inlineStr">
        <is>
          <t>Higher required maturity is triggered by stronger mandate, AI exposure, disciplinary consequence and/or rapid transformation pressure.</t>
        </is>
      </c>
      <c r="K8">
        <f>IF('P0-4_Context_Profile'!$B$11="Constrained",0.85,IF('P0-4_Context_Profile'!$B$11="Low-medium",0.95,IF('P0-4_Context_Profile'!$B$11="Medium",1,IF('P0-4_Context_Profile'!$B$11="High",1.10,1.20))))</f>
        <v/>
      </c>
    </row>
    <row r="9">
      <c r="A9" t="inlineStr">
        <is>
          <t>D08</t>
        </is>
      </c>
      <c r="B9" t="inlineStr">
        <is>
          <t>Digital, Data &amp; Institutional Intelligence</t>
        </is>
      </c>
      <c r="C9" t="n">
        <v>3</v>
      </c>
      <c r="D9">
        <f>SUMIFS('P0-4_Context_Factors'!$C$2:$C$17,'P0-4_Context_Factors'!$A$2:$A$17,"Institution mandate",'P0-4_Context_Factors'!$B$2:$B$17,'P0-4_Context_Profile'!$B$5)*'P0-4_Domain_Sensitivity'!$C9</f>
        <v/>
      </c>
      <c r="E9">
        <f>SUMIFS('P0-4_Context_Factors'!$C$2:$C$17,'P0-4_Context_Factors'!$A$2:$A$17,"AI exposure",'P0-4_Context_Factors'!$B$2:$B$17,'P0-4_Context_Profile'!$B$6)*'P0-4_Domain_Sensitivity'!$D9</f>
        <v/>
      </c>
      <c r="F9">
        <f>SUMIFS('P0-4_Context_Factors'!$C$2:$C$17,'P0-4_Context_Factors'!$A$2:$A$17,"Disciplinary consequence",'P0-4_Context_Factors'!$B$2:$B$17,'P0-4_Context_Profile'!$B$7)*'P0-4_Domain_Sensitivity'!$E9</f>
        <v/>
      </c>
      <c r="G9">
        <f>SUMIFS('P0-4_Context_Factors'!$C$2:$C$17,'P0-4_Context_Factors'!$A$2:$A$17,"Institutional trajectory",'P0-4_Context_Factors'!$B$2:$B$17,'P0-4_Context_Profile'!$B$8)*'P0-4_Domain_Sensitivity'!$F9</f>
        <v/>
      </c>
      <c r="H9">
        <f>D9+E9+F9+G9</f>
        <v/>
      </c>
      <c r="I9" s="16">
        <f>MIN(5,MAX(1,ROUND(C9+H9,0)))</f>
        <v/>
      </c>
      <c r="J9" t="inlineStr">
        <is>
          <t>Higher required maturity is triggered by stronger mandate, AI exposure, disciplinary consequence and/or rapid transformation pressure.</t>
        </is>
      </c>
      <c r="K9">
        <f>IF('P0-4_Context_Profile'!$B$11="Constrained",0.85,IF('P0-4_Context_Profile'!$B$11="Low-medium",0.95,IF('P0-4_Context_Profile'!$B$11="Medium",1,IF('P0-4_Context_Profile'!$B$11="High",1.10,1.20))))</f>
        <v/>
      </c>
    </row>
    <row r="10">
      <c r="A10" t="inlineStr">
        <is>
          <t>D09</t>
        </is>
      </c>
      <c r="B10" t="inlineStr">
        <is>
          <t>Employability, Industry &amp; Economic Relevance</t>
        </is>
      </c>
      <c r="C10" t="n">
        <v>3</v>
      </c>
      <c r="D10">
        <f>SUMIFS('P0-4_Context_Factors'!$C$2:$C$17,'P0-4_Context_Factors'!$A$2:$A$17,"Institution mandate",'P0-4_Context_Factors'!$B$2:$B$17,'P0-4_Context_Profile'!$B$5)*'P0-4_Domain_Sensitivity'!$C10</f>
        <v/>
      </c>
      <c r="E10">
        <f>SUMIFS('P0-4_Context_Factors'!$C$2:$C$17,'P0-4_Context_Factors'!$A$2:$A$17,"AI exposure",'P0-4_Context_Factors'!$B$2:$B$17,'P0-4_Context_Profile'!$B$6)*'P0-4_Domain_Sensitivity'!$D10</f>
        <v/>
      </c>
      <c r="F10">
        <f>SUMIFS('P0-4_Context_Factors'!$C$2:$C$17,'P0-4_Context_Factors'!$A$2:$A$17,"Disciplinary consequence",'P0-4_Context_Factors'!$B$2:$B$17,'P0-4_Context_Profile'!$B$7)*'P0-4_Domain_Sensitivity'!$E10</f>
        <v/>
      </c>
      <c r="G10">
        <f>SUMIFS('P0-4_Context_Factors'!$C$2:$C$17,'P0-4_Context_Factors'!$A$2:$A$17,"Institutional trajectory",'P0-4_Context_Factors'!$B$2:$B$17,'P0-4_Context_Profile'!$B$8)*'P0-4_Domain_Sensitivity'!$F10</f>
        <v/>
      </c>
      <c r="H10">
        <f>D10+E10+F10+G10</f>
        <v/>
      </c>
      <c r="I10" s="16">
        <f>MIN(5,MAX(1,ROUND(C10+H10,0)))</f>
        <v/>
      </c>
      <c r="J10" t="inlineStr">
        <is>
          <t>Higher required maturity is triggered by stronger mandate, AI exposure, disciplinary consequence and/or rapid transformation pressure.</t>
        </is>
      </c>
      <c r="K10">
        <f>IF('P0-4_Context_Profile'!$B$11="Constrained",0.85,IF('P0-4_Context_Profile'!$B$11="Low-medium",0.95,IF('P0-4_Context_Profile'!$B$11="Medium",1,IF('P0-4_Context_Profile'!$B$11="High",1.10,1.20))))</f>
        <v/>
      </c>
    </row>
    <row r="11">
      <c r="A11" t="inlineStr">
        <is>
          <t>D10</t>
        </is>
      </c>
      <c r="B11" t="inlineStr">
        <is>
          <t>Research, Innovation &amp; Knowledge Creation</t>
        </is>
      </c>
      <c r="C11" t="n">
        <v>3</v>
      </c>
      <c r="D11">
        <f>SUMIFS('P0-4_Context_Factors'!$C$2:$C$17,'P0-4_Context_Factors'!$A$2:$A$17,"Institution mandate",'P0-4_Context_Factors'!$B$2:$B$17,'P0-4_Context_Profile'!$B$5)*'P0-4_Domain_Sensitivity'!$C11</f>
        <v/>
      </c>
      <c r="E11">
        <f>SUMIFS('P0-4_Context_Factors'!$C$2:$C$17,'P0-4_Context_Factors'!$A$2:$A$17,"AI exposure",'P0-4_Context_Factors'!$B$2:$B$17,'P0-4_Context_Profile'!$B$6)*'P0-4_Domain_Sensitivity'!$D11</f>
        <v/>
      </c>
      <c r="F11">
        <f>SUMIFS('P0-4_Context_Factors'!$C$2:$C$17,'P0-4_Context_Factors'!$A$2:$A$17,"Disciplinary consequence",'P0-4_Context_Factors'!$B$2:$B$17,'P0-4_Context_Profile'!$B$7)*'P0-4_Domain_Sensitivity'!$E11</f>
        <v/>
      </c>
      <c r="G11">
        <f>SUMIFS('P0-4_Context_Factors'!$C$2:$C$17,'P0-4_Context_Factors'!$A$2:$A$17,"Institutional trajectory",'P0-4_Context_Factors'!$B$2:$B$17,'P0-4_Context_Profile'!$B$8)*'P0-4_Domain_Sensitivity'!$F11</f>
        <v/>
      </c>
      <c r="H11">
        <f>D11+E11+F11+G11</f>
        <v/>
      </c>
      <c r="I11" s="16">
        <f>MIN(5,MAX(1,ROUND(C11+H11,0)))</f>
        <v/>
      </c>
      <c r="J11" t="inlineStr">
        <is>
          <t>Higher required maturity is triggered by stronger mandate, AI exposure, disciplinary consequence and/or rapid transformation pressure.</t>
        </is>
      </c>
      <c r="K11">
        <f>IF('P0-4_Context_Profile'!$B$11="Constrained",0.85,IF('P0-4_Context_Profile'!$B$11="Low-medium",0.95,IF('P0-4_Context_Profile'!$B$11="Medium",1,IF('P0-4_Context_Profile'!$B$11="High",1.10,1.20))))</f>
        <v/>
      </c>
    </row>
    <row r="12">
      <c r="A12" t="inlineStr">
        <is>
          <t>D11</t>
        </is>
      </c>
      <c r="B12" t="inlineStr">
        <is>
          <t>Institutional Adaptability &amp; AI Resilience</t>
        </is>
      </c>
      <c r="C12" t="n">
        <v>3</v>
      </c>
      <c r="D12">
        <f>SUMIFS('P0-4_Context_Factors'!$C$2:$C$17,'P0-4_Context_Factors'!$A$2:$A$17,"Institution mandate",'P0-4_Context_Factors'!$B$2:$B$17,'P0-4_Context_Profile'!$B$5)*'P0-4_Domain_Sensitivity'!$C12</f>
        <v/>
      </c>
      <c r="E12">
        <f>SUMIFS('P0-4_Context_Factors'!$C$2:$C$17,'P0-4_Context_Factors'!$A$2:$A$17,"AI exposure",'P0-4_Context_Factors'!$B$2:$B$17,'P0-4_Context_Profile'!$B$6)*'P0-4_Domain_Sensitivity'!$D12</f>
        <v/>
      </c>
      <c r="F12">
        <f>SUMIFS('P0-4_Context_Factors'!$C$2:$C$17,'P0-4_Context_Factors'!$A$2:$A$17,"Disciplinary consequence",'P0-4_Context_Factors'!$B$2:$B$17,'P0-4_Context_Profile'!$B$7)*'P0-4_Domain_Sensitivity'!$E12</f>
        <v/>
      </c>
      <c r="G12">
        <f>SUMIFS('P0-4_Context_Factors'!$C$2:$C$17,'P0-4_Context_Factors'!$A$2:$A$17,"Institutional trajectory",'P0-4_Context_Factors'!$B$2:$B$17,'P0-4_Context_Profile'!$B$8)*'P0-4_Domain_Sensitivity'!$F12</f>
        <v/>
      </c>
      <c r="H12">
        <f>D12+E12+F12+G12</f>
        <v/>
      </c>
      <c r="I12" s="16">
        <f>MIN(5,MAX(1,ROUND(C12+H12,0)))</f>
        <v/>
      </c>
      <c r="J12" t="inlineStr">
        <is>
          <t>Higher required maturity is triggered by stronger mandate, AI exposure, disciplinary consequence and/or rapid transformation pressure.</t>
        </is>
      </c>
      <c r="K12">
        <f>IF('P0-4_Context_Profile'!$B$11="Constrained",0.85,IF('P0-4_Context_Profile'!$B$11="Low-medium",0.95,IF('P0-4_Context_Profile'!$B$11="Medium",1,IF('P0-4_Context_Profile'!$B$11="High",1.10,1.20))))</f>
        <v/>
      </c>
    </row>
  </sheetData>
  <autoFilter ref="A1:K12"/>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5" customWidth="1" min="3" max="3"/>
    <col width="40" customWidth="1" min="4" max="4"/>
    <col width="18" customWidth="1" min="5" max="5"/>
  </cols>
  <sheetData>
    <row r="1">
      <c r="A1" s="15" t="inlineStr">
        <is>
          <t>Field</t>
        </is>
      </c>
      <c r="B1" s="15" t="inlineStr">
        <is>
          <t>Required assessor rationale</t>
        </is>
      </c>
      <c r="C1" s="15" t="inlineStr">
        <is>
          <t>Example evidence / basis</t>
        </is>
      </c>
      <c r="D1" s="15" t="inlineStr">
        <is>
          <t>Effect</t>
        </is>
      </c>
      <c r="E1" s="15" t="inlineStr">
        <is>
          <t>Approval</t>
        </is>
      </c>
    </row>
    <row r="2">
      <c r="A2" t="inlineStr">
        <is>
          <t>Institution type</t>
        </is>
      </c>
      <c r="B2" t="inlineStr">
        <is>
          <t>Record why the selected context level is appropriate for this institution.</t>
        </is>
      </c>
      <c r="C2" t="inlineStr">
        <is>
          <t>Institution profile, strategic plan, programme portfolio, operating data, external environment or assessor evidence.</t>
        </is>
      </c>
      <c r="D2" t="inlineStr">
        <is>
          <t>Target/evidence burden only; no direct score bonus.</t>
        </is>
      </c>
      <c r="E2" t="inlineStr">
        <is>
          <t>Assessor</t>
        </is>
      </c>
    </row>
    <row r="3">
      <c r="A3" t="inlineStr">
        <is>
          <t>Institution mandate</t>
        </is>
      </c>
      <c r="B3" t="inlineStr">
        <is>
          <t>Record why the selected context level is appropriate for this institution.</t>
        </is>
      </c>
      <c r="C3" t="inlineStr">
        <is>
          <t>Institution profile, strategic plan, programme portfolio, operating data, external environment or assessor evidence.</t>
        </is>
      </c>
      <c r="D3" t="inlineStr">
        <is>
          <t>Target/evidence burden only; no direct score bonus.</t>
        </is>
      </c>
      <c r="E3" t="inlineStr">
        <is>
          <t>Assessor</t>
        </is>
      </c>
    </row>
    <row r="4">
      <c r="A4" t="inlineStr">
        <is>
          <t>AI exposure</t>
        </is>
      </c>
      <c r="B4" t="inlineStr">
        <is>
          <t>Record why the selected context level is appropriate for this institution.</t>
        </is>
      </c>
      <c r="C4" t="inlineStr">
        <is>
          <t>Institution profile, strategic plan, programme portfolio, operating data, external environment or assessor evidence.</t>
        </is>
      </c>
      <c r="D4" t="inlineStr">
        <is>
          <t>Target/evidence burden only; no direct score bonus.</t>
        </is>
      </c>
      <c r="E4" t="inlineStr">
        <is>
          <t>Assessor</t>
        </is>
      </c>
    </row>
    <row r="5">
      <c r="A5" t="inlineStr">
        <is>
          <t>Disciplinary consequence</t>
        </is>
      </c>
      <c r="B5" t="inlineStr">
        <is>
          <t>Record why the selected context level is appropriate for this institution.</t>
        </is>
      </c>
      <c r="C5" t="inlineStr">
        <is>
          <t>Institution profile, strategic plan, programme portfolio, operating data, external environment or assessor evidence.</t>
        </is>
      </c>
      <c r="D5" t="inlineStr">
        <is>
          <t>Target/evidence burden only; no direct score bonus.</t>
        </is>
      </c>
      <c r="E5" t="inlineStr">
        <is>
          <t>Assessor</t>
        </is>
      </c>
    </row>
    <row r="6">
      <c r="A6" t="inlineStr">
        <is>
          <t>Institutional trajectory</t>
        </is>
      </c>
      <c r="B6" t="inlineStr">
        <is>
          <t>Record why the selected context level is appropriate for this institution.</t>
        </is>
      </c>
      <c r="C6" t="inlineStr">
        <is>
          <t>Institution profile, strategic plan, programme portfolio, operating data, external environment or assessor evidence.</t>
        </is>
      </c>
      <c r="D6" t="inlineStr">
        <is>
          <t>Target/evidence burden only; no direct score bonus.</t>
        </is>
      </c>
      <c r="E6" t="inlineStr">
        <is>
          <t>Assessor</t>
        </is>
      </c>
    </row>
    <row r="7">
      <c r="A7" t="inlineStr">
        <is>
          <t>Scale</t>
        </is>
      </c>
      <c r="B7" t="inlineStr">
        <is>
          <t>Record why the selected context level is appropriate for this institution.</t>
        </is>
      </c>
      <c r="C7" t="inlineStr">
        <is>
          <t>Institution profile, strategic plan, programme portfolio, operating data, external environment or assessor evidence.</t>
        </is>
      </c>
      <c r="D7" t="inlineStr">
        <is>
          <t>Target/evidence burden only; no direct score bonus.</t>
        </is>
      </c>
      <c r="E7" t="inlineStr">
        <is>
          <t>Assessor</t>
        </is>
      </c>
    </row>
    <row r="8">
      <c r="A8" t="inlineStr">
        <is>
          <t>Geography / operating context</t>
        </is>
      </c>
      <c r="B8" t="inlineStr">
        <is>
          <t>Record why the selected context level is appropriate for this institution.</t>
        </is>
      </c>
      <c r="C8" t="inlineStr">
        <is>
          <t>Institution profile, strategic plan, programme portfolio, operating data, external environment or assessor evidence.</t>
        </is>
      </c>
      <c r="D8" t="inlineStr">
        <is>
          <t>Target/evidence burden only; no direct score bonus.</t>
        </is>
      </c>
      <c r="E8" t="inlineStr">
        <is>
          <t>Assessor</t>
        </is>
      </c>
    </row>
    <row r="9">
      <c r="A9" t="inlineStr">
        <is>
          <t>Resource envelope</t>
        </is>
      </c>
      <c r="B9" t="inlineStr">
        <is>
          <t>Record why the selected context level is appropriate for this institution.</t>
        </is>
      </c>
      <c r="C9" t="inlineStr">
        <is>
          <t>Institution profile, strategic plan, programme portfolio, operating data, external environment or assessor evidence.</t>
        </is>
      </c>
      <c r="D9" t="inlineStr">
        <is>
          <t>Target/evidence burden only; no direct score bonus.</t>
        </is>
      </c>
      <c r="E9" t="inlineStr">
        <is>
          <t>Assessor</t>
        </is>
      </c>
    </row>
    <row r="10">
      <c r="A10" t="inlineStr">
        <is>
          <t>Research intensity</t>
        </is>
      </c>
      <c r="B10" t="inlineStr">
        <is>
          <t>Record why the selected context level is appropriate for this institution.</t>
        </is>
      </c>
      <c r="C10" t="inlineStr">
        <is>
          <t>Institution profile, strategic plan, programme portfolio, operating data, external environment or assessor evidence.</t>
        </is>
      </c>
      <c r="D10" t="inlineStr">
        <is>
          <t>Target/evidence burden only; no direct score bonus.</t>
        </is>
      </c>
      <c r="E10" t="inlineStr">
        <is>
          <t>Assessor</t>
        </is>
      </c>
    </row>
    <row r="11">
      <c r="A11" t="inlineStr">
        <is>
          <t>Student profile complexity</t>
        </is>
      </c>
      <c r="B11" t="inlineStr">
        <is>
          <t>Record why the selected context level is appropriate for this institution.</t>
        </is>
      </c>
      <c r="C11" t="inlineStr">
        <is>
          <t>Institution profile, strategic plan, programme portfolio, operating data, external environment or assessor evidence.</t>
        </is>
      </c>
      <c r="D11" t="inlineStr">
        <is>
          <t>Target/evidence burden only; no direct score bonus.</t>
        </is>
      </c>
      <c r="E11" t="inlineStr">
        <is>
          <t>Assessor</t>
        </is>
      </c>
    </row>
  </sheetData>
  <autoFilter ref="A1:E11"/>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18" customWidth="1" min="4" max="4"/>
    <col width="14" customWidth="1" min="5" max="5"/>
    <col width="16" customWidth="1" min="6" max="6"/>
    <col width="70" customWidth="1" min="7" max="7"/>
  </cols>
  <sheetData>
    <row r="1">
      <c r="A1" s="15" t="inlineStr">
        <is>
          <t>Domain</t>
        </is>
      </c>
      <c r="B1" s="15" t="inlineStr">
        <is>
          <t>Domain Score /100</t>
        </is>
      </c>
      <c r="C1" s="15" t="inlineStr">
        <is>
          <t>Current Maturity (proxy)</t>
        </is>
      </c>
      <c r="D1" s="15" t="inlineStr">
        <is>
          <t>Required Maturity R</t>
        </is>
      </c>
      <c r="E1" s="15" t="inlineStr">
        <is>
          <t>Maturity Gap</t>
        </is>
      </c>
      <c r="F1" s="15" t="inlineStr">
        <is>
          <t>Domain Priority</t>
        </is>
      </c>
      <c r="G1" s="15" t="inlineStr">
        <is>
          <t>Interpretation</t>
        </is>
      </c>
    </row>
    <row r="2">
      <c r="A2">
        <f>'P0-3_Domain_Aggregation'!A2</f>
        <v/>
      </c>
      <c r="B2">
        <f>'P0-3_Domain_Aggregation'!B2</f>
        <v/>
      </c>
      <c r="C2">
        <f>IFERROR(AVERAGEIF('P0-3_Scorecard'!$A$2:$A$144,A2,'P0-3_Scorecard'!$E$2:$E$144),"")</f>
        <v/>
      </c>
      <c r="D2">
        <f>'P0-4_Required_Maturity'!I2</f>
        <v/>
      </c>
      <c r="E2">
        <f>IF(OR(C2="",D2=""),"",D2-C2)</f>
        <v/>
      </c>
      <c r="F2">
        <f>IF(E2="","",IF(E2&gt;=2,"URGENT",IF(E2&gt;=1,"PRIORITY",IF(E2&gt;0,"WATCH","ON TRACK"))))</f>
        <v/>
      </c>
      <c r="G2" t="inlineStr">
        <is>
          <t>Gap is a transformation priority, not a penalty added to the capability score.</t>
        </is>
      </c>
    </row>
    <row r="3">
      <c r="A3">
        <f>'P0-3_Domain_Aggregation'!A3</f>
        <v/>
      </c>
      <c r="B3">
        <f>'P0-3_Domain_Aggregation'!B3</f>
        <v/>
      </c>
      <c r="C3">
        <f>IFERROR(AVERAGEIF('P0-3_Scorecard'!$A$2:$A$144,A3,'P0-3_Scorecard'!$E$2:$E$144),"")</f>
        <v/>
      </c>
      <c r="D3">
        <f>'P0-4_Required_Maturity'!I3</f>
        <v/>
      </c>
      <c r="E3">
        <f>IF(OR(C3="",D3=""),"",D3-C3)</f>
        <v/>
      </c>
      <c r="F3">
        <f>IF(E3="","",IF(E3&gt;=2,"URGENT",IF(E3&gt;=1,"PRIORITY",IF(E3&gt;0,"WATCH","ON TRACK"))))</f>
        <v/>
      </c>
      <c r="G3" t="inlineStr">
        <is>
          <t>Gap is a transformation priority, not a penalty added to the capability score.</t>
        </is>
      </c>
    </row>
    <row r="4">
      <c r="A4">
        <f>'P0-3_Domain_Aggregation'!A4</f>
        <v/>
      </c>
      <c r="B4">
        <f>'P0-3_Domain_Aggregation'!B4</f>
        <v/>
      </c>
      <c r="C4">
        <f>IFERROR(AVERAGEIF('P0-3_Scorecard'!$A$2:$A$144,A4,'P0-3_Scorecard'!$E$2:$E$144),"")</f>
        <v/>
      </c>
      <c r="D4">
        <f>'P0-4_Required_Maturity'!I4</f>
        <v/>
      </c>
      <c r="E4">
        <f>IF(OR(C4="",D4=""),"",D4-C4)</f>
        <v/>
      </c>
      <c r="F4">
        <f>IF(E4="","",IF(E4&gt;=2,"URGENT",IF(E4&gt;=1,"PRIORITY",IF(E4&gt;0,"WATCH","ON TRACK"))))</f>
        <v/>
      </c>
      <c r="G4" t="inlineStr">
        <is>
          <t>Gap is a transformation priority, not a penalty added to the capability score.</t>
        </is>
      </c>
    </row>
    <row r="5">
      <c r="A5">
        <f>'P0-3_Domain_Aggregation'!A5</f>
        <v/>
      </c>
      <c r="B5">
        <f>'P0-3_Domain_Aggregation'!B5</f>
        <v/>
      </c>
      <c r="C5">
        <f>IFERROR(AVERAGEIF('P0-3_Scorecard'!$A$2:$A$144,A5,'P0-3_Scorecard'!$E$2:$E$144),"")</f>
        <v/>
      </c>
      <c r="D5">
        <f>'P0-4_Required_Maturity'!I5</f>
        <v/>
      </c>
      <c r="E5">
        <f>IF(OR(C5="",D5=""),"",D5-C5)</f>
        <v/>
      </c>
      <c r="F5">
        <f>IF(E5="","",IF(E5&gt;=2,"URGENT",IF(E5&gt;=1,"PRIORITY",IF(E5&gt;0,"WATCH","ON TRACK"))))</f>
        <v/>
      </c>
      <c r="G5" t="inlineStr">
        <is>
          <t>Gap is a transformation priority, not a penalty added to the capability score.</t>
        </is>
      </c>
    </row>
    <row r="6">
      <c r="A6">
        <f>'P0-3_Domain_Aggregation'!A6</f>
        <v/>
      </c>
      <c r="B6">
        <f>'P0-3_Domain_Aggregation'!B6</f>
        <v/>
      </c>
      <c r="C6">
        <f>IFERROR(AVERAGEIF('P0-3_Scorecard'!$A$2:$A$144,A6,'P0-3_Scorecard'!$E$2:$E$144),"")</f>
        <v/>
      </c>
      <c r="D6">
        <f>'P0-4_Required_Maturity'!I6</f>
        <v/>
      </c>
      <c r="E6">
        <f>IF(OR(C6="",D6=""),"",D6-C6)</f>
        <v/>
      </c>
      <c r="F6">
        <f>IF(E6="","",IF(E6&gt;=2,"URGENT",IF(E6&gt;=1,"PRIORITY",IF(E6&gt;0,"WATCH","ON TRACK"))))</f>
        <v/>
      </c>
      <c r="G6" t="inlineStr">
        <is>
          <t>Gap is a transformation priority, not a penalty added to the capability score.</t>
        </is>
      </c>
    </row>
    <row r="7">
      <c r="A7">
        <f>'P0-3_Domain_Aggregation'!A7</f>
        <v/>
      </c>
      <c r="B7">
        <f>'P0-3_Domain_Aggregation'!B7</f>
        <v/>
      </c>
      <c r="C7">
        <f>IFERROR(AVERAGEIF('P0-3_Scorecard'!$A$2:$A$144,A7,'P0-3_Scorecard'!$E$2:$E$144),"")</f>
        <v/>
      </c>
      <c r="D7">
        <f>'P0-4_Required_Maturity'!I7</f>
        <v/>
      </c>
      <c r="E7">
        <f>IF(OR(C7="",D7=""),"",D7-C7)</f>
        <v/>
      </c>
      <c r="F7">
        <f>IF(E7="","",IF(E7&gt;=2,"URGENT",IF(E7&gt;=1,"PRIORITY",IF(E7&gt;0,"WATCH","ON TRACK"))))</f>
        <v/>
      </c>
      <c r="G7" t="inlineStr">
        <is>
          <t>Gap is a transformation priority, not a penalty added to the capability score.</t>
        </is>
      </c>
    </row>
    <row r="8">
      <c r="A8">
        <f>'P0-3_Domain_Aggregation'!A8</f>
        <v/>
      </c>
      <c r="B8">
        <f>'P0-3_Domain_Aggregation'!B8</f>
        <v/>
      </c>
      <c r="C8">
        <f>IFERROR(AVERAGEIF('P0-3_Scorecard'!$A$2:$A$144,A8,'P0-3_Scorecard'!$E$2:$E$144),"")</f>
        <v/>
      </c>
      <c r="D8">
        <f>'P0-4_Required_Maturity'!I8</f>
        <v/>
      </c>
      <c r="E8">
        <f>IF(OR(C8="",D8=""),"",D8-C8)</f>
        <v/>
      </c>
      <c r="F8">
        <f>IF(E8="","",IF(E8&gt;=2,"URGENT",IF(E8&gt;=1,"PRIORITY",IF(E8&gt;0,"WATCH","ON TRACK"))))</f>
        <v/>
      </c>
      <c r="G8" t="inlineStr">
        <is>
          <t>Gap is a transformation priority, not a penalty added to the capability score.</t>
        </is>
      </c>
    </row>
    <row r="9">
      <c r="A9">
        <f>'P0-3_Domain_Aggregation'!A9</f>
        <v/>
      </c>
      <c r="B9">
        <f>'P0-3_Domain_Aggregation'!B9</f>
        <v/>
      </c>
      <c r="C9">
        <f>IFERROR(AVERAGEIF('P0-3_Scorecard'!$A$2:$A$144,A9,'P0-3_Scorecard'!$E$2:$E$144),"")</f>
        <v/>
      </c>
      <c r="D9">
        <f>'P0-4_Required_Maturity'!I9</f>
        <v/>
      </c>
      <c r="E9">
        <f>IF(OR(C9="",D9=""),"",D9-C9)</f>
        <v/>
      </c>
      <c r="F9">
        <f>IF(E9="","",IF(E9&gt;=2,"URGENT",IF(E9&gt;=1,"PRIORITY",IF(E9&gt;0,"WATCH","ON TRACK"))))</f>
        <v/>
      </c>
      <c r="G9" t="inlineStr">
        <is>
          <t>Gap is a transformation priority, not a penalty added to the capability score.</t>
        </is>
      </c>
    </row>
    <row r="10">
      <c r="A10">
        <f>'P0-3_Domain_Aggregation'!A10</f>
        <v/>
      </c>
      <c r="B10">
        <f>'P0-3_Domain_Aggregation'!B10</f>
        <v/>
      </c>
      <c r="C10">
        <f>IFERROR(AVERAGEIF('P0-3_Scorecard'!$A$2:$A$144,A10,'P0-3_Scorecard'!$E$2:$E$144),"")</f>
        <v/>
      </c>
      <c r="D10">
        <f>'P0-4_Required_Maturity'!I10</f>
        <v/>
      </c>
      <c r="E10">
        <f>IF(OR(C10="",D10=""),"",D10-C10)</f>
        <v/>
      </c>
      <c r="F10">
        <f>IF(E10="","",IF(E10&gt;=2,"URGENT",IF(E10&gt;=1,"PRIORITY",IF(E10&gt;0,"WATCH","ON TRACK"))))</f>
        <v/>
      </c>
      <c r="G10" t="inlineStr">
        <is>
          <t>Gap is a transformation priority, not a penalty added to the capability score.</t>
        </is>
      </c>
    </row>
    <row r="11">
      <c r="A11">
        <f>'P0-3_Domain_Aggregation'!A11</f>
        <v/>
      </c>
      <c r="B11">
        <f>'P0-3_Domain_Aggregation'!B11</f>
        <v/>
      </c>
      <c r="C11">
        <f>IFERROR(AVERAGEIF('P0-3_Scorecard'!$A$2:$A$144,A11,'P0-3_Scorecard'!$E$2:$E$144),"")</f>
        <v/>
      </c>
      <c r="D11">
        <f>'P0-4_Required_Maturity'!I11</f>
        <v/>
      </c>
      <c r="E11">
        <f>IF(OR(C11="",D11=""),"",D11-C11)</f>
        <v/>
      </c>
      <c r="F11">
        <f>IF(E11="","",IF(E11&gt;=2,"URGENT",IF(E11&gt;=1,"PRIORITY",IF(E11&gt;0,"WATCH","ON TRACK"))))</f>
        <v/>
      </c>
      <c r="G11" t="inlineStr">
        <is>
          <t>Gap is a transformation priority, not a penalty added to the capability score.</t>
        </is>
      </c>
    </row>
    <row r="12">
      <c r="A12">
        <f>'P0-3_Domain_Aggregation'!A12</f>
        <v/>
      </c>
      <c r="B12">
        <f>'P0-3_Domain_Aggregation'!B12</f>
        <v/>
      </c>
      <c r="C12">
        <f>IFERROR(AVERAGEIF('P0-3_Scorecard'!$A$2:$A$144,A12,'P0-3_Scorecard'!$E$2:$E$144),"")</f>
        <v/>
      </c>
      <c r="D12">
        <f>'P0-4_Required_Maturity'!I12</f>
        <v/>
      </c>
      <c r="E12">
        <f>IF(OR(C12="",D12=""),"",D12-C12)</f>
        <v/>
      </c>
      <c r="F12">
        <f>IF(E12="","",IF(E12&gt;=2,"URGENT",IF(E12&gt;=1,"PRIORITY",IF(E12&gt;0,"WATCH","ON TRACK"))))</f>
        <v/>
      </c>
      <c r="G12" t="inlineStr">
        <is>
          <t>Gap is a transformation priority, not a penalty added to the capability score.</t>
        </is>
      </c>
    </row>
  </sheetData>
  <autoFilter ref="A1:G12"/>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24" customWidth="1" min="4" max="4"/>
    <col width="80" customWidth="1" min="5" max="5"/>
    <col width="60" customWidth="1" min="6" max="6"/>
  </cols>
  <sheetData>
    <row r="1">
      <c r="A1" s="15" t="inlineStr">
        <is>
          <t>Domain</t>
        </is>
      </c>
      <c r="B1" s="15" t="inlineStr">
        <is>
          <t>Base Evidence Items</t>
        </is>
      </c>
      <c r="C1" s="15" t="inlineStr">
        <is>
          <t>Context Multiplier</t>
        </is>
      </c>
      <c r="D1" s="15" t="inlineStr">
        <is>
          <t>Adjusted Evidence Items</t>
        </is>
      </c>
      <c r="E1" s="15" t="inlineStr">
        <is>
          <t>Sampling Rule</t>
        </is>
      </c>
      <c r="F1" s="15" t="inlineStr">
        <is>
          <t>Rationale</t>
        </is>
      </c>
    </row>
    <row r="2">
      <c r="A2">
        <f>'P0-4_Required_Maturity'!A2</f>
        <v/>
      </c>
      <c r="B2" t="n">
        <v>1</v>
      </c>
      <c r="C2">
        <f>'P0-4_Required_Maturity'!K2</f>
        <v/>
      </c>
      <c r="D2">
        <f>ROUND(B2*C2,0)</f>
        <v/>
      </c>
      <c r="E2" t="inlineStr">
        <is>
          <t>Use the minimum proportionate sample needed to triangulate claims; do not lower maturity standards for constrained resources.</t>
        </is>
      </c>
      <c r="F2" t="inlineStr">
        <is>
          <t>Resource envelope affects evidence burden, not required maturity.</t>
        </is>
      </c>
    </row>
    <row r="3">
      <c r="A3">
        <f>'P0-4_Required_Maturity'!A3</f>
        <v/>
      </c>
      <c r="B3" t="n">
        <v>1</v>
      </c>
      <c r="C3">
        <f>'P0-4_Required_Maturity'!K3</f>
        <v/>
      </c>
      <c r="D3">
        <f>ROUND(B3*C3,0)</f>
        <v/>
      </c>
      <c r="E3" t="inlineStr">
        <is>
          <t>Use the minimum proportionate sample needed to triangulate claims; do not lower maturity standards for constrained resources.</t>
        </is>
      </c>
      <c r="F3" t="inlineStr">
        <is>
          <t>Resource envelope affects evidence burden, not required maturity.</t>
        </is>
      </c>
    </row>
    <row r="4">
      <c r="A4">
        <f>'P0-4_Required_Maturity'!A4</f>
        <v/>
      </c>
      <c r="B4" t="n">
        <v>1</v>
      </c>
      <c r="C4">
        <f>'P0-4_Required_Maturity'!K4</f>
        <v/>
      </c>
      <c r="D4">
        <f>ROUND(B4*C4,0)</f>
        <v/>
      </c>
      <c r="E4" t="inlineStr">
        <is>
          <t>Use the minimum proportionate sample needed to triangulate claims; do not lower maturity standards for constrained resources.</t>
        </is>
      </c>
      <c r="F4" t="inlineStr">
        <is>
          <t>Resource envelope affects evidence burden, not required maturity.</t>
        </is>
      </c>
    </row>
    <row r="5">
      <c r="A5">
        <f>'P0-4_Required_Maturity'!A5</f>
        <v/>
      </c>
      <c r="B5" t="n">
        <v>1</v>
      </c>
      <c r="C5">
        <f>'P0-4_Required_Maturity'!K5</f>
        <v/>
      </c>
      <c r="D5">
        <f>ROUND(B5*C5,0)</f>
        <v/>
      </c>
      <c r="E5" t="inlineStr">
        <is>
          <t>Use the minimum proportionate sample needed to triangulate claims; do not lower maturity standards for constrained resources.</t>
        </is>
      </c>
      <c r="F5" t="inlineStr">
        <is>
          <t>Resource envelope affects evidence burden, not required maturity.</t>
        </is>
      </c>
    </row>
    <row r="6">
      <c r="A6">
        <f>'P0-4_Required_Maturity'!A6</f>
        <v/>
      </c>
      <c r="B6" t="n">
        <v>1</v>
      </c>
      <c r="C6">
        <f>'P0-4_Required_Maturity'!K6</f>
        <v/>
      </c>
      <c r="D6">
        <f>ROUND(B6*C6,0)</f>
        <v/>
      </c>
      <c r="E6" t="inlineStr">
        <is>
          <t>Use the minimum proportionate sample needed to triangulate claims; do not lower maturity standards for constrained resources.</t>
        </is>
      </c>
      <c r="F6" t="inlineStr">
        <is>
          <t>Resource envelope affects evidence burden, not required maturity.</t>
        </is>
      </c>
    </row>
    <row r="7">
      <c r="A7">
        <f>'P0-4_Required_Maturity'!A7</f>
        <v/>
      </c>
      <c r="B7" t="n">
        <v>1</v>
      </c>
      <c r="C7">
        <f>'P0-4_Required_Maturity'!K7</f>
        <v/>
      </c>
      <c r="D7">
        <f>ROUND(B7*C7,0)</f>
        <v/>
      </c>
      <c r="E7" t="inlineStr">
        <is>
          <t>Use the minimum proportionate sample needed to triangulate claims; do not lower maturity standards for constrained resources.</t>
        </is>
      </c>
      <c r="F7" t="inlineStr">
        <is>
          <t>Resource envelope affects evidence burden, not required maturity.</t>
        </is>
      </c>
    </row>
    <row r="8">
      <c r="A8">
        <f>'P0-4_Required_Maturity'!A8</f>
        <v/>
      </c>
      <c r="B8" t="n">
        <v>1</v>
      </c>
      <c r="C8">
        <f>'P0-4_Required_Maturity'!K8</f>
        <v/>
      </c>
      <c r="D8">
        <f>ROUND(B8*C8,0)</f>
        <v/>
      </c>
      <c r="E8" t="inlineStr">
        <is>
          <t>Use the minimum proportionate sample needed to triangulate claims; do not lower maturity standards for constrained resources.</t>
        </is>
      </c>
      <c r="F8" t="inlineStr">
        <is>
          <t>Resource envelope affects evidence burden, not required maturity.</t>
        </is>
      </c>
    </row>
    <row r="9">
      <c r="A9">
        <f>'P0-4_Required_Maturity'!A9</f>
        <v/>
      </c>
      <c r="B9" t="n">
        <v>1</v>
      </c>
      <c r="C9">
        <f>'P0-4_Required_Maturity'!K9</f>
        <v/>
      </c>
      <c r="D9">
        <f>ROUND(B9*C9,0)</f>
        <v/>
      </c>
      <c r="E9" t="inlineStr">
        <is>
          <t>Use the minimum proportionate sample needed to triangulate claims; do not lower maturity standards for constrained resources.</t>
        </is>
      </c>
      <c r="F9" t="inlineStr">
        <is>
          <t>Resource envelope affects evidence burden, not required maturity.</t>
        </is>
      </c>
    </row>
    <row r="10">
      <c r="A10">
        <f>'P0-4_Required_Maturity'!A10</f>
        <v/>
      </c>
      <c r="B10" t="n">
        <v>1</v>
      </c>
      <c r="C10">
        <f>'P0-4_Required_Maturity'!K10</f>
        <v/>
      </c>
      <c r="D10">
        <f>ROUND(B10*C10,0)</f>
        <v/>
      </c>
      <c r="E10" t="inlineStr">
        <is>
          <t>Use the minimum proportionate sample needed to triangulate claims; do not lower maturity standards for constrained resources.</t>
        </is>
      </c>
      <c r="F10" t="inlineStr">
        <is>
          <t>Resource envelope affects evidence burden, not required maturity.</t>
        </is>
      </c>
    </row>
    <row r="11">
      <c r="A11">
        <f>'P0-4_Required_Maturity'!A11</f>
        <v/>
      </c>
      <c r="B11" t="n">
        <v>1</v>
      </c>
      <c r="C11">
        <f>'P0-4_Required_Maturity'!K11</f>
        <v/>
      </c>
      <c r="D11">
        <f>ROUND(B11*C11,0)</f>
        <v/>
      </c>
      <c r="E11" t="inlineStr">
        <is>
          <t>Use the minimum proportionate sample needed to triangulate claims; do not lower maturity standards for constrained resources.</t>
        </is>
      </c>
      <c r="F11" t="inlineStr">
        <is>
          <t>Resource envelope affects evidence burden, not required maturity.</t>
        </is>
      </c>
    </row>
    <row r="12">
      <c r="A12">
        <f>'P0-4_Required_Maturity'!A12</f>
        <v/>
      </c>
      <c r="B12" t="n">
        <v>1</v>
      </c>
      <c r="C12">
        <f>'P0-4_Required_Maturity'!K12</f>
        <v/>
      </c>
      <c r="D12">
        <f>ROUND(B12*C12,0)</f>
        <v/>
      </c>
      <c r="E12" t="inlineStr">
        <is>
          <t>Use the minimum proportionate sample needed to triangulate claims; do not lower maturity standards for constrained resources.</t>
        </is>
      </c>
      <c r="F12" t="inlineStr">
        <is>
          <t>Resource envelope affects evidence burden, not required maturity.</t>
        </is>
      </c>
    </row>
  </sheetData>
  <autoFilter ref="A1:F12"/>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5" t="inlineStr">
        <is>
          <t>Rule</t>
        </is>
      </c>
      <c r="B1" s="15" t="inlineStr">
        <is>
          <t>Operational specification</t>
        </is>
      </c>
    </row>
    <row r="2">
      <c r="A2" t="inlineStr">
        <is>
          <t>N/A gate</t>
        </is>
      </c>
      <c r="B2" t="inlineStr">
        <is>
          <t>Metric may be N/A only where genuine mandate/context inapplicability is documented and assessor-approved.</t>
        </is>
      </c>
    </row>
    <row r="3">
      <c r="A3" t="inlineStr">
        <is>
          <t>Missing evidence</t>
        </is>
      </c>
      <c r="B3" t="inlineStr">
        <is>
          <t>Missing evidence is never N/A. Record missing/low-confidence and keep denominator rules fixed.</t>
        </is>
      </c>
    </row>
    <row r="4">
      <c r="A4" t="inlineStr">
        <is>
          <t>Context effect</t>
        </is>
      </c>
      <c r="B4" t="inlineStr">
        <is>
          <t>Context may alter branching, sampling and required maturity; it cannot grant score points.</t>
        </is>
      </c>
    </row>
    <row r="5">
      <c r="A5" t="inlineStr">
        <is>
          <t>Professional consequence</t>
        </is>
      </c>
      <c r="B5" t="inlineStr">
        <is>
          <t>Regulated/high-consequence disciplines may require higher maturity even when institutional resources are constrained.</t>
        </is>
      </c>
    </row>
    <row r="6">
      <c r="A6" t="inlineStr">
        <is>
          <t>Institution type</t>
        </is>
      </c>
      <c r="B6" t="inlineStr">
        <is>
          <t>Institution type informs mandate and proportionality; it does not create a blanket bonus or penalty.</t>
        </is>
      </c>
    </row>
    <row r="7">
      <c r="A7" t="inlineStr">
        <is>
          <t>Trajectory</t>
        </is>
      </c>
      <c r="B7" t="inlineStr">
        <is>
          <t>Rapid transformation/high-growth increases required maturity pressure in D01/D04/D09/D11 and relevant domains.</t>
        </is>
      </c>
    </row>
    <row r="8">
      <c r="A8" t="inlineStr">
        <is>
          <t>Resource protection</t>
        </is>
      </c>
      <c r="B8" t="inlineStr">
        <is>
          <t>Resource constraints reduce evidence burden only where sampling can remain valid; they never reduce the construct standard.</t>
        </is>
      </c>
    </row>
    <row r="9">
      <c r="A9" t="inlineStr">
        <is>
          <t>Assessor override</t>
        </is>
      </c>
      <c r="B9" t="inlineStr">
        <is>
          <t>Any override must include reason, evidence, date, assessor and second-review status.</t>
        </is>
      </c>
    </row>
  </sheetData>
  <autoFilter ref="A1:B9"/>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70" customWidth="1" min="3" max="3"/>
    <col width="75" customWidth="1" min="4" max="4"/>
    <col width="18" customWidth="1" min="5" max="5"/>
  </cols>
  <sheetData>
    <row r="1">
      <c r="A1" s="15" t="n"/>
      <c r="B1" s="15" t="n"/>
      <c r="C1" s="15" t="n"/>
      <c r="D1" s="15" t="n"/>
      <c r="E1" s="15" t="n"/>
    </row>
    <row r="2">
      <c r="A2" t="inlineStr">
        <is>
          <t>S01</t>
        </is>
      </c>
      <c r="B2" t="inlineStr">
        <is>
          <t>AI exposure Low → Critical</t>
        </is>
      </c>
      <c r="C2" t="inlineStr">
        <is>
          <t>Required maturity rises, strongest in D02/D07/D08</t>
        </is>
      </c>
      <c r="D2" t="inlineStr">
        <is>
          <t>Recalculate all 11 domains; inspect ranking of transformation priorities</t>
        </is>
      </c>
      <c r="E2" t="inlineStr">
        <is>
          <t>PENDING PILOT</t>
        </is>
      </c>
    </row>
    <row r="3">
      <c r="A3" t="inlineStr">
        <is>
          <t>S02</t>
        </is>
      </c>
      <c r="B3" t="inlineStr">
        <is>
          <t>Consequence Low → Critical</t>
        </is>
      </c>
      <c r="C3" t="inlineStr">
        <is>
          <t>Required maturity rises, strongest in D02/D04/D07/D10</t>
        </is>
      </c>
      <c r="D3" t="inlineStr">
        <is>
          <t>Check regulated/professional disciplines do not receive score bonus</t>
        </is>
      </c>
      <c r="E3" t="inlineStr">
        <is>
          <t>PENDING PILOT</t>
        </is>
      </c>
    </row>
    <row r="4">
      <c r="A4" t="inlineStr">
        <is>
          <t>S03</t>
        </is>
      </c>
      <c r="B4" t="inlineStr">
        <is>
          <t>Stable → Transforming</t>
        </is>
      </c>
      <c r="C4" t="inlineStr">
        <is>
          <t>Required maturity pressure rises in D01/D04/D09/D11</t>
        </is>
      </c>
      <c r="D4" t="inlineStr">
        <is>
          <t>Check priority ordering is interpretable</t>
        </is>
      </c>
      <c r="E4" t="inlineStr">
        <is>
          <t>PENDING PILOT</t>
        </is>
      </c>
    </row>
    <row r="5">
      <c r="A5" t="inlineStr">
        <is>
          <t>S04</t>
        </is>
      </c>
      <c r="B5" t="inlineStr">
        <is>
          <t>Resources Constrained → High</t>
        </is>
      </c>
      <c r="C5" t="inlineStr">
        <is>
          <t>Evidence burden changes; required maturity must not fall</t>
        </is>
      </c>
      <c r="D5" t="inlineStr">
        <is>
          <t>Check target invariance</t>
        </is>
      </c>
      <c r="E5" t="inlineStr">
        <is>
          <t>PENDING PILOT</t>
        </is>
      </c>
    </row>
    <row r="6">
      <c r="A6" t="inlineStr">
        <is>
          <t>S05</t>
        </is>
      </c>
      <c r="B6" t="inlineStr">
        <is>
          <t>Teaching-intensive → Research-intensive</t>
        </is>
      </c>
      <c r="C6" t="inlineStr">
        <is>
          <t>Mandate pressure shifts toward D01/D10 and related domains</t>
        </is>
      </c>
      <c r="D6" t="inlineStr">
        <is>
          <t>Check domain relevance without double-counting</t>
        </is>
      </c>
      <c r="E6" t="inlineStr">
        <is>
          <t>PENDING PILOT</t>
        </is>
      </c>
    </row>
    <row r="7">
      <c r="A7" t="inlineStr">
        <is>
          <t>S06</t>
        </is>
      </c>
      <c r="B7" t="inlineStr">
        <is>
          <t>N/A usage increases</t>
        </is>
      </c>
      <c r="C7" t="inlineStr">
        <is>
          <t>Applicable denominator shrinks only where genuine</t>
        </is>
      </c>
      <c r="D7" t="inlineStr">
        <is>
          <t>Check no score inflation</t>
        </is>
      </c>
      <c r="E7" t="inlineStr">
        <is>
          <t>PENDING PILOT</t>
        </is>
      </c>
    </row>
  </sheetData>
  <autoFilter ref="A1:E7"/>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5" customWidth="1" min="3" max="3"/>
    <col width="20" customWidth="1" min="4" max="4"/>
    <col width="22" customWidth="1" min="5" max="5"/>
  </cols>
  <sheetData>
    <row r="1">
      <c r="A1" s="15" t="n"/>
      <c r="B1" s="15" t="n"/>
      <c r="C1" s="15" t="n"/>
      <c r="D1" s="15" t="n"/>
      <c r="E1" s="15" t="n"/>
    </row>
    <row r="2">
      <c r="A2" t="inlineStr">
        <is>
          <t>P0-4-G01</t>
        </is>
      </c>
      <c r="B2" t="inlineStr">
        <is>
          <t>Context inputs defined</t>
        </is>
      </c>
      <c r="C2" t="inlineStr">
        <is>
          <t>All required context variables have controlled values</t>
        </is>
      </c>
      <c r="D2" t="inlineStr">
        <is>
          <t>PASS</t>
        </is>
      </c>
      <c r="E2" t="inlineStr">
        <is>
          <t>Methodology owner</t>
        </is>
      </c>
    </row>
    <row r="3">
      <c r="A3" t="inlineStr">
        <is>
          <t>P0-4-G02</t>
        </is>
      </c>
      <c r="B3" t="inlineStr">
        <is>
          <t>Required maturity algorithm executable</t>
        </is>
      </c>
      <c r="C3" t="inlineStr">
        <is>
          <t>All 11 domains calculate R from mandate/exposure/consequence/trajectory</t>
        </is>
      </c>
      <c r="D3" t="inlineStr">
        <is>
          <t>PASS</t>
        </is>
      </c>
      <c r="E3" t="inlineStr">
        <is>
          <t>Methodology owner</t>
        </is>
      </c>
    </row>
    <row r="4">
      <c r="A4" t="inlineStr">
        <is>
          <t>P0-4-G03</t>
        </is>
      </c>
      <c r="B4" t="inlineStr">
        <is>
          <t>Resources do not lower target</t>
        </is>
      </c>
      <c r="C4" t="inlineStr">
        <is>
          <t>Resource envelope changes evidence burden only</t>
        </is>
      </c>
      <c r="D4" t="inlineStr">
        <is>
          <t>PASS</t>
        </is>
      </c>
      <c r="E4" t="inlineStr">
        <is>
          <t>Methodology owner</t>
        </is>
      </c>
    </row>
    <row r="5">
      <c r="A5" t="inlineStr">
        <is>
          <t>P0-4-G04</t>
        </is>
      </c>
      <c r="B5" t="inlineStr">
        <is>
          <t>No score bonus</t>
        </is>
      </c>
      <c r="C5" t="inlineStr">
        <is>
          <t>Context formulas do not modify metric capability score directly</t>
        </is>
      </c>
      <c r="D5" t="inlineStr">
        <is>
          <t>PASS</t>
        </is>
      </c>
      <c r="E5" t="inlineStr">
        <is>
          <t>Methodology owner</t>
        </is>
      </c>
    </row>
    <row r="6">
      <c r="A6" t="inlineStr">
        <is>
          <t>P0-4-G05</t>
        </is>
      </c>
      <c r="B6" t="inlineStr">
        <is>
          <t>N/A protection</t>
        </is>
      </c>
      <c r="C6" t="inlineStr">
        <is>
          <t>Missing evidence cannot become N/A through context</t>
        </is>
      </c>
      <c r="D6" t="inlineStr">
        <is>
          <t>PASS</t>
        </is>
      </c>
      <c r="E6" t="inlineStr">
        <is>
          <t>Assessor lead</t>
        </is>
      </c>
    </row>
    <row r="7">
      <c r="A7" t="inlineStr">
        <is>
          <t>P0-4-G06</t>
        </is>
      </c>
      <c r="B7" t="inlineStr">
        <is>
          <t>Transformation distance linked</t>
        </is>
      </c>
      <c r="C7" t="inlineStr">
        <is>
          <t>Scorecard/domain gap references context-derived R</t>
        </is>
      </c>
      <c r="D7" t="inlineStr">
        <is>
          <t>PASS</t>
        </is>
      </c>
      <c r="E7" t="inlineStr">
        <is>
          <t>Engine owner</t>
        </is>
      </c>
    </row>
    <row r="8">
      <c r="A8" t="inlineStr">
        <is>
          <t>P0-4-G07</t>
        </is>
      </c>
      <c r="B8" t="inlineStr">
        <is>
          <t>Sensitivity validated</t>
        </is>
      </c>
      <c r="C8" t="inlineStr">
        <is>
          <t>Scenario tests stable and interpretable</t>
        </is>
      </c>
      <c r="D8" t="inlineStr">
        <is>
          <t>PENDING PILOT</t>
        </is>
      </c>
      <c r="E8" t="inlineStr">
        <is>
          <t>Validation lead</t>
        </is>
      </c>
    </row>
    <row r="9">
      <c r="A9" t="inlineStr">
        <is>
          <t>P0-4-G08</t>
        </is>
      </c>
      <c r="B9" t="inlineStr">
        <is>
          <t>Known-groups validation</t>
        </is>
      </c>
      <c r="C9" t="inlineStr">
        <is>
          <t>Required maturity behaves as expected across institution types/mandates</t>
        </is>
      </c>
      <c r="D9" t="inlineStr">
        <is>
          <t>PENDING PILOT</t>
        </is>
      </c>
      <c r="E9" t="inlineStr">
        <is>
          <t>Validation lead</t>
        </is>
      </c>
    </row>
    <row r="10">
      <c r="A10" t="inlineStr">
        <is>
          <t>P0-4-G09</t>
        </is>
      </c>
      <c r="B10" t="inlineStr">
        <is>
          <t>Assessor calibration</t>
        </is>
      </c>
      <c r="C10" t="inlineStr">
        <is>
          <t>Inter-rater agreement acceptable on context inputs</t>
        </is>
      </c>
      <c r="D10" t="inlineStr">
        <is>
          <t>PENDING PILOT</t>
        </is>
      </c>
      <c r="E10" t="inlineStr">
        <is>
          <t>Calibration lead</t>
        </is>
      </c>
    </row>
    <row r="11">
      <c r="A11" t="inlineStr">
        <is>
          <t>P0-4-G10</t>
        </is>
      </c>
      <c r="B11" t="inlineStr">
        <is>
          <t>Public release</t>
        </is>
      </c>
      <c r="C11" t="inlineStr">
        <is>
          <t>P0-4 empirical gates passed before public benchmark use</t>
        </is>
      </c>
      <c r="D11" t="inlineStr">
        <is>
          <t>BLOCKED</t>
        </is>
      </c>
      <c r="E11" t="inlineStr">
        <is>
          <t>Governance</t>
        </is>
      </c>
    </row>
  </sheetData>
  <autoFilter ref="A1:E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2" t="inlineStr">
        <is>
          <t>P0-4 CONTEXT CALIBRATION &amp; REQUIRED MATURITY METHODOLOGY</t>
        </is>
      </c>
    </row>
    <row r="2">
      <c r="A2" s="13" t="inlineStr">
        <is>
          <t>Core equation</t>
        </is>
      </c>
      <c r="B2" t="inlineStr">
        <is>
          <t>R_d = clamp(round(B_d + F_mandate,d + F_AI,d + F_consequence,d + F_trajectory,d), 1, 5).</t>
        </is>
      </c>
    </row>
    <row r="3">
      <c r="A3" s="13" t="inlineStr">
        <is>
          <t>Baseline</t>
        </is>
      </c>
      <c r="B3" t="inlineStr">
        <is>
          <t>B_d = 3 for all domains at this provisional stage; domain-specific baselines remain subject to pilot validation.</t>
        </is>
      </c>
    </row>
    <row r="4">
      <c r="A4" s="13" t="inlineStr">
        <is>
          <t>Mandate factor</t>
        </is>
      </c>
      <c r="B4" t="inlineStr">
        <is>
          <t>Derived from institution mandate level × domain mandate sensitivity.</t>
        </is>
      </c>
    </row>
    <row r="5">
      <c r="A5" s="13" t="inlineStr">
        <is>
          <t>AI exposure factor</t>
        </is>
      </c>
      <c r="B5" t="inlineStr">
        <is>
          <t>Derived from AI exposure level × domain AI-exposure sensitivity.</t>
        </is>
      </c>
    </row>
    <row r="6">
      <c r="A6" s="13" t="inlineStr">
        <is>
          <t>Consequence factor</t>
        </is>
      </c>
      <c r="B6" t="inlineStr">
        <is>
          <t>Derived from disciplinary consequence level × domain consequence sensitivity.</t>
        </is>
      </c>
    </row>
    <row r="7">
      <c r="A7" s="13" t="inlineStr">
        <is>
          <t>Trajectory factor</t>
        </is>
      </c>
      <c r="B7" t="inlineStr">
        <is>
          <t>Derived from institutional trajectory × domain trajectory sensitivity.</t>
        </is>
      </c>
    </row>
    <row r="8">
      <c r="A8" s="13" t="inlineStr">
        <is>
          <t>Resources</t>
        </is>
      </c>
      <c r="B8" t="inlineStr">
        <is>
          <t>Resource envelope changes evidence burden multiplier only; it does not reduce required maturity.</t>
        </is>
      </c>
    </row>
    <row r="9">
      <c r="A9" s="13" t="inlineStr">
        <is>
          <t>Institution type</t>
        </is>
      </c>
      <c r="B9" t="inlineStr">
        <is>
          <t>Institution type informs mandate interpretation and assessor branching; no automatic score bonus/penalty.</t>
        </is>
      </c>
    </row>
    <row r="10">
      <c r="A10" s="13" t="inlineStr">
        <is>
          <t>Scale/geography/student profile</t>
        </is>
      </c>
      <c r="B10" t="inlineStr">
        <is>
          <t>Used for proportional sampling, contextual examples and evidence design; not direct score modifiers.</t>
        </is>
      </c>
    </row>
    <row r="11">
      <c r="A11" s="13" t="inlineStr">
        <is>
          <t>Required maturity meaning</t>
        </is>
      </c>
      <c r="B11" t="inlineStr">
        <is>
          <t>R is the institution-appropriate maturity expectation, not a claim that every institution must be at level 5.</t>
        </is>
      </c>
    </row>
    <row r="12">
      <c r="A12" s="13" t="inlineStr">
        <is>
          <t>Transformation distance</t>
        </is>
      </c>
      <c r="B12" t="inlineStr">
        <is>
          <t>T_d = R_d − current maturity proxy. Positive T indicates priority for transformation.</t>
        </is>
      </c>
    </row>
    <row r="13">
      <c r="A13" s="13" t="inlineStr">
        <is>
          <t>No penalty rule</t>
        </is>
      </c>
      <c r="B13" t="inlineStr">
        <is>
          <t>A high R does not subtract points from the capability score. It changes diagnostic priority and target state.</t>
        </is>
      </c>
    </row>
    <row r="14">
      <c r="A14" s="13" t="inlineStr">
        <is>
          <t>Governance</t>
        </is>
      </c>
      <c r="B14" t="inlineStr">
        <is>
          <t>Context selections require assessor rationale; overrides require second review; methodology remains provisional until validation.</t>
        </is>
      </c>
    </row>
    <row r="15">
      <c r="A15" s="13" t="inlineStr">
        <is>
          <t>Public status</t>
        </is>
      </c>
      <c r="B15" t="inlineStr">
        <is>
          <t>Diagnostic/provisional. No public ranking, certification or benchmark release until P0-3/P0-4 validation gates pass.</t>
        </is>
      </c>
    </row>
  </sheetData>
  <mergeCells count="1">
    <mergeCell ref="A1:B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60" customWidth="1" min="3" max="3"/>
    <col width="65" customWidth="1" min="4" max="4"/>
    <col width="18" customWidth="1" min="5" max="5"/>
  </cols>
  <sheetData>
    <row r="1">
      <c r="A1" s="15" t="n"/>
      <c r="B1" s="15" t="n"/>
      <c r="C1" s="15" t="n"/>
      <c r="D1" s="15" t="n"/>
      <c r="E1" s="15" t="n"/>
    </row>
    <row r="2">
      <c r="A2" t="inlineStr">
        <is>
          <t>P0-4.1</t>
        </is>
      </c>
      <c r="B2" t="inlineStr">
        <is>
          <t>Added controlled Context Profile</t>
        </is>
      </c>
      <c r="C2" t="inlineStr">
        <is>
          <t>Operationalise context variables</t>
        </is>
      </c>
      <c r="D2" t="inlineStr">
        <is>
          <t>Creates auditable institution-specific inputs</t>
        </is>
      </c>
      <c r="E2" t="inlineStr">
        <is>
          <t>DONE</t>
        </is>
      </c>
    </row>
    <row r="3">
      <c r="A3" t="inlineStr">
        <is>
          <t>P0-4.2</t>
        </is>
      </c>
      <c r="B3" t="inlineStr">
        <is>
          <t>Added Required Maturity engine for all D01–D11</t>
        </is>
      </c>
      <c r="C3" t="inlineStr">
        <is>
          <t>Move from fixed baseline to institution-specific target</t>
        </is>
      </c>
      <c r="D3" t="inlineStr">
        <is>
          <t>Required Maturity R becomes context-sensitive</t>
        </is>
      </c>
      <c r="E3" t="inlineStr">
        <is>
          <t>DONE</t>
        </is>
      </c>
    </row>
    <row r="4">
      <c r="A4" t="inlineStr">
        <is>
          <t>P0-4.3</t>
        </is>
      </c>
      <c r="B4" t="inlineStr">
        <is>
          <t>Linked transformation distance to context-derived R</t>
        </is>
      </c>
      <c r="C4" t="inlineStr">
        <is>
          <t>Make diagnosis actionable</t>
        </is>
      </c>
      <c r="D4" t="inlineStr">
        <is>
          <t>Positive gap becomes transformation priority</t>
        </is>
      </c>
      <c r="E4" t="inlineStr">
        <is>
          <t>DONE</t>
        </is>
      </c>
    </row>
    <row r="5">
      <c r="A5" t="inlineStr">
        <is>
          <t>P0-4.4</t>
        </is>
      </c>
      <c r="B5" t="inlineStr">
        <is>
          <t>Separated resource effect from maturity target</t>
        </is>
      </c>
      <c r="C5" t="inlineStr">
        <is>
          <t>Prevent resource bias</t>
        </is>
      </c>
      <c r="D5" t="inlineStr">
        <is>
          <t>Resources affect evidence burden only</t>
        </is>
      </c>
      <c r="E5" t="inlineStr">
        <is>
          <t>DONE</t>
        </is>
      </c>
    </row>
    <row r="6">
      <c r="A6" t="inlineStr">
        <is>
          <t>P0-4.5</t>
        </is>
      </c>
      <c r="B6" t="inlineStr">
        <is>
          <t>Added sensitivity/acceptance gates</t>
        </is>
      </c>
      <c r="C6" t="inlineStr">
        <is>
          <t>Prevent premature freeze</t>
        </is>
      </c>
      <c r="D6" t="inlineStr">
        <is>
          <t>Empirical validation remains required</t>
        </is>
      </c>
      <c r="E6" t="inlineStr">
        <is>
          <t>DONE</t>
        </is>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Rafts &amp; Rivers</dc:creator>
  <dc:title xmlns:dc="http://purl.org/dc/elements/1.1/">AI Resilient University Index D01-D11 P0-3 Scoring Engine</dc:title>
  <dc:subject xmlns:dc="http://purl.org/dc/elements/1.1/">Executable provisional scoring architecture</dc:subject>
  <dcterms:created xmlns:dcterms="http://purl.org/dc/terms/" xmlns:xsi="http://www.w3.org/2001/XMLSchema-instance" xsi:type="dcterms:W3CDTF">2026-09-10T12:27:35Z</dcterms:created>
  <dcterms:modified xmlns:dcterms="http://purl.org/dc/terms/" xmlns:xsi="http://www.w3.org/2001/XMLSchema-instance" xsi:type="dcterms:W3CDTF">2026-09-10T12:34:19Z</dcterms:modified>
  <cp:lastModifiedBy>Rafts &amp; Rivers</cp:lastModifiedBy>
</cp:coreProperties>
</file>