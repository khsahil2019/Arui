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 xmlns:r="http://schemas.openxmlformats.org/officeDocument/2006/relationships" name="P0-3_Scoring_Architecture" sheetId="155" state="visible" r:id="rId155"/>
    <sheet xmlns:r="http://schemas.openxmlformats.org/officeDocument/2006/relationships" name="P0-3_Metric_Rules" sheetId="156" state="visible" r:id="rId156"/>
    <sheet xmlns:r="http://schemas.openxmlformats.org/officeDocument/2006/relationships" name="P0-3_Scorecard" sheetId="157" state="visible" r:id="rId157"/>
    <sheet xmlns:r="http://schemas.openxmlformats.org/officeDocument/2006/relationships" name="P0-3_Domain_Weights" sheetId="158" state="visible" r:id="rId158"/>
    <sheet xmlns:r="http://schemas.openxmlformats.org/officeDocument/2006/relationships" name="P0-3_Domain_Aggregation" sheetId="159" state="visible" r:id="rId159"/>
    <sheet xmlns:r="http://schemas.openxmlformats.org/officeDocument/2006/relationships" name="P0-3_Overall_Index" sheetId="160" state="visible" r:id="rId160"/>
    <sheet xmlns:r="http://schemas.openxmlformats.org/officeDocument/2006/relationships" name="P0-3_Context_Calibration" sheetId="161" state="visible" r:id="rId161"/>
    <sheet xmlns:r="http://schemas.openxmlformats.org/officeDocument/2006/relationships" name="P0-3_Evidence_Confidence" sheetId="162" state="visible" r:id="rId162"/>
    <sheet xmlns:r="http://schemas.openxmlformats.org/officeDocument/2006/relationships" name="P0-3_CrossDomain_Exec" sheetId="163" state="visible" r:id="rId163"/>
    <sheet xmlns:r="http://schemas.openxmlformats.org/officeDocument/2006/relationships" name="P0-3_Sensitivity" sheetId="164" state="visible" r:id="rId164"/>
    <sheet xmlns:r="http://schemas.openxmlformats.org/officeDocument/2006/relationships" name="P0-3_Validation_Plan" sheetId="165" state="visible" r:id="rId165"/>
    <sheet xmlns:r="http://schemas.openxmlformats.org/officeDocument/2006/relationships" name="P0-3_Acceptance_Gates" sheetId="166" state="visible" r:id="rId166"/>
    <sheet xmlns:r="http://schemas.openxmlformats.org/officeDocument/2006/relationships" name="P0-3_Change_Log" sheetId="167" state="visible" r:id="rId167"/>
    <sheet xmlns:r="http://schemas.openxmlformats.org/officeDocument/2006/relationships" name="P0-4_Context_Profile" sheetId="168" state="visible" r:id="rId168"/>
    <sheet xmlns:r="http://schemas.openxmlformats.org/officeDocument/2006/relationships" name="P0-4_Context_Factors" sheetId="169" state="visible" r:id="rId169"/>
    <sheet xmlns:r="http://schemas.openxmlformats.org/officeDocument/2006/relationships" name="P0-4_Domain_Sensitivity" sheetId="170" state="visible" r:id="rId170"/>
    <sheet xmlns:r="http://schemas.openxmlformats.org/officeDocument/2006/relationships" name="P0-4_Required_Maturity" sheetId="171" state="visible" r:id="rId171"/>
    <sheet xmlns:r="http://schemas.openxmlformats.org/officeDocument/2006/relationships" name="P0-4_Context_Rationale" sheetId="172" state="visible" r:id="rId172"/>
    <sheet xmlns:r="http://schemas.openxmlformats.org/officeDocument/2006/relationships" name="P0-4_Transformation_Distance" sheetId="173" state="visible" r:id="rId173"/>
    <sheet xmlns:r="http://schemas.openxmlformats.org/officeDocument/2006/relationships" name="P0-4_Evidence_Burden" sheetId="174" state="visible" r:id="rId174"/>
    <sheet xmlns:r="http://schemas.openxmlformats.org/officeDocument/2006/relationships" name="P0-4_Applicability_Rules" sheetId="175" state="visible" r:id="rId175"/>
    <sheet xmlns:r="http://schemas.openxmlformats.org/officeDocument/2006/relationships" name="P0-4_Sensitivity" sheetId="176" state="visible" r:id="rId176"/>
    <sheet xmlns:r="http://schemas.openxmlformats.org/officeDocument/2006/relationships" name="P0-4_Acceptance_Gates" sheetId="177" state="visible" r:id="rId177"/>
    <sheet xmlns:r="http://schemas.openxmlformats.org/officeDocument/2006/relationships" name="P0-4_Methodology" sheetId="178" state="visible" r:id="rId178"/>
    <sheet xmlns:r="http://schemas.openxmlformats.org/officeDocument/2006/relationships" name="P0-4_Change_Log" sheetId="179" state="visible" r:id="rId179"/>
    <sheet xmlns:r="http://schemas.openxmlformats.org/officeDocument/2006/relationships" name="P0-5_CrossDomain_Master" sheetId="180" state="visible" r:id="rId180"/>
    <sheet xmlns:r="http://schemas.openxmlformats.org/officeDocument/2006/relationships" name="P0-5_Metric_Linkage" sheetId="181" state="visible" r:id="rId181"/>
    <sheet xmlns:r="http://schemas.openxmlformats.org/officeDocument/2006/relationships" name="P0-5_Contradiction_Engine" sheetId="182" state="visible" r:id="rId182"/>
    <sheet xmlns:r="http://schemas.openxmlformats.org/officeDocument/2006/relationships" name="P0-5_Dependency_Engine" sheetId="183" state="visible" r:id="rId183"/>
    <sheet xmlns:r="http://schemas.openxmlformats.org/officeDocument/2006/relationships" name="P0-5_DoubleCount_Protection" sheetId="184" state="visible" r:id="rId184"/>
    <sheet xmlns:r="http://schemas.openxmlformats.org/officeDocument/2006/relationships" name="P0-5_Diagnostic_Summary" sheetId="185" state="visible" r:id="rId185"/>
    <sheet xmlns:r="http://schemas.openxmlformats.org/officeDocument/2006/relationships" name="P0-5_Executive_Diagnostics" sheetId="186" state="visible" r:id="rId186"/>
    <sheet xmlns:r="http://schemas.openxmlformats.org/officeDocument/2006/relationships" name="P0-5_Acceptance_Gates" sheetId="187" state="visible" r:id="rId187"/>
    <sheet xmlns:r="http://schemas.openxmlformats.org/officeDocument/2006/relationships" name="P0-5_Methodology" sheetId="188" state="visible" r:id="rId188"/>
    <sheet xmlns:r="http://schemas.openxmlformats.org/officeDocument/2006/relationships" name="P0-5_Change_Log" sheetId="189" state="visible" r:id="rId189"/>
    <sheet xmlns:r="http://schemas.openxmlformats.org/officeDocument/2006/relationships" name="P0-6_Evidence_Master" sheetId="190" state="visible" r:id="rId190"/>
    <sheet xmlns:r="http://schemas.openxmlformats.org/officeDocument/2006/relationships" name="P0-6_Evidence_Register" sheetId="191" state="visible" r:id="rId191"/>
    <sheet xmlns:r="http://schemas.openxmlformats.org/officeDocument/2006/relationships" name="P0-6_Confidence_Engine" sheetId="192" state="visible" r:id="rId192"/>
    <sheet xmlns:r="http://schemas.openxmlformats.org/officeDocument/2006/relationships" name="P0-6_AntiGaming" sheetId="193" state="visible" r:id="rId193"/>
    <sheet xmlns:r="http://schemas.openxmlformats.org/officeDocument/2006/relationships" name="P0-6_Temporal_Validity" sheetId="194" state="visible" r:id="rId194"/>
    <sheet xmlns:r="http://schemas.openxmlformats.org/officeDocument/2006/relationships" name="P0-6_Triangulation" sheetId="195" state="visible" r:id="rId195"/>
    <sheet xmlns:r="http://schemas.openxmlformats.org/officeDocument/2006/relationships" name="P0-6_Evidence_Burden" sheetId="196" state="visible" r:id="rId196"/>
    <sheet xmlns:r="http://schemas.openxmlformats.org/officeDocument/2006/relationships" name="P0-6_Reuse_Control" sheetId="197" state="visible" r:id="rId197"/>
    <sheet xmlns:r="http://schemas.openxmlformats.org/officeDocument/2006/relationships" name="P0-6_Validation" sheetId="198" state="visible" r:id="rId198"/>
    <sheet xmlns:r="http://schemas.openxmlformats.org/officeDocument/2006/relationships" name="P0-6_Methodology" sheetId="199" state="visible" r:id="rId199"/>
    <sheet xmlns:r="http://schemas.openxmlformats.org/officeDocument/2006/relationships" name="P0-6_Change_Log" sheetId="200" state="visible" r:id="rId200"/>
    <sheet xmlns:r="http://schemas.openxmlformats.org/officeDocument/2006/relationships" name="P0-7_Executive" sheetId="201" state="visible" r:id="rId201"/>
    <sheet xmlns:r="http://schemas.openxmlformats.org/officeDocument/2006/relationships" name="P0-7_Calibration_Master" sheetId="202" state="visible" r:id="rId202"/>
    <sheet xmlns:r="http://schemas.openxmlformats.org/officeDocument/2006/relationships" name="P0-7_Assessor_Calibration" sheetId="203" state="visible" r:id="rId203"/>
    <sheet xmlns:r="http://schemas.openxmlformats.org/officeDocument/2006/relationships" name="P0-7_InterRater" sheetId="204" state="visible" r:id="rId204"/>
    <sheet xmlns:r="http://schemas.openxmlformats.org/officeDocument/2006/relationships" name="P0-7_TestRetest" sheetId="205" state="visible" r:id="rId205"/>
    <sheet xmlns:r="http://schemas.openxmlformats.org/officeDocument/2006/relationships" name="P0-7_Validity_Framework" sheetId="206" state="visible" r:id="rId206"/>
    <sheet xmlns:r="http://schemas.openxmlformats.org/officeDocument/2006/relationships" name="P0-7_Sensitivity" sheetId="207" state="visible" r:id="rId207"/>
    <sheet xmlns:r="http://schemas.openxmlformats.org/officeDocument/2006/relationships" name="P0-7_Threshold_Governance" sheetId="208" state="visible" r:id="rId208"/>
    <sheet xmlns:r="http://schemas.openxmlformats.org/officeDocument/2006/relationships" name="P0-7_Pilot_Design" sheetId="209" state="visible" r:id="rId209"/>
    <sheet xmlns:r="http://schemas.openxmlformats.org/officeDocument/2006/relationships" name="P0-7_Revision_Rules" sheetId="210" state="visible" r:id="rId210"/>
    <sheet xmlns:r="http://schemas.openxmlformats.org/officeDocument/2006/relationships" name="P0-7_Acceptance_Gates" sheetId="211" state="visible" r:id="rId211"/>
    <sheet xmlns:r="http://schemas.openxmlformats.org/officeDocument/2006/relationships" name="P0-7_Methodology" sheetId="212" state="visible" r:id="rId212"/>
    <sheet xmlns:r="http://schemas.openxmlformats.org/officeDocument/2006/relationships" name="P0-7_Change_Log" sheetId="213" state="visible" r:id="rId213"/>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 name="_xlnm._FilterDatabase" localSheetId="168" hidden="1">'P0-4_Context_Factors'!$A$1:$E$18</definedName>
    <definedName name="_xlnm._FilterDatabase" localSheetId="169" hidden="1">'P0-4_Domain_Sensitivity'!$A$1:$J$12</definedName>
    <definedName name="_xlnm._FilterDatabase" localSheetId="170" hidden="1">'P0-4_Required_Maturity'!$A$1:$K$12</definedName>
    <definedName name="_xlnm._FilterDatabase" localSheetId="171" hidden="1">'P0-4_Context_Rationale'!$A$1:$E$11</definedName>
    <definedName name="_xlnm._FilterDatabase" localSheetId="172" hidden="1">'P0-4_Transformation_Distance'!$A$1:$G$12</definedName>
    <definedName name="_xlnm._FilterDatabase" localSheetId="173" hidden="1">'P0-4_Evidence_Burden'!$A$1:$F$12</definedName>
    <definedName name="_xlnm._FilterDatabase" localSheetId="174" hidden="1">'P0-4_Applicability_Rules'!$A$1:$B$9</definedName>
    <definedName name="_xlnm._FilterDatabase" localSheetId="175" hidden="1">'P0-4_Sensitivity'!$A$1:$E$7</definedName>
    <definedName name="_xlnm._FilterDatabase" localSheetId="176" hidden="1">'P0-4_Acceptance_Gates'!$A$1:$E$11</definedName>
    <definedName name="_xlnm._FilterDatabase" localSheetId="178" hidden="1">'P0-4_Change_Log'!$A$1:$E$6</definedName>
    <definedName name="_xlnm._FilterDatabase" localSheetId="179" hidden="1">'P0-5_CrossDomain_Master'!$A$1:$I$26</definedName>
    <definedName name="_xlnm._FilterDatabase" localSheetId="180" hidden="1">'P0-5_Metric_Linkage'!$A$1:$K$414</definedName>
    <definedName name="_xlnm._FilterDatabase" localSheetId="181" hidden="1">'P0-5_Contradiction_Engine'!$A$1:$L$414</definedName>
    <definedName name="_xlnm._FilterDatabase" localSheetId="182" hidden="1">'P0-5_Dependency_Engine'!$A$1:$J$414</definedName>
    <definedName name="_xlnm._FilterDatabase" localSheetId="183" hidden="1">'P0-5_DoubleCount_Protection'!$A$1:$E$9</definedName>
    <definedName name="_xlnm._FilterDatabase" localSheetId="184" hidden="1">'P0-5_Diagnostic_Summary'!$A$1:$E$7</definedName>
    <definedName name="_xlnm._FilterDatabase" localSheetId="186" hidden="1">'P0-5_Acceptance_Gates'!$A$1:$E$7</definedName>
    <definedName name="_xlnm._FilterDatabase" localSheetId="187" hidden="1">'P0-5_Methodology'!$A$1:$B$9</definedName>
    <definedName name="_xlnm._FilterDatabase" localSheetId="188" hidden="1">'P0-5_Change_Log'!$A$1:$C$5</definedName>
    <definedName name="_xlnm._FilterDatabase" localSheetId="189" hidden="1">'P0-6_Evidence_Master'!$A$1:$R$1</definedName>
    <definedName name="_xlnm._FilterDatabase" localSheetId="190" hidden="1">'P0-6_Evidence_Register'!$A$1:$R$1</definedName>
    <definedName name="_xlnm._FilterDatabase" localSheetId="191" hidden="1">'P0-6_Confidence_Engine'!$A$1:$N$1</definedName>
    <definedName name="_xlnm._FilterDatabase" localSheetId="192" hidden="1">'P0-6_AntiGaming'!$A$1:$G$1</definedName>
    <definedName name="_xlnm._FilterDatabase" localSheetId="193" hidden="1">'P0-6_Temporal_Validity'!$A$1:$E$1</definedName>
    <definedName name="_xlnm._FilterDatabase" localSheetId="194" hidden="1">'P0-6_Triangulation'!$A$1:$F$1</definedName>
    <definedName name="_xlnm._FilterDatabase" localSheetId="195" hidden="1">'P0-6_Evidence_Burden'!$A$1:$F$1</definedName>
    <definedName name="_xlnm._FilterDatabase" localSheetId="196" hidden="1">'P0-6_Reuse_Control'!$A$1:$E$1</definedName>
    <definedName name="_xlnm._FilterDatabase" localSheetId="197" hidden="1">'P0-6_Validation'!$A$1:$E$1</definedName>
    <definedName name="_xlnm._FilterDatabase" localSheetId="198" hidden="1">'P0-6_Methodology'!$A$1:$D$1</definedName>
    <definedName name="_xlnm._FilterDatabase" localSheetId="199" hidden="1">'P0-6_Change_Log'!$A$1:$D$1</definedName>
    <definedName name="_xlnm._FilterDatabase" localSheetId="201" hidden="1">'P0-7_Calibration_Master'!$A$1:$J$144</definedName>
    <definedName name="_xlnm._FilterDatabase" localSheetId="202" hidden="1">'P0-7_Assessor_Calibration'!$A$1:$J$144</definedName>
    <definedName name="_xlnm._FilterDatabase" localSheetId="203" hidden="1">'P0-7_InterRater'!$A$1:$H$13</definedName>
    <definedName name="_xlnm._FilterDatabase" localSheetId="204" hidden="1">'P0-7_TestRetest'!$A$1:$G$13</definedName>
    <definedName name="_xlnm._FilterDatabase" localSheetId="205" hidden="1">'P0-7_Validity_Framework'!$A$1:$F$6</definedName>
    <definedName name="_xlnm._FilterDatabase" localSheetId="206" hidden="1">'P0-7_Sensitivity'!$A$1:$G$8</definedName>
    <definedName name="_xlnm._FilterDatabase" localSheetId="207" hidden="1">'P0-7_Threshold_Governance'!$A$1:$F$5</definedName>
    <definedName name="_xlnm._FilterDatabase" localSheetId="208" hidden="1">'P0-7_Pilot_Design'!$A$1:$G$5</definedName>
    <definedName name="_xlnm._FilterDatabase" localSheetId="209" hidden="1">'P0-7_Revision_Rules'!$A$1:$D$8</definedName>
    <definedName name="_xlnm._FilterDatabase" localSheetId="210" hidden="1">'P0-7_Acceptance_Gates'!$A$1:$E$12</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theme="1"/>
      <sz val="14"/>
      <scheme val="minor"/>
    </font>
    <font>
      <name val="Calibri"/>
      <family val="2"/>
      <b val="1"/>
      <color rgb="FFFFFFFF"/>
      <sz val="11"/>
      <scheme val="minor"/>
    </font>
    <font>
      <b val="1"/>
      <color rgb="00FFFFFF"/>
      <sz val="14"/>
    </font>
    <font>
      <b val="1"/>
    </font>
    <font>
      <b val="1"/>
      <color rgb="00FFFFFF"/>
    </font>
  </fonts>
  <fills count="8">
    <fill>
      <patternFill/>
    </fill>
    <fill>
      <patternFill patternType="gray125"/>
    </fill>
    <fill>
      <patternFill patternType="solid">
        <fgColor rgb="FFD9EAD3"/>
        <bgColor indexed="64"/>
      </patternFill>
    </fill>
    <fill>
      <patternFill patternType="solid">
        <fgColor rgb="FF1F4E78"/>
        <bgColor indexed="64"/>
      </patternFill>
    </fill>
    <fill>
      <patternFill patternType="solid">
        <fgColor rgb="0017365D"/>
      </patternFill>
    </fill>
    <fill>
      <patternFill patternType="solid">
        <fgColor rgb="00D9EAF7"/>
      </patternFill>
    </fill>
    <fill>
      <patternFill patternType="solid">
        <fgColor rgb="001F4E78"/>
      </patternFill>
    </fill>
    <fill>
      <patternFill patternType="solid">
        <fgColor rgb="00FFF2CC"/>
      </patternFill>
    </fill>
  </fills>
  <borders count="4">
    <border>
      <left/>
      <right/>
      <top/>
      <bottom/>
      <diagonal/>
    </border>
    <border>
      <left style="thin">
        <color auto="1"/>
      </left>
      <right style="thin">
        <color auto="1"/>
      </right>
      <top style="thin">
        <color auto="1"/>
      </top>
      <bottom style="thin">
        <color auto="1"/>
      </bottom>
      <diagonal/>
    </border>
    <border>
      <bottom style="thin">
        <color rgb="00B7B7B7"/>
      </bottom>
    </border>
    <border>
      <bottom style="thin">
        <color rgb="00D9E1F2"/>
      </bottom>
    </border>
  </borders>
  <cellStyleXfs count="1">
    <xf numFmtId="0" fontId="2" fillId="0" borderId="0"/>
  </cellStyleXfs>
  <cellXfs count="2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wrapText="1"/>
    </xf>
    <xf numFmtId="0" fontId="3" fillId="3" borderId="1" applyAlignment="1" pivotButton="0" quotePrefix="0" xfId="0">
      <alignment horizontal="center" wrapText="1"/>
    </xf>
    <xf numFmtId="0" fontId="4" fillId="0" borderId="0" applyAlignment="1" pivotButton="0" quotePrefix="0" xfId="0">
      <alignment vertical="top" wrapText="1"/>
    </xf>
    <xf numFmtId="0" fontId="2" fillId="0" borderId="0" pivotButton="0" quotePrefix="0" xfId="0"/>
    <xf numFmtId="0" fontId="5" fillId="3" borderId="0" applyAlignment="1" pivotButton="0" quotePrefix="0" xfId="0">
      <alignment horizontal="center" wrapText="1"/>
    </xf>
    <xf numFmtId="0" fontId="2" fillId="0" borderId="0" applyAlignment="1" pivotButton="0" quotePrefix="0" xfId="0">
      <alignment horizontal="center" wrapText="1"/>
    </xf>
    <xf numFmtId="164" fontId="2" fillId="0" borderId="0" applyAlignment="1" pivotButton="0" quotePrefix="0" xfId="0">
      <alignment horizontal="center" wrapText="1"/>
    </xf>
    <xf numFmtId="2" fontId="2" fillId="0" borderId="0" applyAlignment="1" pivotButton="0" quotePrefix="0" xfId="0">
      <alignment horizontal="center" wrapText="1"/>
    </xf>
    <xf numFmtId="2" fontId="2" fillId="0" borderId="0" applyAlignment="1" pivotButton="0" quotePrefix="0" xfId="0">
      <alignment horizontal="center" wrapText="1"/>
    </xf>
    <xf numFmtId="0" fontId="6" fillId="4" borderId="0" pivotButton="0" quotePrefix="0" xfId="0"/>
    <xf numFmtId="0" fontId="7" fillId="5" borderId="0" pivotButton="0" quotePrefix="0" xfId="0"/>
    <xf numFmtId="0" fontId="7" fillId="0" borderId="0" pivotButton="0" quotePrefix="0" xfId="0"/>
    <xf numFmtId="0" fontId="8" fillId="4" borderId="2" applyAlignment="1" pivotButton="0" quotePrefix="0" xfId="0">
      <alignment horizontal="center" vertical="center" wrapText="1"/>
    </xf>
    <xf numFmtId="1" fontId="0" fillId="0" borderId="0" pivotButton="0" quotePrefix="0" xfId="0"/>
    <xf numFmtId="0" fontId="8" fillId="6" borderId="3" applyAlignment="1" pivotButton="0" quotePrefix="0" xfId="0">
      <alignment vertical="top" wrapText="1"/>
    </xf>
    <xf numFmtId="0" fontId="0" fillId="0" borderId="3" applyAlignment="1" pivotButton="0" quotePrefix="0" xfId="0">
      <alignment vertical="top" wrapText="1"/>
    </xf>
    <xf numFmtId="0" fontId="8"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styles" Target="styles.xml" Id="rId214"/><Relationship Type="http://schemas.openxmlformats.org/officeDocument/2006/relationships/theme" Target="theme/theme1.xml" Id="rId2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tabSelected="1" workbookViewId="0">
      <pane ySplit="1" topLeftCell="A2" activePane="bottomLeft" state="frozen"/>
      <selection pane="bottomLeft" activeCell="A1" sqref="A1"/>
    </sheetView>
  </sheetViews>
  <sheetFormatPr baseColWidth="8" defaultRowHeight="15"/>
  <cols>
    <col width="20.7109375" customWidth="1" min="1" max="1"/>
    <col width="48.7109375" customWidth="1" min="2" max="2"/>
  </cols>
  <sheetData>
    <row r="1">
      <c r="A1" s="1" t="inlineStr">
        <is>
          <t>Item</t>
        </is>
      </c>
      <c r="B1" s="1"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5"/>
    <col width="15.7109375" customWidth="1" min="6" max="6"/>
    <col width="19.7109375" customWidth="1" min="7" max="7"/>
    <col width="48.7109375" customWidth="1" min="8" max="9"/>
    <col width="34.7109375" customWidth="1" min="10" max="10"/>
    <col width="48.7109375" customWidth="1" min="11" max="21"/>
    <col width="32.7109375" customWidth="1" min="22" max="22"/>
    <col width="48.7109375" customWidth="1" min="23" max="23"/>
  </cols>
  <sheetData>
    <row r="1">
      <c r="A1" s="1" t="inlineStr">
        <is>
          <t>Domain</t>
        </is>
      </c>
      <c r="B1" s="1" t="inlineStr">
        <is>
          <t>Metric ID</t>
        </is>
      </c>
      <c r="C1" s="1" t="inlineStr">
        <is>
          <t>Metric</t>
        </is>
      </c>
      <c r="D1" s="1" t="inlineStr">
        <is>
          <t>Definition</t>
        </is>
      </c>
      <c r="E1" s="1" t="inlineStr">
        <is>
          <t>Primary Construct Owner</t>
        </is>
      </c>
      <c r="F1" s="1" t="inlineStr">
        <is>
          <t>Existing Card</t>
        </is>
      </c>
      <c r="G1" s="1" t="inlineStr">
        <is>
          <t>Existing Question</t>
        </is>
      </c>
      <c r="H1" s="1" t="inlineStr">
        <is>
          <t>Remediation Instrument</t>
        </is>
      </c>
      <c r="I1" s="1" t="inlineStr">
        <is>
          <t>Measurement Type</t>
        </is>
      </c>
      <c r="J1" s="1" t="inlineStr">
        <is>
          <t>Unit / Scale</t>
        </is>
      </c>
      <c r="K1" s="1" t="inlineStr">
        <is>
          <t>Measurement / Calculation Rule</t>
        </is>
      </c>
      <c r="L1" s="1" t="inlineStr">
        <is>
          <t>Observation Period</t>
        </is>
      </c>
      <c r="M1" s="1" t="inlineStr">
        <is>
          <t>Maturity Rule</t>
        </is>
      </c>
      <c r="N1" s="1" t="inlineStr">
        <is>
          <t>Implementation Depth Rule</t>
        </is>
      </c>
      <c r="O1" s="1" t="inlineStr">
        <is>
          <t>Outcome Eligibility</t>
        </is>
      </c>
      <c r="P1" s="1" t="inlineStr">
        <is>
          <t>Evidence Rule</t>
        </is>
      </c>
      <c r="Q1" s="1" t="inlineStr">
        <is>
          <t>Evidence Confidence Rule</t>
        </is>
      </c>
      <c r="R1" s="1" t="inlineStr">
        <is>
          <t>N/A Rule</t>
        </is>
      </c>
      <c r="S1" s="1" t="inlineStr">
        <is>
          <t>Anti-Gaming Check</t>
        </is>
      </c>
      <c r="T1" s="1" t="inlineStr">
        <is>
          <t>Cross-Domain Validation</t>
        </is>
      </c>
      <c r="U1" s="1" t="inlineStr">
        <is>
          <t>Scoring Owner</t>
        </is>
      </c>
      <c r="V1" s="1" t="inlineStr">
        <is>
          <t>Status</t>
        </is>
      </c>
      <c r="W1" s="1"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60.7109375" customWidth="1" min="4" max="4"/>
    <col width="25.7109375" customWidth="1" min="5" max="6"/>
    <col width="28.7109375" customWidth="1" min="7" max="9"/>
    <col width="42.7109375" customWidth="1" min="10" max="10"/>
    <col width="12.7109375" customWidth="1" min="11" max="11"/>
    <col width="60.7109375" customWidth="1" min="12" max="12"/>
  </cols>
  <sheetData>
    <row r="1">
      <c r="A1" s="3" t="inlineStr">
        <is>
          <t>Domain</t>
        </is>
      </c>
      <c r="B1" s="3" t="inlineStr">
        <is>
          <t>Metric ID</t>
        </is>
      </c>
      <c r="C1" s="3" t="inlineStr">
        <is>
          <t>Metric</t>
        </is>
      </c>
      <c r="D1" s="3" t="inlineStr">
        <is>
          <t>Definition</t>
        </is>
      </c>
      <c r="E1" s="3" t="inlineStr">
        <is>
          <t>Assessment Card(s)</t>
        </is>
      </c>
      <c r="F1" s="3" t="inlineStr">
        <is>
          <t>Question Bank Item(s)</t>
        </is>
      </c>
      <c r="G1" s="3" t="inlineStr">
        <is>
          <t>Evidence Requirement Match</t>
        </is>
      </c>
      <c r="H1" s="3" t="inlineStr">
        <is>
          <t>Institutional Data Match</t>
        </is>
      </c>
      <c r="I1" s="3" t="inlineStr">
        <is>
          <t>Measurement Inputs</t>
        </is>
      </c>
      <c r="J1" s="3" t="inlineStr">
        <is>
          <t>Recommended Measurement Type</t>
        </is>
      </c>
      <c r="K1" s="3" t="inlineStr">
        <is>
          <t>Status</t>
        </is>
      </c>
      <c r="L1" s="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7109375" customWidth="1" min="1" max="5"/>
    <col width="18.7109375" customWidth="1" min="6" max="6"/>
    <col width="14.7109375" customWidth="1" min="7" max="7"/>
  </cols>
  <sheetData>
    <row r="1">
      <c r="A1" s="3" t="inlineStr">
        <is>
          <t>Domain</t>
        </is>
      </c>
      <c r="B1" s="3" t="inlineStr">
        <is>
          <t>Metrics</t>
        </is>
      </c>
      <c r="C1" s="3" t="inlineStr">
        <is>
          <t>Green</t>
        </is>
      </c>
      <c r="D1" s="3" t="inlineStr">
        <is>
          <t>Amber</t>
        </is>
      </c>
      <c r="E1" s="3" t="inlineStr">
        <is>
          <t>Red</t>
        </is>
      </c>
      <c r="F1" s="3" t="inlineStr">
        <is>
          <t>Assessment Cards</t>
        </is>
      </c>
      <c r="G1" s="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48.7109375" customWidth="1" min="4" max="4"/>
    <col width="22.7109375" customWidth="1" min="5" max="5"/>
    <col width="30.7109375" customWidth="1" min="6" max="6"/>
    <col width="24.7109375" customWidth="1" min="7" max="7"/>
    <col width="45.7109375" customWidth="1" min="8" max="9"/>
    <col width="30.7109375" customWidth="1" min="10" max="10"/>
    <col width="38.7109375" customWidth="1" min="11" max="11"/>
    <col width="30.7109375" customWidth="1" min="12" max="12"/>
    <col width="45.7109375" customWidth="1" min="13" max="13"/>
    <col width="25.7109375" customWidth="1" min="14" max="14"/>
    <col width="50.7109375" customWidth="1" min="15" max="15"/>
    <col width="18.7109375" customWidth="1" min="16" max="16"/>
  </cols>
  <sheetData>
    <row r="1">
      <c r="A1" s="3" t="inlineStr">
        <is>
          <t>Domain</t>
        </is>
      </c>
      <c r="B1" s="3" t="inlineStr">
        <is>
          <t>Metric ID</t>
        </is>
      </c>
      <c r="C1" s="3" t="inlineStr">
        <is>
          <t>Metric</t>
        </is>
      </c>
      <c r="D1" s="3" t="inlineStr">
        <is>
          <t>Measurement Question</t>
        </is>
      </c>
      <c r="E1" s="3" t="inlineStr">
        <is>
          <t>Unit/Scale</t>
        </is>
      </c>
      <c r="F1" s="3" t="inlineStr">
        <is>
          <t>Population/Sample</t>
        </is>
      </c>
      <c r="G1" s="3" t="inlineStr">
        <is>
          <t>Observation Period</t>
        </is>
      </c>
      <c r="H1" s="3" t="inlineStr">
        <is>
          <t>Minimum Evidence</t>
        </is>
      </c>
      <c r="I1" s="3" t="inlineStr">
        <is>
          <t>Strong Evidence</t>
        </is>
      </c>
      <c r="J1" s="3" t="inlineStr">
        <is>
          <t>Maturity Anchor Link</t>
        </is>
      </c>
      <c r="K1" s="3" t="inlineStr">
        <is>
          <t>Independence Rule</t>
        </is>
      </c>
      <c r="L1" s="3" t="inlineStr">
        <is>
          <t>N/A Rule</t>
        </is>
      </c>
      <c r="M1" s="3" t="inlineStr">
        <is>
          <t>Anti-Gaming Check</t>
        </is>
      </c>
      <c r="N1" s="3" t="inlineStr">
        <is>
          <t>Primary Scoring Owner</t>
        </is>
      </c>
      <c r="O1" s="3" t="inlineStr">
        <is>
          <t>Cross-Domain Validation</t>
        </is>
      </c>
      <c r="P1" s="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28.7109375" customWidth="1" min="2" max="2"/>
    <col width="60.7109375" customWidth="1" min="3" max="3"/>
  </cols>
  <sheetData>
    <row r="1">
      <c r="A1" s="3" t="inlineStr">
        <is>
          <t>Rule ID</t>
        </is>
      </c>
      <c r="B1" s="3" t="inlineStr">
        <is>
          <t>Rule</t>
        </is>
      </c>
      <c r="C1" s="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55.7109375" customWidth="1" min="2" max="2"/>
    <col width="15.7109375" customWidth="1" min="3" max="3"/>
    <col width="60.7109375" customWidth="1" min="4" max="4"/>
  </cols>
  <sheetData>
    <row r="1">
      <c r="A1" s="3" t="inlineStr">
        <is>
          <t>Gate</t>
        </is>
      </c>
      <c r="B1" s="3" t="inlineStr">
        <is>
          <t>Requirement</t>
        </is>
      </c>
      <c r="C1" s="3" t="inlineStr">
        <is>
          <t>Status</t>
        </is>
      </c>
      <c r="D1" s="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7109375" customWidth="1" min="1" max="4"/>
  </cols>
  <sheetData>
    <row r="1">
      <c r="A1" s="3" t="inlineStr">
        <is>
          <t>Level</t>
        </is>
      </c>
      <c r="B1" s="3" t="inlineStr">
        <is>
          <t>Label</t>
        </is>
      </c>
      <c r="C1" s="3" t="inlineStr">
        <is>
          <t>Global definition</t>
        </is>
      </c>
      <c r="D1" s="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7109375" customWidth="1" min="1" max="2"/>
  </cols>
  <sheetData>
    <row r="1">
      <c r="A1" s="3" t="inlineStr">
        <is>
          <t>Rule</t>
        </is>
      </c>
      <c r="B1" s="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7109375" customWidth="1" min="1" max="6"/>
  </cols>
  <sheetData>
    <row r="1">
      <c r="A1" s="3" t="inlineStr">
        <is>
          <t>Domain</t>
        </is>
      </c>
      <c r="B1" s="3" t="inlineStr">
        <is>
          <t>Level</t>
        </is>
      </c>
      <c r="C1" s="3" t="inlineStr">
        <is>
          <t>Anchor source</t>
        </is>
      </c>
      <c r="D1" s="3" t="inlineStr">
        <is>
          <t>Source workbook/sheet</t>
        </is>
      </c>
      <c r="E1" s="3" t="inlineStr">
        <is>
          <t>Status</t>
        </is>
      </c>
      <c r="F1" s="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Dimension</t>
        </is>
      </c>
      <c r="C1" s="4" t="inlineStr">
        <is>
          <t>Purpose</t>
        </is>
      </c>
      <c r="D1" s="4" t="inlineStr">
        <is>
          <t>Weight</t>
        </is>
      </c>
      <c r="E1" s="4" t="inlineStr">
        <is>
          <t>Status</t>
        </is>
      </c>
      <c r="F1" s="4" t="inlineStr">
        <is>
          <t>Architecture Standard</t>
        </is>
      </c>
    </row>
    <row r="2">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60.7109375" customWidth="1" min="1" max="1"/>
    <col width="13.7109375" customWidth="1" min="2" max="2"/>
  </cols>
  <sheetData>
    <row r="1">
      <c r="A1" s="5" t="inlineStr">
        <is>
          <t>P0-1 METHODOLOGY UPDATE</t>
        </is>
      </c>
      <c r="B1" s="6" t="n"/>
    </row>
    <row r="2">
      <c r="A2" s="2" t="inlineStr">
        <is>
          <t>Domain-specific maturity anchors for D01–D11 have been added as a controlled methodology layer.</t>
        </is>
      </c>
      <c r="B2" s="6" t="n"/>
    </row>
    <row r="3">
      <c r="A3" s="2" t="inlineStr">
        <is>
          <t>D01–D06 anchors are restored from the earlier canonical architecture; D07–D11 anchors are explicit methodology synthesis pending expert/pilot validation.</t>
        </is>
      </c>
      <c r="B3" s="6" t="n"/>
    </row>
    <row r="4">
      <c r="A4" s="2" t="inlineStr">
        <is>
          <t>Do not freeze public scoring bands until P0-1 through P0-5 validation gates are completed.</t>
        </is>
      </c>
      <c r="B4" s="6" t="n"/>
    </row>
    <row r="5">
      <c r="A5" s="4" t="inlineStr">
        <is>
          <t>Item</t>
        </is>
      </c>
      <c r="B5" s="4"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ID</t>
        </is>
      </c>
      <c r="B1" s="4" t="inlineStr">
        <is>
          <t>Domain</t>
        </is>
      </c>
      <c r="C1" s="4" t="inlineStr">
        <is>
          <t>Purpose</t>
        </is>
      </c>
    </row>
    <row r="2">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ID</t>
        </is>
      </c>
      <c r="B1" s="4" t="inlineStr">
        <is>
          <t>Field</t>
        </is>
      </c>
      <c r="C1" s="4" t="inlineStr">
        <is>
          <t>Input</t>
        </is>
      </c>
      <c r="D1" s="4" t="inlineStr">
        <is>
          <t>Requirement</t>
        </is>
      </c>
      <c r="E1" s="4" t="inlineStr">
        <is>
          <t>Use</t>
        </is>
      </c>
    </row>
    <row r="2">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Domain</t>
        </is>
      </c>
      <c r="B1" s="4" t="inlineStr">
        <is>
          <t>ID</t>
        </is>
      </c>
      <c r="C1" s="4" t="inlineStr">
        <is>
          <t>Data item</t>
        </is>
      </c>
      <c r="D1" s="4" t="inlineStr">
        <is>
          <t>Input</t>
        </is>
      </c>
      <c r="E1" s="4" t="inlineStr">
        <is>
          <t>Requirement</t>
        </is>
      </c>
    </row>
    <row r="2">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144"/>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Domain</t>
        </is>
      </c>
      <c r="B1" s="4" t="inlineStr">
        <is>
          <t>ID</t>
        </is>
      </c>
      <c r="C1" s="4" t="inlineStr">
        <is>
          <t>Capability</t>
        </is>
      </c>
    </row>
    <row r="2">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44"/>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Metric</t>
        </is>
      </c>
      <c r="D1" s="4" t="inlineStr">
        <is>
          <t>What measured</t>
        </is>
      </c>
      <c r="E1" s="4" t="inlineStr">
        <is>
          <t>Measurement method</t>
        </is>
      </c>
      <c r="F1" s="4" t="inlineStr">
        <is>
          <t>Exposure</t>
        </is>
      </c>
    </row>
    <row r="2">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70"/>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Card</t>
        </is>
      </c>
      <c r="C1" s="4" t="inlineStr">
        <is>
          <t>Name</t>
        </is>
      </c>
      <c r="D1" s="4" t="inlineStr">
        <is>
          <t>Input Format</t>
        </is>
      </c>
      <c r="E1" s="4" t="inlineStr">
        <is>
          <t>Respondent does</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Domain</t>
        </is>
      </c>
      <c r="B1" s="4" t="inlineStr">
        <is>
          <t>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36"/>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Discipline</t>
        </is>
      </c>
      <c r="B1" s="4" t="inlineStr">
        <is>
          <t>Capability focus</t>
        </is>
      </c>
      <c r="C1" s="4" t="inlineStr">
        <is>
          <t>Representative assessment/evidence</t>
        </is>
      </c>
    </row>
    <row r="2">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Discipline ID</t>
        </is>
      </c>
      <c r="B1" s="4" t="inlineStr">
        <is>
          <t>Discipline Family</t>
        </is>
      </c>
      <c r="C1" s="4" t="inlineStr">
        <is>
          <t>Discipline / Subject</t>
        </is>
      </c>
      <c r="D1" s="4" t="inlineStr">
        <is>
          <t>AI Transformation Signal</t>
        </is>
      </c>
      <c r="E1" s="4" t="inlineStr">
        <is>
          <t>Human Capability Emphasis</t>
        </is>
      </c>
      <c r="F1" s="4" t="inlineStr">
        <is>
          <t>Typical Student Demonstration</t>
        </is>
      </c>
      <c r="G1" s="4" t="inlineStr">
        <is>
          <t>Activation Logic</t>
        </is>
      </c>
    </row>
    <row r="2">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D5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Scope</t>
        </is>
      </c>
      <c r="B1" s="4" t="inlineStr">
        <is>
          <t>Level</t>
        </is>
      </c>
      <c r="C1" s="4" t="inlineStr">
        <is>
          <t>Label</t>
        </is>
      </c>
      <c r="D1" s="4" t="inlineStr">
        <is>
          <t>Anchor</t>
        </is>
      </c>
    </row>
    <row r="2">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Domain</t>
        </is>
      </c>
      <c r="B1" s="4" t="inlineStr">
        <is>
          <t>Output</t>
        </is>
      </c>
      <c r="C1" s="4" t="inlineStr">
        <is>
          <t>Meaning</t>
        </is>
      </c>
      <c r="D1" s="4" t="inlineStr">
        <is>
          <t>Scale</t>
        </is>
      </c>
    </row>
    <row r="2">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Type</t>
        </is>
      </c>
      <c r="B1" s="4" t="inlineStr">
        <is>
          <t>Code</t>
        </is>
      </c>
      <c r="C1" s="4" t="inlineStr">
        <is>
          <t>Element</t>
        </is>
      </c>
      <c r="D1" s="4" t="inlineStr">
        <is>
          <t>Definition</t>
        </is>
      </c>
      <c r="E1" s="4" t="inlineStr">
        <is>
          <t>Rule</t>
        </is>
      </c>
    </row>
    <row r="2">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Evidence</t>
        </is>
      </c>
      <c r="D1" s="4" t="inlineStr">
        <is>
          <t>Quantity</t>
        </is>
      </c>
      <c r="E1" s="4" t="inlineStr">
        <is>
          <t>Requirement</t>
        </is>
      </c>
      <c r="F1" s="4" t="inlineStr">
        <is>
          <t>Metric</t>
        </is>
      </c>
    </row>
    <row r="2">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ID</t>
        </is>
      </c>
      <c r="B1" s="4" t="inlineStr">
        <is>
          <t>Check</t>
        </is>
      </c>
      <c r="C1" s="4" t="inlineStr">
        <is>
          <t>Rule</t>
        </is>
      </c>
      <c r="D1" s="4" t="inlineStr">
        <is>
          <t>Type</t>
        </is>
      </c>
    </row>
    <row r="2">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Level</t>
        </is>
      </c>
      <c r="B1" s="4" t="inlineStr">
        <is>
          <t>Institutional Reality State</t>
        </is>
      </c>
      <c r="C1" s="4" t="inlineStr">
        <is>
          <t>Meaning</t>
        </is>
      </c>
      <c r="D1" s="4" t="inlineStr">
        <is>
          <t>Assessment Treatment</t>
        </is>
      </c>
    </row>
    <row r="2">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Context Variable</t>
        </is>
      </c>
      <c r="B1" s="4" t="inlineStr">
        <is>
          <t>Why It Matters</t>
        </is>
      </c>
      <c r="C1" s="4" t="inlineStr">
        <is>
          <t>Examples of Context Values</t>
        </is>
      </c>
      <c r="D1" s="4" t="inlineStr">
        <is>
          <t>How It Changes Assessment</t>
        </is>
      </c>
    </row>
    <row r="2">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Input Layer</t>
        </is>
      </c>
      <c r="B1" s="4" t="inlineStr">
        <is>
          <t>What Captured</t>
        </is>
      </c>
      <c r="C1" s="4" t="inlineStr">
        <is>
          <t>Purpose</t>
        </is>
      </c>
      <c r="D1" s="4" t="inlineStr">
        <is>
          <t>Used For</t>
        </is>
      </c>
    </row>
    <row r="2">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18.7109375" customWidth="1" min="2" max="2"/>
    <col width="55.7109375" customWidth="1" min="3" max="4"/>
    <col width="42.7109375" customWidth="1" min="5" max="6"/>
  </cols>
  <sheetData>
    <row r="1">
      <c r="A1" s="4" t="inlineStr">
        <is>
          <t>Metric Layer</t>
        </is>
      </c>
      <c r="B1" s="4" t="inlineStr">
        <is>
          <t>Scale</t>
        </is>
      </c>
      <c r="C1" s="4" t="inlineStr">
        <is>
          <t>Anchor</t>
        </is>
      </c>
      <c r="D1" s="4" t="inlineStr">
        <is>
          <t>Purpose</t>
        </is>
      </c>
      <c r="E1" s="4" t="inlineStr">
        <is>
          <t>Scoring Role</t>
        </is>
      </c>
      <c r="F1" s="4" t="inlineStr">
        <is>
          <t>Validation Status</t>
        </is>
      </c>
    </row>
    <row r="2">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5.7109375" customWidth="1" min="1" max="2"/>
    <col width="60.7109375" customWidth="1" min="3" max="4"/>
  </cols>
  <sheetData>
    <row r="1">
      <c r="A1" s="4" t="inlineStr">
        <is>
          <t>From Domain</t>
        </is>
      </c>
      <c r="B1" s="4" t="inlineStr">
        <is>
          <t>To Domain</t>
        </is>
      </c>
      <c r="C1" s="4" t="inlineStr">
        <is>
          <t>Strategic Relationship</t>
        </is>
      </c>
      <c r="D1" s="4" t="inlineStr">
        <is>
          <t>Engine Action</t>
        </is>
      </c>
    </row>
    <row r="2">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20.7109375" customWidth="1" min="3" max="3"/>
    <col width="60.7109375" customWidth="1" min="4" max="4"/>
  </cols>
  <sheetData>
    <row r="1">
      <c r="A1" s="4" t="inlineStr">
        <is>
          <t>Domain</t>
        </is>
      </c>
      <c r="B1" s="4" t="inlineStr">
        <is>
          <t>Name</t>
        </is>
      </c>
      <c r="C1" s="4" t="inlineStr">
        <is>
          <t>Proposed Weight %</t>
        </is>
      </c>
      <c r="D1" s="4" t="inlineStr">
        <is>
          <t>Rationale / Caution</t>
        </is>
      </c>
    </row>
    <row r="2">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n"/>
      <c r="C13" s="2" t="n">
        <v>100</v>
      </c>
      <c r="D13" s="2" t="inlineStr">
        <is>
          <t>Provisional; weights must be validated through sensitivity analysis and pilot data before public benchmarking.</t>
        </is>
      </c>
    </row>
  </sheetData>
  <autoFilter ref="A1:D13"/>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30.7109375" customWidth="1" min="2" max="2"/>
    <col width="35.7109375" customWidth="1" min="3" max="3"/>
    <col width="20.7109375" customWidth="1" min="4" max="4"/>
    <col width="60.7109375" customWidth="1" min="5" max="5"/>
  </cols>
  <sheetData>
    <row r="1">
      <c r="A1" s="4" t="inlineStr">
        <is>
          <t>ID</t>
        </is>
      </c>
      <c r="B1" s="4" t="inlineStr">
        <is>
          <t>Principle</t>
        </is>
      </c>
      <c r="C1" s="4" t="inlineStr">
        <is>
          <t>Scope</t>
        </is>
      </c>
      <c r="D1" s="4" t="inlineStr">
        <is>
          <t>Status</t>
        </is>
      </c>
      <c r="E1" s="4" t="inlineStr">
        <is>
          <t>Design Rule</t>
        </is>
      </c>
    </row>
    <row r="2">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2.7109375" customWidth="1" min="1" max="1"/>
    <col width="18.7109375" customWidth="1" min="2" max="2"/>
    <col width="60.7109375" customWidth="1" min="3" max="3"/>
    <col width="55.7109375" customWidth="1" min="4" max="4"/>
  </cols>
  <sheetData>
    <row r="1">
      <c r="A1" s="4" t="inlineStr">
        <is>
          <t>Component</t>
        </is>
      </c>
      <c r="B1" s="4" t="inlineStr">
        <is>
          <t>Scale</t>
        </is>
      </c>
      <c r="C1" s="4" t="inlineStr">
        <is>
          <t>Definition</t>
        </is>
      </c>
      <c r="D1" s="4" t="inlineStr">
        <is>
          <t>Use</t>
        </is>
      </c>
    </row>
    <row r="2">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60.7109375" customWidth="1" min="2" max="3"/>
    <col width="28.7109375" customWidth="1" min="4" max="4"/>
  </cols>
  <sheetData>
    <row r="1">
      <c r="A1" s="4" t="inlineStr">
        <is>
          <t>Component</t>
        </is>
      </c>
      <c r="B1" s="4" t="inlineStr">
        <is>
          <t>Provisional Specification</t>
        </is>
      </c>
      <c r="C1" s="4" t="inlineStr">
        <is>
          <t>Reason</t>
        </is>
      </c>
      <c r="D1" s="4" t="inlineStr">
        <is>
          <t>Status</t>
        </is>
      </c>
    </row>
    <row r="2">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8.7109375" customWidth="1" min="1" max="1"/>
    <col width="60.7109375" customWidth="1" min="2" max="4"/>
  </cols>
  <sheetData>
    <row r="1">
      <c r="A1" s="4" t="inlineStr">
        <is>
          <t>Framework / Source</t>
        </is>
      </c>
      <c r="B1" s="4" t="inlineStr">
        <is>
          <t>Current public scope</t>
        </is>
      </c>
      <c r="C1" s="4" t="inlineStr">
        <is>
          <t>What it contributes to design</t>
        </is>
      </c>
      <c r="D1" s="4" t="inlineStr">
        <is>
          <t>What this engine should NOT claim</t>
        </is>
      </c>
    </row>
    <row r="2">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4.7109375" customWidth="1" min="1" max="1"/>
    <col width="60.7109375" customWidth="1" min="2" max="4"/>
  </cols>
  <sheetData>
    <row r="1">
      <c r="A1" s="4" t="inlineStr">
        <is>
          <t>Content Block</t>
        </is>
      </c>
      <c r="B1" s="4" t="inlineStr">
        <is>
          <t>Primary Source File</t>
        </is>
      </c>
      <c r="C1" s="4" t="inlineStr">
        <is>
          <t>Treatment in v3</t>
        </is>
      </c>
      <c r="D1" s="4" t="inlineStr">
        <is>
          <t>Notes</t>
        </is>
      </c>
    </row>
    <row r="2">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55.7109375" customWidth="1" min="2" max="2"/>
    <col width="35.7109375" customWidth="1" min="3" max="3"/>
    <col width="16.7109375" customWidth="1" min="4" max="4"/>
    <col width="60.7109375" customWidth="1" min="5" max="5"/>
  </cols>
  <sheetData>
    <row r="1">
      <c r="A1" s="4" t="inlineStr">
        <is>
          <t>Check</t>
        </is>
      </c>
      <c r="B1" s="4" t="inlineStr">
        <is>
          <t>Expected</t>
        </is>
      </c>
      <c r="C1" s="4" t="inlineStr">
        <is>
          <t>Actual</t>
        </is>
      </c>
      <c r="D1" s="4" t="inlineStr">
        <is>
          <t>Status</t>
        </is>
      </c>
      <c r="E1" s="4" t="inlineStr">
        <is>
          <t>Notes</t>
        </is>
      </c>
    </row>
    <row r="2">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339"/>
  <sheetViews>
    <sheetView showGridLines="0" workbookViewId="0">
      <selection activeCell="A1" sqref="A1"/>
    </sheetView>
  </sheetViews>
  <sheetFormatPr baseColWidth="8" defaultRowHeight="15"/>
  <cols>
    <col width="60.7109375" customWidth="1" min="1" max="1"/>
  </cols>
  <sheetData>
    <row r="1">
      <c r="A1" s="2" t="inlineStr">
        <is>
          <t>MASTER DEVELOPMENT PROMPT — R&amp;R AI RESILIENT UNIVERSITY INDEX</t>
        </is>
      </c>
    </row>
    <row r="2">
      <c r="A2" s="2" t="inlineStr">
        <is>
          <t>Version: v3 architecture build prompt</t>
        </is>
      </c>
    </row>
    <row r="3">
      <c r="A3" s="2" t="n"/>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n"/>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n"/>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n"/>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n"/>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n"/>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n"/>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n"/>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n"/>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n"/>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n"/>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n"/>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n"/>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n"/>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n"/>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n"/>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n"/>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n"/>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n"/>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n"/>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n"/>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n"/>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n"/>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n"/>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n"/>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n"/>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n"/>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n"/>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n"/>
    </row>
    <row r="339">
      <c r="A339" s="2" t="inlineStr">
        <is>
          <t>Build the system so that this chain can be measured, evidenced, cross-validated and transformed into action.</t>
        </is>
      </c>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20.7109375" customWidth="1" min="2" max="2"/>
    <col width="60.7109375" customWidth="1" min="3" max="3"/>
  </cols>
  <sheetData>
    <row r="1">
      <c r="A1" s="4" t="inlineStr">
        <is>
          <t>Build Item</t>
        </is>
      </c>
      <c r="B1" s="4" t="inlineStr">
        <is>
          <t>Status</t>
        </is>
      </c>
      <c r="C1" s="4" t="inlineStr">
        <is>
          <t>Notes</t>
        </is>
      </c>
    </row>
    <row r="2">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14.7109375" customWidth="1" min="3" max="3"/>
    <col width="13.7109375" customWidth="1" min="4" max="4"/>
    <col width="17.7109375" customWidth="1" min="5" max="5"/>
    <col width="39.7109375" customWidth="1" min="6" max="6"/>
    <col width="48.7109375" customWidth="1" min="7" max="7"/>
    <col width="42.7109375" customWidth="1" min="8" max="8"/>
    <col width="13.7109375" customWidth="1" min="9" max="9"/>
    <col width="48.7109375" customWidth="1" min="10" max="10"/>
  </cols>
  <sheetData>
    <row r="1">
      <c r="A1" s="1" t="inlineStr">
        <is>
          <t>Domain</t>
        </is>
      </c>
      <c r="B1" s="1" t="inlineStr">
        <is>
          <t>Metric ID</t>
        </is>
      </c>
      <c r="C1" s="1" t="inlineStr">
        <is>
          <t>Prior Status</t>
        </is>
      </c>
      <c r="D1" s="1" t="inlineStr">
        <is>
          <t>New Card ID</t>
        </is>
      </c>
      <c r="E1" s="1" t="inlineStr">
        <is>
          <t>New Question ID</t>
        </is>
      </c>
      <c r="F1" s="1" t="inlineStr">
        <is>
          <t>Assessment Card</t>
        </is>
      </c>
      <c r="G1" s="1" t="inlineStr">
        <is>
          <t>Prompt</t>
        </is>
      </c>
      <c r="H1" s="1" t="inlineStr">
        <is>
          <t>Input / Response Format</t>
        </is>
      </c>
      <c r="I1" s="1" t="inlineStr">
        <is>
          <t>Metric Link</t>
        </is>
      </c>
      <c r="J1" s="1"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9.7109375" customWidth="1" min="3" max="3"/>
    <col width="35.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5.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3.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3.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3.7109375" customWidth="1" min="3" max="3"/>
    <col width="39.7109375" customWidth="1" min="4"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9.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4.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27.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2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7.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6.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8"/>
  </cols>
  <sheetData>
    <row r="1">
      <c r="A1" s="1" t="inlineStr">
        <is>
          <t>Domain</t>
        </is>
      </c>
      <c r="B1" s="1" t="inlineStr">
        <is>
          <t>Metric ID</t>
        </is>
      </c>
      <c r="C1" s="1" t="inlineStr">
        <is>
          <t>Metric</t>
        </is>
      </c>
      <c r="D1" s="1" t="inlineStr">
        <is>
          <t>Minimum Evidence</t>
        </is>
      </c>
      <c r="E1" s="1" t="inlineStr">
        <is>
          <t>High-Maturity Requirement</t>
        </is>
      </c>
      <c r="F1" s="1" t="inlineStr">
        <is>
          <t>Independence</t>
        </is>
      </c>
      <c r="G1" s="1" t="inlineStr">
        <is>
          <t>Outcome Rule</t>
        </is>
      </c>
      <c r="H1" s="1"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7109375" customWidth="1" min="1" max="3"/>
    <col width="48.7109375" customWidth="1" min="4" max="4"/>
    <col width="33.7109375" customWidth="1" min="5" max="5"/>
    <col width="48.7109375" customWidth="1" min="6" max="6"/>
  </cols>
  <sheetData>
    <row r="1">
      <c r="A1" s="1" t="inlineStr">
        <is>
          <t>Rule ID</t>
        </is>
      </c>
      <c r="B1" s="1" t="inlineStr">
        <is>
          <t>From</t>
        </is>
      </c>
      <c r="C1" s="1" t="inlineStr">
        <is>
          <t>To</t>
        </is>
      </c>
      <c r="D1" s="1" t="inlineStr">
        <is>
          <t>Executable Check</t>
        </is>
      </c>
      <c r="E1" s="1" t="inlineStr">
        <is>
          <t>Action</t>
        </is>
      </c>
      <c r="F1" s="1"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7109375" customWidth="1" min="1" max="1"/>
    <col width="48.7109375" customWidth="1" min="2" max="2"/>
  </cols>
  <sheetData>
    <row r="1">
      <c r="A1" s="1" t="inlineStr">
        <is>
          <t>Rule</t>
        </is>
      </c>
      <c r="B1" s="1"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12.7109375" customWidth="1" min="3" max="3"/>
    <col width="48.7109375" customWidth="1" min="4" max="4"/>
  </cols>
  <sheetData>
    <row r="1">
      <c r="A1" s="1" t="inlineStr">
        <is>
          <t>Gate</t>
        </is>
      </c>
      <c r="B1" s="1" t="inlineStr">
        <is>
          <t>Requirement</t>
        </is>
      </c>
      <c r="C1" s="1" t="inlineStr">
        <is>
          <t>Status</t>
        </is>
      </c>
      <c r="D1" s="1"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0.140625" customWidth="1" min="1" max="1"/>
    <col width="60.7109375" customWidth="1" min="2" max="2"/>
  </cols>
  <sheetData>
    <row r="1">
      <c r="A1" s="7" t="inlineStr">
        <is>
          <t>P0-3 SCORING ARCHITECTURE</t>
        </is>
      </c>
      <c r="B1" s="6" t="n"/>
    </row>
    <row r="2">
      <c r="A2" s="8" t="inlineStr">
        <is>
          <t>Purpose</t>
        </is>
      </c>
      <c r="B2" s="8" t="inlineStr">
        <is>
          <t>Operational scoring model for the 143-metric AI Resilient University Index. Provisional until pilot validation.</t>
        </is>
      </c>
    </row>
    <row r="3">
      <c r="A3" s="8" t="inlineStr">
        <is>
          <t>Core principle</t>
        </is>
      </c>
      <c r="B3" s="8" t="inlineStr">
        <is>
          <t>Capability maturity is not multiplied by evidence confidence. Capability and confidence are reported separately.</t>
        </is>
      </c>
    </row>
    <row r="4">
      <c r="A4" s="8" t="inlineStr">
        <is>
          <t>Metric capability score</t>
        </is>
      </c>
      <c r="B4" s="8" t="inlineStr">
        <is>
          <t>If Outcome exists: 100 × (0.45M + 0.30I + 0.25O) / 5. If Outcome is legitimate N/A: 100 × (0.60M + 0.40I) / 5.</t>
        </is>
      </c>
    </row>
    <row r="5">
      <c r="A5" s="8" t="inlineStr">
        <is>
          <t>M</t>
        </is>
      </c>
      <c r="B5" s="8" t="inlineStr">
        <is>
          <t>Current maturity, 0–5, anchored to the domain-specific maturity anchors.</t>
        </is>
      </c>
    </row>
    <row r="6">
      <c r="A6" s="8" t="inlineStr">
        <is>
          <t>I</t>
        </is>
      </c>
      <c r="B6" s="8" t="inlineStr">
        <is>
          <t>Implementation depth, 0–5, measuring breadth, consistency, repeatability and operating penetration.</t>
        </is>
      </c>
    </row>
    <row r="7">
      <c r="A7" s="8" t="inlineStr">
        <is>
          <t>O</t>
        </is>
      </c>
      <c r="B7" s="8" t="inlineStr">
        <is>
          <t>Outcome strength, 0–5, only where a legitimate measurable outcome exists; otherwise N/A.</t>
        </is>
      </c>
    </row>
    <row r="8">
      <c r="A8" s="8" t="inlineStr">
        <is>
          <t>Confidence</t>
        </is>
      </c>
      <c r="B8" s="8" t="inlineStr">
        <is>
          <t>Separate 0–1 confidence indicator derived from evidence level, corroboration and independence. It does not mechanically reduce capability score.</t>
        </is>
      </c>
    </row>
    <row r="9">
      <c r="A9" s="8" t="inlineStr">
        <is>
          <t>Metric aggregation</t>
        </is>
      </c>
      <c r="B9" s="8" t="inlineStr">
        <is>
          <t>Mean of validated applicable metric scores within each domain, after N/A exclusion and applicability checks.</t>
        </is>
      </c>
    </row>
    <row r="10">
      <c r="A10" s="8" t="inlineStr">
        <is>
          <t>Domain aggregation</t>
        </is>
      </c>
      <c r="B10" s="8" t="inlineStr">
        <is>
          <t>Domain score × validated domain weight. Current weights are provisional.</t>
        </is>
      </c>
    </row>
    <row r="11">
      <c r="A11" s="8" t="inlineStr">
        <is>
          <t>Overall ARUI</t>
        </is>
      </c>
      <c r="B11" s="8" t="inlineStr">
        <is>
          <t>Σ(domain score × domain weight), expressed on 0–100 scale.</t>
        </is>
      </c>
    </row>
    <row r="12">
      <c r="A12" s="8" t="inlineStr">
        <is>
          <t>Required maturity</t>
        </is>
      </c>
      <c r="B12" s="8" t="inlineStr">
        <is>
          <t>R = f(mandate, AI exposure, disciplinary consequence, trajectory). Resources affect proportionality/evidence burden, not the target score.</t>
        </is>
      </c>
    </row>
    <row r="13">
      <c r="A13" s="8" t="inlineStr">
        <is>
          <t>Transformation distance</t>
        </is>
      </c>
      <c r="B13" s="8" t="inlineStr">
        <is>
          <t>T = R − M, reported at metric/domain level.</t>
        </is>
      </c>
    </row>
    <row r="14">
      <c r="A14" s="8" t="inlineStr">
        <is>
          <t>Scoring status</t>
        </is>
      </c>
      <c r="B14" s="8" t="inlineStr">
        <is>
          <t>PROVISIONAL / DIAGNOSTIC. Public benchmark, ranking, certification or recognition remains blocked until validation gates pass.</t>
        </is>
      </c>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O144"/>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34.140625" customWidth="1" min="3" max="3"/>
    <col width="50.140625" customWidth="1" min="4" max="4"/>
    <col width="60.140625" customWidth="1" min="5" max="5"/>
    <col width="60.7109375" customWidth="1" min="6" max="6"/>
    <col width="57.140625" customWidth="1" min="7" max="7"/>
    <col width="54.140625" customWidth="1" min="8" max="8"/>
    <col width="60.7109375" customWidth="1" min="9" max="9"/>
    <col width="57.140625" customWidth="1" min="10" max="10"/>
    <col width="60.7109375" customWidth="1" min="11" max="11"/>
    <col width="60.140625" customWidth="1" min="12" max="12"/>
    <col width="60.7109375" customWidth="1" min="13" max="13"/>
    <col width="30.140625" customWidth="1" min="14" max="14"/>
    <col width="36.140625" customWidth="1" min="15" max="15"/>
  </cols>
  <sheetData>
    <row r="1">
      <c r="A1" s="7" t="inlineStr">
        <is>
          <t>Domain</t>
        </is>
      </c>
      <c r="B1" s="7" t="inlineStr">
        <is>
          <t>Metric ID</t>
        </is>
      </c>
      <c r="C1" s="7" t="inlineStr">
        <is>
          <t>Metric</t>
        </is>
      </c>
      <c r="D1" s="7" t="inlineStr">
        <is>
          <t>Primary Construct</t>
        </is>
      </c>
      <c r="E1" s="7" t="inlineStr">
        <is>
          <t>M Rule</t>
        </is>
      </c>
      <c r="F1" s="7" t="inlineStr">
        <is>
          <t>I Rule</t>
        </is>
      </c>
      <c r="G1" s="7" t="inlineStr">
        <is>
          <t>O Rule</t>
        </is>
      </c>
      <c r="H1" s="7" t="inlineStr">
        <is>
          <t>N/A Rule</t>
        </is>
      </c>
      <c r="I1" s="7" t="inlineStr">
        <is>
          <t>Evidence Gate</t>
        </is>
      </c>
      <c r="J1" s="7" t="inlineStr">
        <is>
          <t>Confidence Rule</t>
        </is>
      </c>
      <c r="K1" s="7" t="inlineStr">
        <is>
          <t>Anti-Gaming</t>
        </is>
      </c>
      <c r="L1" s="7" t="inlineStr">
        <is>
          <t>Cross-Domain Protection</t>
        </is>
      </c>
      <c r="M1" s="7" t="inlineStr">
        <is>
          <t>Metric Formula</t>
        </is>
      </c>
      <c r="N1" s="7" t="inlineStr">
        <is>
          <t>Owner</t>
        </is>
      </c>
      <c r="O1" s="7" t="inlineStr">
        <is>
          <t>Validation Status</t>
        </is>
      </c>
    </row>
    <row r="2">
      <c r="A2" s="8" t="inlineStr">
        <is>
          <t>D01</t>
        </is>
      </c>
      <c r="B2" s="8" t="inlineStr">
        <is>
          <t>I01</t>
        </is>
      </c>
      <c r="C2" s="8" t="inlineStr">
        <is>
          <t>Strategic AI Integration</t>
        </is>
      </c>
      <c r="D2" s="8" t="inlineStr">
        <is>
          <t>Actual AI/future influence on institutional decisions</t>
        </is>
      </c>
      <c r="E2" s="8" t="inlineStr">
        <is>
          <t>Anchor 0–5 from domain-specific maturity anchor using direct sampled practice/work evidence; do not infer maturity from policy statements alone.</t>
        </is>
      </c>
      <c r="F2" s="8" t="inlineStr">
        <is>
          <t>0–5: 0 absent; 1 isolated/person-dependent; 2 repeatable in limited areas; 3 institutionally structured; 4 broad/cross-functional and consistently operating; 5 continuously improved/scaled.</t>
        </is>
      </c>
      <c r="G2" s="8" t="inlineStr">
        <is>
          <t>Use outcome only when a legitimate measurable result exists; otherwise N/A.</t>
        </is>
      </c>
      <c r="H2" s="8" t="inlineStr">
        <is>
          <t>Only genuine mandate/context inapplicability with documented assessor approval; missing evidence is never N/A.</t>
        </is>
      </c>
      <c r="I2" s="8" t="inlineStr">
        <is>
          <t>D01</t>
        </is>
      </c>
      <c r="J2" s="8" t="inlineStr">
        <is>
          <t>E0=0.20; E1=0.40; E2=0.65; E3=0.85; E4=1.00, subject to corroboration/independence adjustment. Report separately.</t>
        </is>
      </c>
      <c r="K2" s="8" t="inlineStr">
        <is>
          <t>No score uplift from claims alone; lock denominator/exclusions before results; sample verification; cross-check with adjacent domains; high scores require corroboration.</t>
        </is>
      </c>
      <c r="L2" s="8" t="inlineStr">
        <is>
          <t>Use primary-owner rule; shared evidence may validate multiple metrics but the same activity cannot be scored twice across domains.</t>
        </is>
      </c>
      <c r="M2" s="8" t="inlineStr">
        <is>
          <t>100*((0.45*M)+(0.30*I)+(0.25*O))/5 when O exists; otherwise 100*((0.60*M)+(0.40*I))/5.</t>
        </is>
      </c>
      <c r="N2" s="8" t="inlineStr">
        <is>
          <t>D01 methodology/data owner</t>
        </is>
      </c>
      <c r="O2" s="8" t="inlineStr">
        <is>
          <t>PROVISIONAL—pilot validation required</t>
        </is>
      </c>
    </row>
    <row r="3">
      <c r="A3" s="8" t="inlineStr">
        <is>
          <t>D01</t>
        </is>
      </c>
      <c r="B3" s="8" t="inlineStr">
        <is>
          <t>I02</t>
        </is>
      </c>
      <c r="C3" s="8" t="inlineStr">
        <is>
          <t>Future Foresight Maturity</t>
        </is>
      </c>
      <c r="D3" s="8" t="inlineStr">
        <is>
          <t>Ability to test assumptions and detect change early</t>
        </is>
      </c>
      <c r="E3" s="8" t="inlineStr">
        <is>
          <t>Anchor 0–5 from domain-specific maturity anchor using direct sampled practice/work evidence; do not infer maturity from policy statements alone.</t>
        </is>
      </c>
      <c r="F3" s="8" t="inlineStr">
        <is>
          <t>0–5: 0 absent; 1 isolated/person-dependent; 2 repeatable in limited areas; 3 institutionally structured; 4 broad/cross-functional and consistently operating; 5 continuously improved/scaled.</t>
        </is>
      </c>
      <c r="G3" s="8" t="inlineStr">
        <is>
          <t>Use outcome only when a legitimate measurable result exists; otherwise N/A.</t>
        </is>
      </c>
      <c r="H3" s="8" t="inlineStr">
        <is>
          <t>Only genuine mandate/context inapplicability with documented assessor approval; missing evidence is never N/A.</t>
        </is>
      </c>
      <c r="I3" s="8" t="inlineStr">
        <is>
          <t>D01; D01</t>
        </is>
      </c>
      <c r="J3" s="8" t="inlineStr">
        <is>
          <t>E0=0.20; E1=0.40; E2=0.65; E3=0.85; E4=1.00, subject to corroboration/independence adjustment. Report separately.</t>
        </is>
      </c>
      <c r="K3" s="8" t="inlineStr">
        <is>
          <t>No score uplift from claims alone; lock denominator/exclusions before results; sample verification; cross-check with adjacent domains; high scores require corroboration.</t>
        </is>
      </c>
      <c r="L3" s="8" t="inlineStr">
        <is>
          <t>Use primary-owner rule; shared evidence may validate multiple metrics but the same activity cannot be scored twice across domains.</t>
        </is>
      </c>
      <c r="M3" s="8" t="inlineStr">
        <is>
          <t>100*((0.45*M)+(0.30*I)+(0.25*O))/5 when O exists; otherwise 100*((0.60*M)+(0.40*I))/5.</t>
        </is>
      </c>
      <c r="N3" s="8" t="inlineStr">
        <is>
          <t>D01 methodology/data owner</t>
        </is>
      </c>
      <c r="O3" s="8" t="inlineStr">
        <is>
          <t>PROVISIONAL—pilot validation required</t>
        </is>
      </c>
    </row>
    <row r="4">
      <c r="A4" s="8" t="inlineStr">
        <is>
          <t>D01</t>
        </is>
      </c>
      <c r="B4" s="8" t="inlineStr">
        <is>
          <t>I03</t>
        </is>
      </c>
      <c r="C4" s="8" t="inlineStr">
        <is>
          <t>Strategic Translation Rate</t>
        </is>
      </c>
      <c r="D4" s="8" t="inlineStr">
        <is>
          <t>Identified issues translated into actual decisions</t>
        </is>
      </c>
      <c r="E4" s="8" t="inlineStr">
        <is>
          <t>Anchor 0–5 from domain-specific maturity anchor using direct sampled practice/work evidence; do not infer maturity from policy statements alone.</t>
        </is>
      </c>
      <c r="F4" s="8" t="inlineStr">
        <is>
          <t>0–5: 0 absent; 1 isolated/person-dependent; 2 repeatable in limited areas; 3 institutionally structured; 4 broad/cross-functional and consistently operating; 5 continuously improved/scaled.</t>
        </is>
      </c>
      <c r="G4" s="8" t="inlineStr">
        <is>
          <t>Use outcome only when a legitimate measurable result exists; otherwise N/A.</t>
        </is>
      </c>
      <c r="H4" s="8" t="inlineStr">
        <is>
          <t>Only genuine mandate/context inapplicability with documented assessor approval; missing evidence is never N/A.</t>
        </is>
      </c>
      <c r="I4" s="8" t="inlineStr">
        <is>
          <t>D01</t>
        </is>
      </c>
      <c r="J4" s="8" t="inlineStr">
        <is>
          <t>E0=0.20; E1=0.40; E2=0.65; E3=0.85; E4=1.00, subject to corroboration/independence adjustment. Report separately.</t>
        </is>
      </c>
      <c r="K4" s="8" t="inlineStr">
        <is>
          <t>No score uplift from claims alone; lock denominator/exclusions before results; sample verification; cross-check with adjacent domains; high scores require corroboration.</t>
        </is>
      </c>
      <c r="L4" s="8" t="inlineStr">
        <is>
          <t>Use primary-owner rule; shared evidence may validate multiple metrics but the same activity cannot be scored twice across domains.</t>
        </is>
      </c>
      <c r="M4" s="8" t="inlineStr">
        <is>
          <t>100*((0.45*M)+(0.30*I)+(0.25*O))/5 when O exists; otherwise 100*((0.60*M)+(0.40*I))/5.</t>
        </is>
      </c>
      <c r="N4" s="8" t="inlineStr">
        <is>
          <t>D01 methodology/data owner</t>
        </is>
      </c>
      <c r="O4" s="8" t="inlineStr">
        <is>
          <t>PROVISIONAL—pilot validation required</t>
        </is>
      </c>
    </row>
    <row r="5">
      <c r="A5" s="8" t="inlineStr">
        <is>
          <t>D01</t>
        </is>
      </c>
      <c r="B5" s="8" t="inlineStr">
        <is>
          <t>I04</t>
        </is>
      </c>
      <c r="C5" s="8" t="inlineStr">
        <is>
          <t>Programme Future-Review Coverage</t>
        </is>
      </c>
      <c r="D5" s="8" t="inlineStr">
        <is>
          <t>Programme reviews considering AI/future-of-work</t>
        </is>
      </c>
      <c r="E5" s="8" t="inlineStr">
        <is>
          <t>Anchor 0–5 from domain-specific maturity anchor using direct sampled practice/work evidence; do not infer maturity from policy statements alone.</t>
        </is>
      </c>
      <c r="F5" s="8" t="inlineStr">
        <is>
          <t>0–5: 0 absent; 1 isolated/person-dependent; 2 repeatable in limited areas; 3 institutionally structured; 4 broad/cross-functional and consistently operating; 5 continuously improved/scaled.</t>
        </is>
      </c>
      <c r="G5" s="8" t="inlineStr">
        <is>
          <t>Use outcome only when a legitimate measurable result exists; otherwise N/A.</t>
        </is>
      </c>
      <c r="H5" s="8" t="inlineStr">
        <is>
          <t>Only genuine mandate/context inapplicability with documented assessor approval; missing evidence is never N/A.</t>
        </is>
      </c>
      <c r="I5" s="8" t="inlineStr">
        <is>
          <t>D01</t>
        </is>
      </c>
      <c r="J5" s="8" t="inlineStr">
        <is>
          <t>E0=0.20; E1=0.40; E2=0.65; E3=0.85; E4=1.00, subject to corroboration/independence adjustment. Report separately.</t>
        </is>
      </c>
      <c r="K5" s="8" t="inlineStr">
        <is>
          <t>No score uplift from claims alone; lock denominator/exclusions before results; sample verification; cross-check with adjacent domains; high scores require corroboration.</t>
        </is>
      </c>
      <c r="L5" s="8" t="inlineStr">
        <is>
          <t>Use primary-owner rule; shared evidence may validate multiple metrics but the same activity cannot be scored twice across domains.</t>
        </is>
      </c>
      <c r="M5" s="8" t="inlineStr">
        <is>
          <t>100*((0.45*M)+(0.30*I)+(0.25*O))/5 when O exists; otherwise 100*((0.60*M)+(0.40*I))/5.</t>
        </is>
      </c>
      <c r="N5" s="8" t="inlineStr">
        <is>
          <t>D01 methodology/data owner</t>
        </is>
      </c>
      <c r="O5" s="8" t="inlineStr">
        <is>
          <t>PROVISIONAL—pilot validation required</t>
        </is>
      </c>
    </row>
    <row r="6">
      <c r="A6" s="8" t="inlineStr">
        <is>
          <t>D01</t>
        </is>
      </c>
      <c r="B6" s="8" t="inlineStr">
        <is>
          <t>I05</t>
        </is>
      </c>
      <c r="C6" s="8" t="inlineStr">
        <is>
          <t>Strategic Differentiation Clarity</t>
        </is>
      </c>
      <c r="D6" s="8" t="inlineStr">
        <is>
          <t>Evidence-backed future value proposition</t>
        </is>
      </c>
      <c r="E6" s="8" t="inlineStr">
        <is>
          <t>Anchor 0–5 from domain-specific maturity anchor using direct sampled practice/work evidence; do not infer maturity from policy statements alone.</t>
        </is>
      </c>
      <c r="F6" s="8" t="inlineStr">
        <is>
          <t>0–5: 0 absent; 1 isolated/person-dependent; 2 repeatable in limited areas; 3 institutionally structured; 4 broad/cross-functional and consistently operating; 5 continuously improved/scaled.</t>
        </is>
      </c>
      <c r="G6" s="8" t="inlineStr">
        <is>
          <t>Use outcome only when a legitimate measurable result exists; otherwise N/A.</t>
        </is>
      </c>
      <c r="H6" s="8" t="inlineStr">
        <is>
          <t>Only genuine mandate/context inapplicability with documented assessor approval; missing evidence is never N/A.</t>
        </is>
      </c>
      <c r="I6" s="8" t="inlineStr">
        <is>
          <t>—</t>
        </is>
      </c>
      <c r="J6" s="8" t="inlineStr">
        <is>
          <t>E0=0.20; E1=0.40; E2=0.65; E3=0.85; E4=1.00, subject to corroboration/independence adjustment. Report separately.</t>
        </is>
      </c>
      <c r="K6" s="8" t="inlineStr">
        <is>
          <t>No score uplift from claims alone; lock denominator/exclusions before results; sample verification; cross-check with adjacent domains; high scores require corroboration.</t>
        </is>
      </c>
      <c r="L6" s="8" t="inlineStr">
        <is>
          <t>Use primary-owner rule; shared evidence may validate multiple metrics but the same activity cannot be scored twice across domains.</t>
        </is>
      </c>
      <c r="M6" s="8" t="inlineStr">
        <is>
          <t>100*((0.45*M)+(0.30*I)+(0.25*O))/5 when O exists; otherwise 100*((0.60*M)+(0.40*I))/5.</t>
        </is>
      </c>
      <c r="N6" s="8" t="inlineStr">
        <is>
          <t>D01 methodology/data owner</t>
        </is>
      </c>
      <c r="O6" s="8" t="inlineStr">
        <is>
          <t>PROVISIONAL—pilot validation required</t>
        </is>
      </c>
    </row>
    <row r="7">
      <c r="A7" s="8" t="inlineStr">
        <is>
          <t>D01</t>
        </is>
      </c>
      <c r="B7" s="8" t="inlineStr">
        <is>
          <t>I06</t>
        </is>
      </c>
      <c r="C7" s="8" t="inlineStr">
        <is>
          <t>Foresight Response Architecture</t>
        </is>
      </c>
      <c r="D7" s="8" t="inlineStr">
        <is>
          <t>Detect→interpret→decide→act→learn mechanism</t>
        </is>
      </c>
      <c r="E7" s="8" t="inlineStr">
        <is>
          <t>Anchor 0–5 from domain-specific maturity anchor using direct sampled practice/work evidence; do not infer maturity from policy statements alone.</t>
        </is>
      </c>
      <c r="F7" s="8" t="inlineStr">
        <is>
          <t>0–5: 0 absent; 1 isolated/person-dependent; 2 repeatable in limited areas; 3 institutionally structured; 4 broad/cross-functional and consistently operating; 5 continuously improved/scaled.</t>
        </is>
      </c>
      <c r="G7" s="8" t="inlineStr">
        <is>
          <t>Use outcome only when a legitimate measurable result exists; otherwise N/A.</t>
        </is>
      </c>
      <c r="H7" s="8" t="inlineStr">
        <is>
          <t>Only genuine mandate/context inapplicability with documented assessor approval; missing evidence is never N/A.</t>
        </is>
      </c>
      <c r="I7" s="8" t="inlineStr">
        <is>
          <t>D01</t>
        </is>
      </c>
      <c r="J7" s="8" t="inlineStr">
        <is>
          <t>E0=0.20; E1=0.40; E2=0.65; E3=0.85; E4=1.00, subject to corroboration/independence adjustment. Report separately.</t>
        </is>
      </c>
      <c r="K7" s="8" t="inlineStr">
        <is>
          <t>No score uplift from claims alone; lock denominator/exclusions before results; sample verification; cross-check with adjacent domains; high scores require corroboration.</t>
        </is>
      </c>
      <c r="L7" s="8" t="inlineStr">
        <is>
          <t>Use primary-owner rule; shared evidence may validate multiple metrics but the same activity cannot be scored twice across domains.</t>
        </is>
      </c>
      <c r="M7" s="8" t="inlineStr">
        <is>
          <t>100*((0.45*M)+(0.30*I)+(0.25*O))/5 when O exists; otherwise 100*((0.60*M)+(0.40*I))/5.</t>
        </is>
      </c>
      <c r="N7" s="8" t="inlineStr">
        <is>
          <t>D01 methodology/data owner</t>
        </is>
      </c>
      <c r="O7" s="8" t="inlineStr">
        <is>
          <t>PROVISIONAL—pilot validation required</t>
        </is>
      </c>
    </row>
    <row r="8">
      <c r="A8" s="8" t="inlineStr">
        <is>
          <t>D01</t>
        </is>
      </c>
      <c r="B8" s="8" t="inlineStr">
        <is>
          <t>I07</t>
        </is>
      </c>
      <c r="C8" s="8" t="inlineStr">
        <is>
          <t>Resource Alignment</t>
        </is>
      </c>
      <c r="D8" s="8" t="inlineStr">
        <is>
          <t>Strategic priority vs resource movement</t>
        </is>
      </c>
      <c r="E8" s="8" t="inlineStr">
        <is>
          <t>Anchor 0–5 from domain-specific maturity anchor using direct sampled practice/work evidence; do not infer maturity from policy statements alone.</t>
        </is>
      </c>
      <c r="F8" s="8" t="inlineStr">
        <is>
          <t>0–5: 0 absent; 1 isolated/person-dependent; 2 repeatable in limited areas; 3 institutionally structured; 4 broad/cross-functional and consistently operating; 5 continuously improved/scaled.</t>
        </is>
      </c>
      <c r="G8" s="8" t="inlineStr">
        <is>
          <t>Use outcome only when a legitimate measurable result exists; otherwise N/A.</t>
        </is>
      </c>
      <c r="H8" s="8" t="inlineStr">
        <is>
          <t>Only genuine mandate/context inapplicability with documented assessor approval; missing evidence is never N/A.</t>
        </is>
      </c>
      <c r="I8" s="8" t="inlineStr">
        <is>
          <t>—</t>
        </is>
      </c>
      <c r="J8" s="8" t="inlineStr">
        <is>
          <t>E0=0.20; E1=0.40; E2=0.65; E3=0.85; E4=1.00, subject to corroboration/independence adjustment. Report separately.</t>
        </is>
      </c>
      <c r="K8" s="8" t="inlineStr">
        <is>
          <t>No score uplift from claims alone; lock denominator/exclusions before results; sample verification; cross-check with adjacent domains; high scores require corroboration.</t>
        </is>
      </c>
      <c r="L8" s="8" t="inlineStr">
        <is>
          <t>Use primary-owner rule; shared evidence may validate multiple metrics but the same activity cannot be scored twice across domains.</t>
        </is>
      </c>
      <c r="M8" s="8" t="inlineStr">
        <is>
          <t>100*((0.45*M)+(0.30*I)+(0.25*O))/5 when O exists; otherwise 100*((0.60*M)+(0.40*I))/5.</t>
        </is>
      </c>
      <c r="N8" s="8" t="inlineStr">
        <is>
          <t>D01 methodology/data owner</t>
        </is>
      </c>
      <c r="O8" s="8" t="inlineStr">
        <is>
          <t>PROVISIONAL—pilot validation required</t>
        </is>
      </c>
    </row>
    <row r="9">
      <c r="A9" s="8" t="inlineStr">
        <is>
          <t>D01</t>
        </is>
      </c>
      <c r="B9" s="8" t="inlineStr">
        <is>
          <t>I08</t>
        </is>
      </c>
      <c r="C9" s="8" t="inlineStr">
        <is>
          <t>Leadership Alignment</t>
        </is>
      </c>
      <c r="D9" s="8" t="inlineStr">
        <is>
          <t>Cross-functional strategic ownership</t>
        </is>
      </c>
      <c r="E9" s="8" t="inlineStr">
        <is>
          <t>Anchor 0–5 from domain-specific maturity anchor using direct sampled practice/work evidence; do not infer maturity from policy statements alone.</t>
        </is>
      </c>
      <c r="F9" s="8" t="inlineStr">
        <is>
          <t>0–5: 0 absent; 1 isolated/person-dependent; 2 repeatable in limited areas; 3 institutionally structured; 4 broad/cross-functional and consistently operating; 5 continuously improved/scaled.</t>
        </is>
      </c>
      <c r="G9" s="8" t="inlineStr">
        <is>
          <t>Use outcome only when a legitimate measurable result exists; otherwise N/A.</t>
        </is>
      </c>
      <c r="H9" s="8" t="inlineStr">
        <is>
          <t>Only genuine mandate/context inapplicability with documented assessor approval; missing evidence is never N/A.</t>
        </is>
      </c>
      <c r="I9" s="8" t="inlineStr">
        <is>
          <t>—</t>
        </is>
      </c>
      <c r="J9" s="8" t="inlineStr">
        <is>
          <t>E0=0.20; E1=0.40; E2=0.65; E3=0.85; E4=1.00, subject to corroboration/independence adjustment. Report separately.</t>
        </is>
      </c>
      <c r="K9" s="8" t="inlineStr">
        <is>
          <t>No score uplift from claims alone; lock denominator/exclusions before results; sample verification; cross-check with adjacent domains; high scores require corroboration.</t>
        </is>
      </c>
      <c r="L9" s="8" t="inlineStr">
        <is>
          <t>Use primary-owner rule; shared evidence may validate multiple metrics but the same activity cannot be scored twice across domains.</t>
        </is>
      </c>
      <c r="M9" s="8" t="inlineStr">
        <is>
          <t>100*((0.45*M)+(0.30*I)+(0.25*O))/5 when O exists; otherwise 100*((0.60*M)+(0.40*I))/5.</t>
        </is>
      </c>
      <c r="N9" s="8" t="inlineStr">
        <is>
          <t>D01 methodology/data owner</t>
        </is>
      </c>
      <c r="O9" s="8" t="inlineStr">
        <is>
          <t>PROVISIONAL—pilot validation required</t>
        </is>
      </c>
    </row>
    <row r="10">
      <c r="A10" s="8" t="inlineStr">
        <is>
          <t>D01</t>
        </is>
      </c>
      <c r="B10" s="8" t="inlineStr">
        <is>
          <t>I09</t>
        </is>
      </c>
      <c r="C10" s="8" t="inlineStr">
        <is>
          <t>Experimentation Effectiveness</t>
        </is>
      </c>
      <c r="D10" s="8" t="inlineStr">
        <is>
          <t>Pilot evaluation, scaling/stopping and learning</t>
        </is>
      </c>
      <c r="E10" s="8" t="inlineStr">
        <is>
          <t>Anchor 0–5 from domain-specific maturity anchor using direct sampled practice/work evidence; do not infer maturity from policy statements alone.</t>
        </is>
      </c>
      <c r="F10" s="8" t="inlineStr">
        <is>
          <t>0–5: 0 absent; 1 isolated/person-dependent; 2 repeatable in limited areas; 3 institutionally structured; 4 broad/cross-functional and consistently operating; 5 continuously improved/scaled.</t>
        </is>
      </c>
      <c r="G10" s="8" t="inlineStr">
        <is>
          <t>Use outcome only when a legitimate measurable result exists; otherwise N/A.</t>
        </is>
      </c>
      <c r="H10" s="8" t="inlineStr">
        <is>
          <t>Only genuine mandate/context inapplicability with documented assessor approval; missing evidence is never N/A.</t>
        </is>
      </c>
      <c r="I10" s="8" t="inlineStr">
        <is>
          <t>D01</t>
        </is>
      </c>
      <c r="J10" s="8" t="inlineStr">
        <is>
          <t>E0=0.20; E1=0.40; E2=0.65; E3=0.85; E4=1.00, subject to corroboration/independence adjustment. Report separately.</t>
        </is>
      </c>
      <c r="K10" s="8" t="inlineStr">
        <is>
          <t>No score uplift from claims alone; lock denominator/exclusions before results; sample verification; cross-check with adjacent domains; high scores require corroboration.</t>
        </is>
      </c>
      <c r="L10" s="8" t="inlineStr">
        <is>
          <t>Use primary-owner rule; shared evidence may validate multiple metrics but the same activity cannot be scored twice across domains.</t>
        </is>
      </c>
      <c r="M10" s="8" t="inlineStr">
        <is>
          <t>100*((0.45*M)+(0.30*I)+(0.25*O))/5 when O exists; otherwise 100*((0.60*M)+(0.40*I))/5.</t>
        </is>
      </c>
      <c r="N10" s="8" t="inlineStr">
        <is>
          <t>D01 methodology/data owner</t>
        </is>
      </c>
      <c r="O10" s="8" t="inlineStr">
        <is>
          <t>PROVISIONAL—pilot validation required</t>
        </is>
      </c>
    </row>
    <row r="11">
      <c r="A11" s="8" t="inlineStr">
        <is>
          <t>D01</t>
        </is>
      </c>
      <c r="B11" s="8" t="inlineStr">
        <is>
          <t>I10</t>
        </is>
      </c>
      <c r="C11" s="8" t="inlineStr">
        <is>
          <t>Strategic Learning Rate</t>
        </is>
      </c>
      <c r="D11" s="8" t="inlineStr">
        <is>
          <t>Strategy changes after evidence/review</t>
        </is>
      </c>
      <c r="E11" s="8" t="inlineStr">
        <is>
          <t>Anchor 0–5 from domain-specific maturity anchor using direct sampled practice/work evidence; do not infer maturity from policy statements alone.</t>
        </is>
      </c>
      <c r="F11" s="8" t="inlineStr">
        <is>
          <t>0–5: 0 absent; 1 isolated/person-dependent; 2 repeatable in limited areas; 3 institutionally structured; 4 broad/cross-functional and consistently operating; 5 continuously improved/scaled.</t>
        </is>
      </c>
      <c r="G11" s="8" t="inlineStr">
        <is>
          <t>Use outcome only when a legitimate measurable result exists; otherwise N/A.</t>
        </is>
      </c>
      <c r="H11" s="8" t="inlineStr">
        <is>
          <t>Only genuine mandate/context inapplicability with documented assessor approval; missing evidence is never N/A.</t>
        </is>
      </c>
      <c r="I11" s="8" t="inlineStr">
        <is>
          <t>—</t>
        </is>
      </c>
      <c r="J11" s="8" t="inlineStr">
        <is>
          <t>E0=0.20; E1=0.40; E2=0.65; E3=0.85; E4=1.00, subject to corroboration/independence adjustment. Report separately.</t>
        </is>
      </c>
      <c r="K11" s="8" t="inlineStr">
        <is>
          <t>No score uplift from claims alone; lock denominator/exclusions before results; sample verification; cross-check with adjacent domains; high scores require corroboration.</t>
        </is>
      </c>
      <c r="L11" s="8" t="inlineStr">
        <is>
          <t>Use primary-owner rule; shared evidence may validate multiple metrics but the same activity cannot be scored twice across domains.</t>
        </is>
      </c>
      <c r="M11" s="8" t="inlineStr">
        <is>
          <t>100*((0.45*M)+(0.30*I)+(0.25*O))/5 when O exists; otherwise 100*((0.60*M)+(0.40*I))/5.</t>
        </is>
      </c>
      <c r="N11" s="8" t="inlineStr">
        <is>
          <t>D01 methodology/data owner</t>
        </is>
      </c>
      <c r="O11" s="8" t="inlineStr">
        <is>
          <t>PROVISIONAL—pilot validation required</t>
        </is>
      </c>
    </row>
    <row r="12">
      <c r="A12" s="8" t="inlineStr">
        <is>
          <t>D02</t>
        </is>
      </c>
      <c r="B12" s="8" t="inlineStr">
        <is>
          <t>I01</t>
        </is>
      </c>
      <c r="C12" s="8" t="inlineStr">
        <is>
          <t>Governance Ownership</t>
        </is>
      </c>
      <c r="D12" s="8" t="inlineStr">
        <is>
          <t>Decision rights for consequential AI</t>
        </is>
      </c>
      <c r="E12" s="8" t="inlineStr">
        <is>
          <t>Anchor 0–5 from domain-specific maturity anchor using direct sampled practice/work evidence; do not infer maturity from policy statements alone.</t>
        </is>
      </c>
      <c r="F12" s="8" t="inlineStr">
        <is>
          <t>0–5: 0 absent; 1 isolated/person-dependent; 2 repeatable in limited areas; 3 institutionally structured; 4 broad/cross-functional and consistently operating; 5 continuously improved/scaled.</t>
        </is>
      </c>
      <c r="G12" s="8" t="inlineStr">
        <is>
          <t>Use outcome only when a legitimate measurable result exists; otherwise N/A.</t>
        </is>
      </c>
      <c r="H12" s="8" t="inlineStr">
        <is>
          <t>Only genuine mandate/context inapplicability with documented assessor approval; missing evidence is never N/A.</t>
        </is>
      </c>
      <c r="I12" s="8" t="inlineStr">
        <is>
          <t>D02</t>
        </is>
      </c>
      <c r="J12" s="8" t="inlineStr">
        <is>
          <t>E0=0.20; E1=0.40; E2=0.65; E3=0.85; E4=1.00, subject to corroboration/independence adjustment. Report separately.</t>
        </is>
      </c>
      <c r="K12" s="8" t="inlineStr">
        <is>
          <t>No score uplift from claims alone; lock denominator/exclusions before results; sample verification; cross-check with adjacent domains; high scores require corroboration.</t>
        </is>
      </c>
      <c r="L12" s="8" t="inlineStr">
        <is>
          <t>Use primary-owner rule; shared evidence may validate multiple metrics but the same activity cannot be scored twice across domains.</t>
        </is>
      </c>
      <c r="M12" s="8" t="inlineStr">
        <is>
          <t>100*((0.45*M)+(0.30*I)+(0.25*O))/5 when O exists; otherwise 100*((0.60*M)+(0.40*I))/5.</t>
        </is>
      </c>
      <c r="N12" s="8" t="inlineStr">
        <is>
          <t>D02 methodology/data owner</t>
        </is>
      </c>
      <c r="O12" s="8" t="inlineStr">
        <is>
          <t>PROVISIONAL—pilot validation required</t>
        </is>
      </c>
    </row>
    <row r="13">
      <c r="A13" s="8" t="inlineStr">
        <is>
          <t>D02</t>
        </is>
      </c>
      <c r="B13" s="8" t="inlineStr">
        <is>
          <t>I02</t>
        </is>
      </c>
      <c r="C13" s="8" t="inlineStr">
        <is>
          <t>Decision Architecture</t>
        </is>
      </c>
      <c r="D13" s="8" t="inlineStr">
        <is>
          <t>Approval/review/escalation workflow</t>
        </is>
      </c>
      <c r="E13" s="8" t="inlineStr">
        <is>
          <t>Anchor 0–5 from domain-specific maturity anchor using direct sampled practice/work evidence; do not infer maturity from policy statements alone.</t>
        </is>
      </c>
      <c r="F13" s="8" t="inlineStr">
        <is>
          <t>0–5: 0 absent; 1 isolated/person-dependent; 2 repeatable in limited areas; 3 institutionally structured; 4 broad/cross-functional and consistently operating; 5 continuously improved/scaled.</t>
        </is>
      </c>
      <c r="G13" s="8" t="inlineStr">
        <is>
          <t>Use outcome only when a legitimate measurable result exists; otherwise N/A.</t>
        </is>
      </c>
      <c r="H13" s="8" t="inlineStr">
        <is>
          <t>Only genuine mandate/context inapplicability with documented assessor approval; missing evidence is never N/A.</t>
        </is>
      </c>
      <c r="I13" s="8" t="inlineStr">
        <is>
          <t>D02</t>
        </is>
      </c>
      <c r="J13" s="8" t="inlineStr">
        <is>
          <t>E0=0.20; E1=0.40; E2=0.65; E3=0.85; E4=1.00, subject to corroboration/independence adjustment. Report separately.</t>
        </is>
      </c>
      <c r="K13" s="8" t="inlineStr">
        <is>
          <t>No score uplift from claims alone; lock denominator/exclusions before results; sample verification; cross-check with adjacent domains; high scores require corroboration.</t>
        </is>
      </c>
      <c r="L13" s="8" t="inlineStr">
        <is>
          <t>Use primary-owner rule; shared evidence may validate multiple metrics but the same activity cannot be scored twice across domains.</t>
        </is>
      </c>
      <c r="M13" s="8" t="inlineStr">
        <is>
          <t>100*((0.45*M)+(0.30*I)+(0.25*O))/5 when O exists; otherwise 100*((0.60*M)+(0.40*I))/5.</t>
        </is>
      </c>
      <c r="N13" s="8" t="inlineStr">
        <is>
          <t>D02 methodology/data owner</t>
        </is>
      </c>
      <c r="O13" s="8" t="inlineStr">
        <is>
          <t>PROVISIONAL—pilot validation required</t>
        </is>
      </c>
    </row>
    <row r="14">
      <c r="A14" s="8" t="inlineStr">
        <is>
          <t>D02</t>
        </is>
      </c>
      <c r="B14" s="8" t="inlineStr">
        <is>
          <t>I03</t>
        </is>
      </c>
      <c r="C14" s="8" t="inlineStr">
        <is>
          <t>Responsible AI Maturity</t>
        </is>
      </c>
      <c r="D14" s="8" t="inlineStr">
        <is>
          <t>Operational ethics, fairness, transparency, accountability</t>
        </is>
      </c>
      <c r="E14" s="8" t="inlineStr">
        <is>
          <t>Anchor 0–5 from domain-specific maturity anchor using direct sampled practice/work evidence; do not infer maturity from policy statements alone.</t>
        </is>
      </c>
      <c r="F14" s="8" t="inlineStr">
        <is>
          <t>0–5: 0 absent; 1 isolated/person-dependent; 2 repeatable in limited areas; 3 institutionally structured; 4 broad/cross-functional and consistently operating; 5 continuously improved/scaled.</t>
        </is>
      </c>
      <c r="G14" s="8" t="inlineStr">
        <is>
          <t>Use outcome only when a legitimate measurable result exists; otherwise N/A.</t>
        </is>
      </c>
      <c r="H14" s="8" t="inlineStr">
        <is>
          <t>Only genuine mandate/context inapplicability with documented assessor approval; missing evidence is never N/A.</t>
        </is>
      </c>
      <c r="I14" s="8" t="inlineStr">
        <is>
          <t>D02</t>
        </is>
      </c>
      <c r="J14" s="8" t="inlineStr">
        <is>
          <t>E0=0.20; E1=0.40; E2=0.65; E3=0.85; E4=1.00, subject to corroboration/independence adjustment. Report separately.</t>
        </is>
      </c>
      <c r="K14" s="8" t="inlineStr">
        <is>
          <t>No score uplift from claims alone; lock denominator/exclusions before results; sample verification; cross-check with adjacent domains; high scores require corroboration.</t>
        </is>
      </c>
      <c r="L14" s="8" t="inlineStr">
        <is>
          <t>Use primary-owner rule; shared evidence may validate multiple metrics but the same activity cannot be scored twice across domains.</t>
        </is>
      </c>
      <c r="M14" s="8" t="inlineStr">
        <is>
          <t>100*((0.45*M)+(0.30*I)+(0.25*O))/5 when O exists; otherwise 100*((0.60*M)+(0.40*I))/5.</t>
        </is>
      </c>
      <c r="N14" s="8" t="inlineStr">
        <is>
          <t>D02 methodology/data owner</t>
        </is>
      </c>
      <c r="O14" s="8" t="inlineStr">
        <is>
          <t>PROVISIONAL—pilot validation required</t>
        </is>
      </c>
    </row>
    <row r="15">
      <c r="A15" s="8" t="inlineStr">
        <is>
          <t>D02</t>
        </is>
      </c>
      <c r="B15" s="8" t="inlineStr">
        <is>
          <t>I04</t>
        </is>
      </c>
      <c r="C15" s="8" t="inlineStr">
        <is>
          <t>Data Governance Readiness</t>
        </is>
      </c>
      <c r="D15" s="8" t="inlineStr">
        <is>
          <t>Controls for data used by AI</t>
        </is>
      </c>
      <c r="E15" s="8" t="inlineStr">
        <is>
          <t>Anchor 0–5 from domain-specific maturity anchor using direct sampled practice/work evidence; do not infer maturity from policy statements alone.</t>
        </is>
      </c>
      <c r="F15" s="8" t="inlineStr">
        <is>
          <t>0–5: 0 absent; 1 isolated/person-dependent; 2 repeatable in limited areas; 3 institutionally structured; 4 broad/cross-functional and consistently operating; 5 continuously improved/scaled.</t>
        </is>
      </c>
      <c r="G15" s="8" t="inlineStr">
        <is>
          <t>Use outcome only when a legitimate measurable result exists; otherwise N/A.</t>
        </is>
      </c>
      <c r="H15" s="8" t="inlineStr">
        <is>
          <t>Only genuine mandate/context inapplicability with documented assessor approval; missing evidence is never N/A.</t>
        </is>
      </c>
      <c r="I15" s="8" t="inlineStr">
        <is>
          <t>D02</t>
        </is>
      </c>
      <c r="J15" s="8" t="inlineStr">
        <is>
          <t>E0=0.20; E1=0.40; E2=0.65; E3=0.85; E4=1.00, subject to corroboration/independence adjustment. Report separately.</t>
        </is>
      </c>
      <c r="K15" s="8" t="inlineStr">
        <is>
          <t>No score uplift from claims alone; lock denominator/exclusions before results; sample verification; cross-check with adjacent domains; high scores require corroboration.</t>
        </is>
      </c>
      <c r="L15" s="8" t="inlineStr">
        <is>
          <t>Use primary-owner rule; shared evidence may validate multiple metrics but the same activity cannot be scored twice across domains.</t>
        </is>
      </c>
      <c r="M15" s="8" t="inlineStr">
        <is>
          <t>100*((0.45*M)+(0.30*I)+(0.25*O))/5 when O exists; otherwise 100*((0.60*M)+(0.40*I))/5.</t>
        </is>
      </c>
      <c r="N15" s="8" t="inlineStr">
        <is>
          <t>D02 methodology/data owner</t>
        </is>
      </c>
      <c r="O15" s="8" t="inlineStr">
        <is>
          <t>PROVISIONAL—pilot validation required</t>
        </is>
      </c>
    </row>
    <row r="16">
      <c r="A16" s="8" t="inlineStr">
        <is>
          <t>D02</t>
        </is>
      </c>
      <c r="B16" s="8" t="inlineStr">
        <is>
          <t>I05</t>
        </is>
      </c>
      <c r="C16" s="8" t="inlineStr">
        <is>
          <t>Academic Integrity Governance</t>
        </is>
      </c>
      <c r="D16" s="8" t="inlineStr">
        <is>
          <t>AI-use rules and institutional response</t>
        </is>
      </c>
      <c r="E16" s="8" t="inlineStr">
        <is>
          <t>Anchor 0–5 from domain-specific maturity anchor using direct sampled practice/work evidence; do not infer maturity from policy statements alone.</t>
        </is>
      </c>
      <c r="F16" s="8" t="inlineStr">
        <is>
          <t>0–5: 0 absent; 1 isolated/person-dependent; 2 repeatable in limited areas; 3 institutionally structured; 4 broad/cross-functional and consistently operating; 5 continuously improved/scaled.</t>
        </is>
      </c>
      <c r="G16" s="8" t="inlineStr">
        <is>
          <t>Use outcome only when a legitimate measurable result exists; otherwise N/A.</t>
        </is>
      </c>
      <c r="H16" s="8" t="inlineStr">
        <is>
          <t>Only genuine mandate/context inapplicability with documented assessor approval; missing evidence is never N/A.</t>
        </is>
      </c>
      <c r="I16" s="8" t="inlineStr">
        <is>
          <t>D02</t>
        </is>
      </c>
      <c r="J16" s="8" t="inlineStr">
        <is>
          <t>E0=0.20; E1=0.40; E2=0.65; E3=0.85; E4=1.00, subject to corroboration/independence adjustment. Report separately.</t>
        </is>
      </c>
      <c r="K16" s="8" t="inlineStr">
        <is>
          <t>No score uplift from claims alone; lock denominator/exclusions before results; sample verification; cross-check with adjacent domains; high scores require corroboration.</t>
        </is>
      </c>
      <c r="L16" s="8" t="inlineStr">
        <is>
          <t>Use primary-owner rule; shared evidence may validate multiple metrics but the same activity cannot be scored twice across domains.</t>
        </is>
      </c>
      <c r="M16" s="8" t="inlineStr">
        <is>
          <t>100*((0.45*M)+(0.30*I)+(0.25*O))/5 when O exists; otherwise 100*((0.60*M)+(0.40*I))/5.</t>
        </is>
      </c>
      <c r="N16" s="8" t="inlineStr">
        <is>
          <t>D02 methodology/data owner</t>
        </is>
      </c>
      <c r="O16" s="8" t="inlineStr">
        <is>
          <t>PROVISIONAL—pilot validation required</t>
        </is>
      </c>
    </row>
    <row r="17">
      <c r="A17" s="8" t="inlineStr">
        <is>
          <t>D02</t>
        </is>
      </c>
      <c r="B17" s="8" t="inlineStr">
        <is>
          <t>I06</t>
        </is>
      </c>
      <c r="C17" s="8" t="inlineStr">
        <is>
          <t>Assessment Governance</t>
        </is>
      </c>
      <c r="D17" s="8" t="inlineStr">
        <is>
          <t>Validity/human oversight under AI</t>
        </is>
      </c>
      <c r="E17" s="8" t="inlineStr">
        <is>
          <t>Anchor 0–5 from domain-specific maturity anchor using direct sampled practice/work evidence; do not infer maturity from policy statements alone.</t>
        </is>
      </c>
      <c r="F17" s="8" t="inlineStr">
        <is>
          <t>0–5: 0 absent; 1 isolated/person-dependent; 2 repeatable in limited areas; 3 institutionally structured; 4 broad/cross-functional and consistently operating; 5 continuously improved/scaled.</t>
        </is>
      </c>
      <c r="G17" s="8" t="inlineStr">
        <is>
          <t>Use outcome only when a legitimate measurable result exists; otherwise N/A.</t>
        </is>
      </c>
      <c r="H17" s="8" t="inlineStr">
        <is>
          <t>Only genuine mandate/context inapplicability with documented assessor approval; missing evidence is never N/A.</t>
        </is>
      </c>
      <c r="I17" s="8" t="inlineStr">
        <is>
          <t>D02</t>
        </is>
      </c>
      <c r="J17" s="8" t="inlineStr">
        <is>
          <t>E0=0.20; E1=0.40; E2=0.65; E3=0.85; E4=1.00, subject to corroboration/independence adjustment. Report separately.</t>
        </is>
      </c>
      <c r="K17" s="8" t="inlineStr">
        <is>
          <t>No score uplift from claims alone; lock denominator/exclusions before results; sample verification; cross-check with adjacent domains; high scores require corroboration.</t>
        </is>
      </c>
      <c r="L17" s="8" t="inlineStr">
        <is>
          <t>Use primary-owner rule; shared evidence may validate multiple metrics but the same activity cannot be scored twice across domains.</t>
        </is>
      </c>
      <c r="M17" s="8" t="inlineStr">
        <is>
          <t>100*((0.45*M)+(0.30*I)+(0.25*O))/5 when O exists; otherwise 100*((0.60*M)+(0.40*I))/5.</t>
        </is>
      </c>
      <c r="N17" s="8" t="inlineStr">
        <is>
          <t>D02 methodology/data owner</t>
        </is>
      </c>
      <c r="O17" s="8" t="inlineStr">
        <is>
          <t>PROVISIONAL—pilot validation required</t>
        </is>
      </c>
    </row>
    <row r="18">
      <c r="A18" s="8" t="inlineStr">
        <is>
          <t>D02</t>
        </is>
      </c>
      <c r="B18" s="8" t="inlineStr">
        <is>
          <t>I07</t>
        </is>
      </c>
      <c r="C18" s="8" t="inlineStr">
        <is>
          <t>AI Risk Management</t>
        </is>
      </c>
      <c r="D18" s="8" t="inlineStr">
        <is>
          <t>Identify, assess, treat and monitor risk</t>
        </is>
      </c>
      <c r="E18" s="8" t="inlineStr">
        <is>
          <t>Anchor 0–5 from domain-specific maturity anchor using direct sampled practice/work evidence; do not infer maturity from policy statements alone.</t>
        </is>
      </c>
      <c r="F18" s="8" t="inlineStr">
        <is>
          <t>0–5: 0 absent; 1 isolated/person-dependent; 2 repeatable in limited areas; 3 institutionally structured; 4 broad/cross-functional and consistently operating; 5 continuously improved/scaled.</t>
        </is>
      </c>
      <c r="G18" s="8" t="inlineStr">
        <is>
          <t>Use outcome only when a legitimate measurable result exists; otherwise N/A.</t>
        </is>
      </c>
      <c r="H18" s="8" t="inlineStr">
        <is>
          <t>Only genuine mandate/context inapplicability with documented assessor approval; missing evidence is never N/A.</t>
        </is>
      </c>
      <c r="I18" s="8" t="inlineStr">
        <is>
          <t>—</t>
        </is>
      </c>
      <c r="J18" s="8" t="inlineStr">
        <is>
          <t>E0=0.20; E1=0.40; E2=0.65; E3=0.85; E4=1.00, subject to corroboration/independence adjustment. Report separately.</t>
        </is>
      </c>
      <c r="K18" s="8" t="inlineStr">
        <is>
          <t>No score uplift from claims alone; lock denominator/exclusions before results; sample verification; cross-check with adjacent domains; high scores require corroboration.</t>
        </is>
      </c>
      <c r="L18" s="8" t="inlineStr">
        <is>
          <t>Use primary-owner rule; shared evidence may validate multiple metrics but the same activity cannot be scored twice across domains.</t>
        </is>
      </c>
      <c r="M18" s="8" t="inlineStr">
        <is>
          <t>100*((0.45*M)+(0.30*I)+(0.25*O))/5 when O exists; otherwise 100*((0.60*M)+(0.40*I))/5.</t>
        </is>
      </c>
      <c r="N18" s="8" t="inlineStr">
        <is>
          <t>D02 methodology/data owner</t>
        </is>
      </c>
      <c r="O18" s="8" t="inlineStr">
        <is>
          <t>PROVISIONAL—pilot validation required</t>
        </is>
      </c>
    </row>
    <row r="19">
      <c r="A19" s="8" t="inlineStr">
        <is>
          <t>D02</t>
        </is>
      </c>
      <c r="B19" s="8" t="inlineStr">
        <is>
          <t>I08</t>
        </is>
      </c>
      <c r="C19" s="8" t="inlineStr">
        <is>
          <t>Incident Responsiveness</t>
        </is>
      </c>
      <c r="D19" s="8" t="inlineStr">
        <is>
          <t>Detection→action→learning</t>
        </is>
      </c>
      <c r="E19" s="8" t="inlineStr">
        <is>
          <t>Anchor 0–5 from domain-specific maturity anchor using direct sampled practice/work evidence; do not infer maturity from policy statements alone.</t>
        </is>
      </c>
      <c r="F19" s="8" t="inlineStr">
        <is>
          <t>0–5: 0 absent; 1 isolated/person-dependent; 2 repeatable in limited areas; 3 institutionally structured; 4 broad/cross-functional and consistently operating; 5 continuously improved/scaled.</t>
        </is>
      </c>
      <c r="G19" s="8" t="inlineStr">
        <is>
          <t>Use outcome only when a legitimate measurable result exists; otherwise N/A.</t>
        </is>
      </c>
      <c r="H19" s="8" t="inlineStr">
        <is>
          <t>Only genuine mandate/context inapplicability with documented assessor approval; missing evidence is never N/A.</t>
        </is>
      </c>
      <c r="I19" s="8" t="inlineStr">
        <is>
          <t>D02</t>
        </is>
      </c>
      <c r="J19" s="8" t="inlineStr">
        <is>
          <t>E0=0.20; E1=0.40; E2=0.65; E3=0.85; E4=1.00, subject to corroboration/independence adjustment. Report separately.</t>
        </is>
      </c>
      <c r="K19" s="8" t="inlineStr">
        <is>
          <t>No score uplift from claims alone; lock denominator/exclusions before results; sample verification; cross-check with adjacent domains; high scores require corroboration.</t>
        </is>
      </c>
      <c r="L19" s="8" t="inlineStr">
        <is>
          <t>Use primary-owner rule; shared evidence may validate multiple metrics but the same activity cannot be scored twice across domains.</t>
        </is>
      </c>
      <c r="M19" s="8" t="inlineStr">
        <is>
          <t>100*((0.45*M)+(0.30*I)+(0.25*O))/5 when O exists; otherwise 100*((0.60*M)+(0.40*I))/5.</t>
        </is>
      </c>
      <c r="N19" s="8" t="inlineStr">
        <is>
          <t>D02 methodology/data owner</t>
        </is>
      </c>
      <c r="O19" s="8" t="inlineStr">
        <is>
          <t>PROVISIONAL—pilot validation required</t>
        </is>
      </c>
    </row>
    <row r="20">
      <c r="A20" s="8" t="inlineStr">
        <is>
          <t>D02</t>
        </is>
      </c>
      <c r="B20" s="8" t="inlineStr">
        <is>
          <t>I09</t>
        </is>
      </c>
      <c r="C20" s="8" t="inlineStr">
        <is>
          <t>Human Accountability</t>
        </is>
      </c>
      <c r="D20" s="8" t="inlineStr">
        <is>
          <t>Review/override of consequential outputs</t>
        </is>
      </c>
      <c r="E20" s="8" t="inlineStr">
        <is>
          <t>Anchor 0–5 from domain-specific maturity anchor using direct sampled practice/work evidence; do not infer maturity from policy statements alone.</t>
        </is>
      </c>
      <c r="F20" s="8" t="inlineStr">
        <is>
          <t>0–5: 0 absent; 1 isolated/person-dependent; 2 repeatable in limited areas; 3 institutionally structured; 4 broad/cross-functional and consistently operating; 5 continuously improved/scaled.</t>
        </is>
      </c>
      <c r="G20" s="8" t="inlineStr">
        <is>
          <t>Use outcome only when a legitimate measurable result exists; otherwise N/A.</t>
        </is>
      </c>
      <c r="H20" s="8" t="inlineStr">
        <is>
          <t>Only genuine mandate/context inapplicability with documented assessor approval; missing evidence is never N/A.</t>
        </is>
      </c>
      <c r="I20" s="8" t="inlineStr">
        <is>
          <t>—</t>
        </is>
      </c>
      <c r="J20" s="8" t="inlineStr">
        <is>
          <t>E0=0.20; E1=0.40; E2=0.65; E3=0.85; E4=1.00, subject to corroboration/independence adjustment. Report separately.</t>
        </is>
      </c>
      <c r="K20" s="8" t="inlineStr">
        <is>
          <t>No score uplift from claims alone; lock denominator/exclusions before results; sample verification; cross-check with adjacent domains; high scores require corroboration.</t>
        </is>
      </c>
      <c r="L20" s="8" t="inlineStr">
        <is>
          <t>Use primary-owner rule; shared evidence may validate multiple metrics but the same activity cannot be scored twice across domains.</t>
        </is>
      </c>
      <c r="M20" s="8" t="inlineStr">
        <is>
          <t>100*((0.45*M)+(0.30*I)+(0.25*O))/5 when O exists; otherwise 100*((0.60*M)+(0.40*I))/5.</t>
        </is>
      </c>
      <c r="N20" s="8" t="inlineStr">
        <is>
          <t>D02 methodology/data owner</t>
        </is>
      </c>
      <c r="O20" s="8" t="inlineStr">
        <is>
          <t>PROVISIONAL—pilot validation required</t>
        </is>
      </c>
    </row>
    <row r="21">
      <c r="A21" s="8" t="inlineStr">
        <is>
          <t>D02</t>
        </is>
      </c>
      <c r="B21" s="8" t="inlineStr">
        <is>
          <t>I10</t>
        </is>
      </c>
      <c r="C21" s="8" t="inlineStr">
        <is>
          <t>Vendor/Tool Governance</t>
        </is>
      </c>
      <c r="D21" s="8" t="inlineStr">
        <is>
          <t>Lifecycle due diligence</t>
        </is>
      </c>
      <c r="E21" s="8" t="inlineStr">
        <is>
          <t>Anchor 0–5 from domain-specific maturity anchor using direct sampled practice/work evidence; do not infer maturity from policy statements alone.</t>
        </is>
      </c>
      <c r="F21" s="8" t="inlineStr">
        <is>
          <t>0–5: 0 absent; 1 isolated/person-dependent; 2 repeatable in limited areas; 3 institutionally structured; 4 broad/cross-functional and consistently operating; 5 continuously improved/scaled.</t>
        </is>
      </c>
      <c r="G21" s="8" t="inlineStr">
        <is>
          <t>Use outcome only when a legitimate measurable result exists; otherwise N/A.</t>
        </is>
      </c>
      <c r="H21" s="8" t="inlineStr">
        <is>
          <t>Only genuine mandate/context inapplicability with documented assessor approval; missing evidence is never N/A.</t>
        </is>
      </c>
      <c r="I21" s="8" t="inlineStr">
        <is>
          <t>D02</t>
        </is>
      </c>
      <c r="J21" s="8" t="inlineStr">
        <is>
          <t>E0=0.20; E1=0.40; E2=0.65; E3=0.85; E4=1.00, subject to corroboration/independence adjustment. Report separately.</t>
        </is>
      </c>
      <c r="K21" s="8" t="inlineStr">
        <is>
          <t>No score uplift from claims alone; lock denominator/exclusions before results; sample verification; cross-check with adjacent domains; high scores require corroboration.</t>
        </is>
      </c>
      <c r="L21" s="8" t="inlineStr">
        <is>
          <t>Use primary-owner rule; shared evidence may validate multiple metrics but the same activity cannot be scored twice across domains.</t>
        </is>
      </c>
      <c r="M21" s="8" t="inlineStr">
        <is>
          <t>100*((0.45*M)+(0.30*I)+(0.25*O))/5 when O exists; otherwise 100*((0.60*M)+(0.40*I))/5.</t>
        </is>
      </c>
      <c r="N21" s="8" t="inlineStr">
        <is>
          <t>D02 methodology/data owner</t>
        </is>
      </c>
      <c r="O21" s="8" t="inlineStr">
        <is>
          <t>PROVISIONAL—pilot validation required</t>
        </is>
      </c>
    </row>
    <row r="22">
      <c r="A22" s="8" t="inlineStr">
        <is>
          <t>D02</t>
        </is>
      </c>
      <c r="B22" s="8" t="inlineStr">
        <is>
          <t>I11</t>
        </is>
      </c>
      <c r="C22" s="8" t="inlineStr">
        <is>
          <t>IP Governance</t>
        </is>
      </c>
      <c r="D22" s="8" t="inlineStr">
        <is>
          <t>AI-related IP/copyright/authorship</t>
        </is>
      </c>
      <c r="E22" s="8" t="inlineStr">
        <is>
          <t>Anchor 0–5 from domain-specific maturity anchor using direct sampled practice/work evidence; do not infer maturity from policy statements alone.</t>
        </is>
      </c>
      <c r="F22" s="8" t="inlineStr">
        <is>
          <t>0–5: 0 absent; 1 isolated/person-dependent; 2 repeatable in limited areas; 3 institutionally structured; 4 broad/cross-functional and consistently operating; 5 continuously improved/scaled.</t>
        </is>
      </c>
      <c r="G22" s="8" t="inlineStr">
        <is>
          <t>Use outcome only when a legitimate measurable result exists; otherwise N/A.</t>
        </is>
      </c>
      <c r="H22" s="8" t="inlineStr">
        <is>
          <t>Only genuine mandate/context inapplicability with documented assessor approval; missing evidence is never N/A.</t>
        </is>
      </c>
      <c r="I22" s="8" t="inlineStr">
        <is>
          <t>—</t>
        </is>
      </c>
      <c r="J22" s="8" t="inlineStr">
        <is>
          <t>E0=0.20; E1=0.40; E2=0.65; E3=0.85; E4=1.00, subject to corroboration/independence adjustment. Report separately.</t>
        </is>
      </c>
      <c r="K22" s="8" t="inlineStr">
        <is>
          <t>No score uplift from claims alone; lock denominator/exclusions before results; sample verification; cross-check with adjacent domains; high scores require corroboration.</t>
        </is>
      </c>
      <c r="L22" s="8" t="inlineStr">
        <is>
          <t>Use primary-owner rule; shared evidence may validate multiple metrics but the same activity cannot be scored twice across domains.</t>
        </is>
      </c>
      <c r="M22" s="8" t="inlineStr">
        <is>
          <t>100*((0.45*M)+(0.30*I)+(0.25*O))/5 when O exists; otherwise 100*((0.60*M)+(0.40*I))/5.</t>
        </is>
      </c>
      <c r="N22" s="8" t="inlineStr">
        <is>
          <t>D02 methodology/data owner</t>
        </is>
      </c>
      <c r="O22" s="8" t="inlineStr">
        <is>
          <t>PROVISIONAL—pilot validation required</t>
        </is>
      </c>
    </row>
    <row r="23">
      <c r="A23" s="8" t="inlineStr">
        <is>
          <t>D02</t>
        </is>
      </c>
      <c r="B23" s="8" t="inlineStr">
        <is>
          <t>I12</t>
        </is>
      </c>
      <c r="C23" s="8" t="inlineStr">
        <is>
          <t>Research AI Governance</t>
        </is>
      </c>
      <c r="D23" s="8" t="inlineStr">
        <is>
          <t>Responsible AI in research</t>
        </is>
      </c>
      <c r="E23" s="8" t="inlineStr">
        <is>
          <t>Anchor 0–5 from domain-specific maturity anchor using direct sampled practice/work evidence; do not infer maturity from policy statements alone.</t>
        </is>
      </c>
      <c r="F23" s="8" t="inlineStr">
        <is>
          <t>0–5: 0 absent; 1 isolated/person-dependent; 2 repeatable in limited areas; 3 institutionally structured; 4 broad/cross-functional and consistently operating; 5 continuously improved/scaled.</t>
        </is>
      </c>
      <c r="G23" s="8" t="inlineStr">
        <is>
          <t>Use outcome only when a legitimate measurable result exists; otherwise N/A.</t>
        </is>
      </c>
      <c r="H23" s="8" t="inlineStr">
        <is>
          <t>Only genuine mandate/context inapplicability with documented assessor approval; missing evidence is never N/A.</t>
        </is>
      </c>
      <c r="I23" s="8" t="inlineStr">
        <is>
          <t>—</t>
        </is>
      </c>
      <c r="J23" s="8" t="inlineStr">
        <is>
          <t>E0=0.20; E1=0.40; E2=0.65; E3=0.85; E4=1.00, subject to corroboration/independence adjustment. Report separately.</t>
        </is>
      </c>
      <c r="K23" s="8" t="inlineStr">
        <is>
          <t>No score uplift from claims alone; lock denominator/exclusions before results; sample verification; cross-check with adjacent domains; high scores require corroboration.</t>
        </is>
      </c>
      <c r="L23" s="8" t="inlineStr">
        <is>
          <t>Use primary-owner rule; shared evidence may validate multiple metrics but the same activity cannot be scored twice across domains.</t>
        </is>
      </c>
      <c r="M23" s="8" t="inlineStr">
        <is>
          <t>100*((0.45*M)+(0.30*I)+(0.25*O))/5 when O exists; otherwise 100*((0.60*M)+(0.40*I))/5.</t>
        </is>
      </c>
      <c r="N23" s="8" t="inlineStr">
        <is>
          <t>D02 methodology/data owner</t>
        </is>
      </c>
      <c r="O23" s="8" t="inlineStr">
        <is>
          <t>PROVISIONAL—pilot validation required</t>
        </is>
      </c>
    </row>
    <row r="24">
      <c r="A24" s="8" t="inlineStr">
        <is>
          <t>D02</t>
        </is>
      </c>
      <c r="B24" s="8" t="inlineStr">
        <is>
          <t>I13</t>
        </is>
      </c>
      <c r="C24" s="8" t="inlineStr">
        <is>
          <t>Governance Review Adaptability</t>
        </is>
      </c>
      <c r="D24" s="8" t="inlineStr">
        <is>
          <t>Review frequency and change triggers</t>
        </is>
      </c>
      <c r="E24" s="8" t="inlineStr">
        <is>
          <t>Anchor 0–5 from domain-specific maturity anchor using direct sampled practice/work evidence; do not infer maturity from policy statements alone.</t>
        </is>
      </c>
      <c r="F24" s="8" t="inlineStr">
        <is>
          <t>0–5: 0 absent; 1 isolated/person-dependent; 2 repeatable in limited areas; 3 institutionally structured; 4 broad/cross-functional and consistently operating; 5 continuously improved/scaled.</t>
        </is>
      </c>
      <c r="G24" s="8" t="inlineStr">
        <is>
          <t>Use outcome only when a legitimate measurable result exists; otherwise N/A.</t>
        </is>
      </c>
      <c r="H24" s="8" t="inlineStr">
        <is>
          <t>Only genuine mandate/context inapplicability with documented assessor approval; missing evidence is never N/A.</t>
        </is>
      </c>
      <c r="I24" s="8" t="inlineStr">
        <is>
          <t>—</t>
        </is>
      </c>
      <c r="J24" s="8" t="inlineStr">
        <is>
          <t>E0=0.20; E1=0.40; E2=0.65; E3=0.85; E4=1.00, subject to corroboration/independence adjustment. Report separately.</t>
        </is>
      </c>
      <c r="K24" s="8" t="inlineStr">
        <is>
          <t>No score uplift from claims alone; lock denominator/exclusions before results; sample verification; cross-check with adjacent domains; high scores require corroboration.</t>
        </is>
      </c>
      <c r="L24" s="8" t="inlineStr">
        <is>
          <t>Use primary-owner rule; shared evidence may validate multiple metrics but the same activity cannot be scored twice across domains.</t>
        </is>
      </c>
      <c r="M24" s="8" t="inlineStr">
        <is>
          <t>100*((0.45*M)+(0.30*I)+(0.25*O))/5 when O exists; otherwise 100*((0.60*M)+(0.40*I))/5.</t>
        </is>
      </c>
      <c r="N24" s="8" t="inlineStr">
        <is>
          <t>D02 methodology/data owner</t>
        </is>
      </c>
      <c r="O24" s="8" t="inlineStr">
        <is>
          <t>PROVISIONAL—pilot validation required</t>
        </is>
      </c>
    </row>
    <row r="25">
      <c r="A25" s="8" t="inlineStr">
        <is>
          <t>D02</t>
        </is>
      </c>
      <c r="B25" s="8" t="inlineStr">
        <is>
          <t>I14</t>
        </is>
      </c>
      <c r="C25" s="8" t="inlineStr">
        <is>
          <t>Governance Effectiveness</t>
        </is>
      </c>
      <c r="D25" s="8" t="inlineStr">
        <is>
          <t>Functioning governance vs paper policy</t>
        </is>
      </c>
      <c r="E25" s="8" t="inlineStr">
        <is>
          <t>Anchor 0–5 from domain-specific maturity anchor using direct sampled practice/work evidence; do not infer maturity from policy statements alone.</t>
        </is>
      </c>
      <c r="F25" s="8" t="inlineStr">
        <is>
          <t>0–5: 0 absent; 1 isolated/person-dependent; 2 repeatable in limited areas; 3 institutionally structured; 4 broad/cross-functional and consistently operating; 5 continuously improved/scaled.</t>
        </is>
      </c>
      <c r="G25" s="8" t="inlineStr">
        <is>
          <t>Use outcome only when a legitimate measurable result exists; otherwise N/A.</t>
        </is>
      </c>
      <c r="H25" s="8" t="inlineStr">
        <is>
          <t>Only genuine mandate/context inapplicability with documented assessor approval; missing evidence is never N/A.</t>
        </is>
      </c>
      <c r="I25" s="8" t="inlineStr">
        <is>
          <t>D02</t>
        </is>
      </c>
      <c r="J25" s="8" t="inlineStr">
        <is>
          <t>E0=0.20; E1=0.40; E2=0.65; E3=0.85; E4=1.00, subject to corroboration/independence adjustment. Report separately.</t>
        </is>
      </c>
      <c r="K25" s="8" t="inlineStr">
        <is>
          <t>No score uplift from claims alone; lock denominator/exclusions before results; sample verification; cross-check with adjacent domains; high scores require corroboration.</t>
        </is>
      </c>
      <c r="L25" s="8" t="inlineStr">
        <is>
          <t>Use primary-owner rule; shared evidence may validate multiple metrics but the same activity cannot be scored twice across domains.</t>
        </is>
      </c>
      <c r="M25" s="8" t="inlineStr">
        <is>
          <t>100*((0.45*M)+(0.30*I)+(0.25*O))/5 when O exists; otherwise 100*((0.60*M)+(0.40*I))/5.</t>
        </is>
      </c>
      <c r="N25" s="8" t="inlineStr">
        <is>
          <t>D02 methodology/data owner</t>
        </is>
      </c>
      <c r="O25" s="8" t="inlineStr">
        <is>
          <t>PROVISIONAL—pilot validation required</t>
        </is>
      </c>
    </row>
    <row r="26">
      <c r="A26" s="8" t="inlineStr">
        <is>
          <t>D03</t>
        </is>
      </c>
      <c r="B26" s="8" t="inlineStr">
        <is>
          <t>I01</t>
        </is>
      </c>
      <c r="C26" s="8" t="inlineStr">
        <is>
          <t>Foundational Knowledge Depth</t>
        </is>
      </c>
      <c r="D26" s="8" t="inlineStr">
        <is>
          <t>Knowledge substrate for judgement</t>
        </is>
      </c>
      <c r="E26" s="8" t="inlineStr">
        <is>
          <t>Anchor 0–5 from domain-specific maturity anchor using direct sampled practice/work evidence; do not infer maturity from policy statements alone.</t>
        </is>
      </c>
      <c r="F26" s="8" t="inlineStr">
        <is>
          <t>0–5: 0 absent; 1 isolated/person-dependent; 2 repeatable in limited areas; 3 institutionally structured; 4 broad/cross-functional and consistently operating; 5 continuously improved/scaled.</t>
        </is>
      </c>
      <c r="G26" s="8" t="inlineStr">
        <is>
          <t>Use outcome only when a legitimate measurable result exists; otherwise N/A.</t>
        </is>
      </c>
      <c r="H26" s="8" t="inlineStr">
        <is>
          <t>Only genuine mandate/context inapplicability with documented assessor approval; missing evidence is never N/A.</t>
        </is>
      </c>
      <c r="I26" s="8" t="inlineStr">
        <is>
          <t>D03</t>
        </is>
      </c>
      <c r="J26" s="8" t="inlineStr">
        <is>
          <t>E0=0.20; E1=0.40; E2=0.65; E3=0.85; E4=1.00, subject to corroboration/independence adjustment. Report separately.</t>
        </is>
      </c>
      <c r="K26" s="8" t="inlineStr">
        <is>
          <t>No score uplift from claims alone; lock denominator/exclusions before results; sample verification; cross-check with adjacent domains; high scores require corroboration.</t>
        </is>
      </c>
      <c r="L26" s="8" t="inlineStr">
        <is>
          <t>Use primary-owner rule; shared evidence may validate multiple metrics but the same activity cannot be scored twice across domains.</t>
        </is>
      </c>
      <c r="M26" s="8" t="inlineStr">
        <is>
          <t>100*((0.45*M)+(0.30*I)+(0.25*O))/5 when O exists; otherwise 100*((0.60*M)+(0.40*I))/5.</t>
        </is>
      </c>
      <c r="N26" s="8" t="inlineStr">
        <is>
          <t>D03 methodology/data owner</t>
        </is>
      </c>
      <c r="O26" s="8" t="inlineStr">
        <is>
          <t>PROVISIONAL—pilot validation required</t>
        </is>
      </c>
    </row>
    <row r="27">
      <c r="A27" s="8" t="inlineStr">
        <is>
          <t>D03</t>
        </is>
      </c>
      <c r="B27" s="8" t="inlineStr">
        <is>
          <t>I02</t>
        </is>
      </c>
      <c r="C27" s="8" t="inlineStr">
        <is>
          <t>Critical Reasoning Development</t>
        </is>
      </c>
      <c r="D27" s="8" t="inlineStr">
        <is>
          <t>Development and demonstration of reasoning</t>
        </is>
      </c>
      <c r="E27" s="8" t="inlineStr">
        <is>
          <t>Anchor 0–5 from domain-specific maturity anchor using direct sampled practice/work evidence; do not infer maturity from policy statements alone.</t>
        </is>
      </c>
      <c r="F27" s="8" t="inlineStr">
        <is>
          <t>0–5: 0 absent; 1 isolated/person-dependent; 2 repeatable in limited areas; 3 institutionally structured; 4 broad/cross-functional and consistently operating; 5 continuously improved/scaled.</t>
        </is>
      </c>
      <c r="G27" s="8" t="inlineStr">
        <is>
          <t>Use outcome only when a legitimate measurable result exists; otherwise N/A.</t>
        </is>
      </c>
      <c r="H27" s="8" t="inlineStr">
        <is>
          <t>Only genuine mandate/context inapplicability with documented assessor approval; missing evidence is never N/A.</t>
        </is>
      </c>
      <c r="I27" s="8" t="inlineStr">
        <is>
          <t>D03; D03</t>
        </is>
      </c>
      <c r="J27" s="8" t="inlineStr">
        <is>
          <t>E0=0.20; E1=0.40; E2=0.65; E3=0.85; E4=1.00, subject to corroboration/independence adjustment. Report separately.</t>
        </is>
      </c>
      <c r="K27" s="8" t="inlineStr">
        <is>
          <t>No score uplift from claims alone; lock denominator/exclusions before results; sample verification; cross-check with adjacent domains; high scores require corroboration.</t>
        </is>
      </c>
      <c r="L27" s="8" t="inlineStr">
        <is>
          <t>Use primary-owner rule; shared evidence may validate multiple metrics but the same activity cannot be scored twice across domains.</t>
        </is>
      </c>
      <c r="M27" s="8" t="inlineStr">
        <is>
          <t>100*((0.45*M)+(0.30*I)+(0.25*O))/5 when O exists; otherwise 100*((0.60*M)+(0.40*I))/5.</t>
        </is>
      </c>
      <c r="N27" s="8" t="inlineStr">
        <is>
          <t>D03 methodology/data owner</t>
        </is>
      </c>
      <c r="O27" s="8" t="inlineStr">
        <is>
          <t>PROVISIONAL—pilot validation required</t>
        </is>
      </c>
    </row>
    <row r="28">
      <c r="A28" s="8" t="inlineStr">
        <is>
          <t>D03</t>
        </is>
      </c>
      <c r="B28" s="8" t="inlineStr">
        <is>
          <t>I03</t>
        </is>
      </c>
      <c r="C28" s="8" t="inlineStr">
        <is>
          <t>Question Formulation</t>
        </is>
      </c>
      <c r="D28" s="8" t="inlineStr">
        <is>
          <t>Ability to formulate meaningful inquiry</t>
        </is>
      </c>
      <c r="E28" s="8" t="inlineStr">
        <is>
          <t>Anchor 0–5 from domain-specific maturity anchor using direct sampled practice/work evidence; do not infer maturity from policy statements alone.</t>
        </is>
      </c>
      <c r="F28" s="8" t="inlineStr">
        <is>
          <t>0–5: 0 absent; 1 isolated/person-dependent; 2 repeatable in limited areas; 3 institutionally structured; 4 broad/cross-functional and consistently operating; 5 continuously improved/scaled.</t>
        </is>
      </c>
      <c r="G28" s="8" t="inlineStr">
        <is>
          <t>Use outcome only when a legitimate measurable result exists; otherwise N/A.</t>
        </is>
      </c>
      <c r="H28" s="8" t="inlineStr">
        <is>
          <t>Only genuine mandate/context inapplicability with documented assessor approval; missing evidence is never N/A.</t>
        </is>
      </c>
      <c r="I28" s="8" t="inlineStr">
        <is>
          <t>—</t>
        </is>
      </c>
      <c r="J28" s="8" t="inlineStr">
        <is>
          <t>E0=0.20; E1=0.40; E2=0.65; E3=0.85; E4=1.00, subject to corroboration/independence adjustment. Report separately.</t>
        </is>
      </c>
      <c r="K28" s="8" t="inlineStr">
        <is>
          <t>No score uplift from claims alone; lock denominator/exclusions before results; sample verification; cross-check with adjacent domains; high scores require corroboration.</t>
        </is>
      </c>
      <c r="L28" s="8" t="inlineStr">
        <is>
          <t>Use primary-owner rule; shared evidence may validate multiple metrics but the same activity cannot be scored twice across domains.</t>
        </is>
      </c>
      <c r="M28" s="8" t="inlineStr">
        <is>
          <t>100*((0.45*M)+(0.30*I)+(0.25*O))/5 when O exists; otherwise 100*((0.60*M)+(0.40*I))/5.</t>
        </is>
      </c>
      <c r="N28" s="8" t="inlineStr">
        <is>
          <t>D03 methodology/data owner</t>
        </is>
      </c>
      <c r="O28" s="8" t="inlineStr">
        <is>
          <t>PROVISIONAL—pilot validation required</t>
        </is>
      </c>
    </row>
    <row r="29">
      <c r="A29" s="8" t="inlineStr">
        <is>
          <t>D03</t>
        </is>
      </c>
      <c r="B29" s="8" t="inlineStr">
        <is>
          <t>I04</t>
        </is>
      </c>
      <c r="C29" s="8" t="inlineStr">
        <is>
          <t>Analytical Reasoning</t>
        </is>
      </c>
      <c r="D29" s="8" t="inlineStr">
        <is>
          <t>Evidence-based reasoning</t>
        </is>
      </c>
      <c r="E29" s="8" t="inlineStr">
        <is>
          <t>Anchor 0–5 from domain-specific maturity anchor using direct sampled practice/work evidence; do not infer maturity from policy statements alone.</t>
        </is>
      </c>
      <c r="F29" s="8" t="inlineStr">
        <is>
          <t>0–5: 0 absent; 1 isolated/person-dependent; 2 repeatable in limited areas; 3 institutionally structured; 4 broad/cross-functional and consistently operating; 5 continuously improved/scaled.</t>
        </is>
      </c>
      <c r="G29" s="8" t="inlineStr">
        <is>
          <t>Use outcome only when a legitimate measurable result exists; otherwise N/A.</t>
        </is>
      </c>
      <c r="H29" s="8" t="inlineStr">
        <is>
          <t>Only genuine mandate/context inapplicability with documented assessor approval; missing evidence is never N/A.</t>
        </is>
      </c>
      <c r="I29" s="8" t="inlineStr">
        <is>
          <t>D03; D03</t>
        </is>
      </c>
      <c r="J29" s="8" t="inlineStr">
        <is>
          <t>E0=0.20; E1=0.40; E2=0.65; E3=0.85; E4=1.00, subject to corroboration/independence adjustment. Report separately.</t>
        </is>
      </c>
      <c r="K29" s="8" t="inlineStr">
        <is>
          <t>No score uplift from claims alone; lock denominator/exclusions before results; sample verification; cross-check with adjacent domains; high scores require corroboration.</t>
        </is>
      </c>
      <c r="L29" s="8" t="inlineStr">
        <is>
          <t>Use primary-owner rule; shared evidence may validate multiple metrics but the same activity cannot be scored twice across domains.</t>
        </is>
      </c>
      <c r="M29" s="8" t="inlineStr">
        <is>
          <t>100*((0.45*M)+(0.30*I)+(0.25*O))/5 when O exists; otherwise 100*((0.60*M)+(0.40*I))/5.</t>
        </is>
      </c>
      <c r="N29" s="8" t="inlineStr">
        <is>
          <t>D03 methodology/data owner</t>
        </is>
      </c>
      <c r="O29" s="8" t="inlineStr">
        <is>
          <t>PROVISIONAL—pilot validation required</t>
        </is>
      </c>
    </row>
    <row r="30">
      <c r="A30" s="8" t="inlineStr">
        <is>
          <t>D03</t>
        </is>
      </c>
      <c r="B30" s="8" t="inlineStr">
        <is>
          <t>I05</t>
        </is>
      </c>
      <c r="C30" s="8" t="inlineStr">
        <is>
          <t>Problem Formulation</t>
        </is>
      </c>
      <c r="D30" s="8" t="inlineStr">
        <is>
          <t>Framing ambiguous problems</t>
        </is>
      </c>
      <c r="E30" s="8" t="inlineStr">
        <is>
          <t>Anchor 0–5 from domain-specific maturity anchor using direct sampled practice/work evidence; do not infer maturity from policy statements alone.</t>
        </is>
      </c>
      <c r="F30" s="8" t="inlineStr">
        <is>
          <t>0–5: 0 absent; 1 isolated/person-dependent; 2 repeatable in limited areas; 3 institutionally structured; 4 broad/cross-functional and consistently operating; 5 continuously improved/scaled.</t>
        </is>
      </c>
      <c r="G30" s="8" t="inlineStr">
        <is>
          <t>Use outcome only when a legitimate measurable result exists; otherwise N/A.</t>
        </is>
      </c>
      <c r="H30" s="8" t="inlineStr">
        <is>
          <t>Only genuine mandate/context inapplicability with documented assessor approval; missing evidence is never N/A.</t>
        </is>
      </c>
      <c r="I30" s="8" t="inlineStr">
        <is>
          <t>—</t>
        </is>
      </c>
      <c r="J30" s="8" t="inlineStr">
        <is>
          <t>E0=0.20; E1=0.40; E2=0.65; E3=0.85; E4=1.00, subject to corroboration/independence adjustment. Report separately.</t>
        </is>
      </c>
      <c r="K30" s="8" t="inlineStr">
        <is>
          <t>No score uplift from claims alone; lock denominator/exclusions before results; sample verification; cross-check with adjacent domains; high scores require corroboration.</t>
        </is>
      </c>
      <c r="L30" s="8" t="inlineStr">
        <is>
          <t>Use primary-owner rule; shared evidence may validate multiple metrics but the same activity cannot be scored twice across domains.</t>
        </is>
      </c>
      <c r="M30" s="8" t="inlineStr">
        <is>
          <t>100*((0.45*M)+(0.30*I)+(0.25*O))/5 when O exists; otherwise 100*((0.60*M)+(0.40*I))/5.</t>
        </is>
      </c>
      <c r="N30" s="8" t="inlineStr">
        <is>
          <t>D03 methodology/data owner</t>
        </is>
      </c>
      <c r="O30" s="8" t="inlineStr">
        <is>
          <t>PROVISIONAL—pilot validation required</t>
        </is>
      </c>
    </row>
    <row r="31">
      <c r="A31" s="8" t="inlineStr">
        <is>
          <t>D03</t>
        </is>
      </c>
      <c r="B31" s="8" t="inlineStr">
        <is>
          <t>I06</t>
        </is>
      </c>
      <c r="C31" s="8" t="inlineStr">
        <is>
          <t>Creativity &amp; Originality</t>
        </is>
      </c>
      <c r="D31" s="8" t="inlineStr">
        <is>
          <t>Creation of original value</t>
        </is>
      </c>
      <c r="E31" s="8" t="inlineStr">
        <is>
          <t>Anchor 0–5 from domain-specific maturity anchor using direct sampled practice/work evidence; do not infer maturity from policy statements alone.</t>
        </is>
      </c>
      <c r="F31" s="8" t="inlineStr">
        <is>
          <t>0–5: 0 absent; 1 isolated/person-dependent; 2 repeatable in limited areas; 3 institutionally structured; 4 broad/cross-functional and consistently operating; 5 continuously improved/scaled.</t>
        </is>
      </c>
      <c r="G31" s="8" t="inlineStr">
        <is>
          <t>Use outcome only when a legitimate measurable result exists; otherwise N/A.</t>
        </is>
      </c>
      <c r="H31" s="8" t="inlineStr">
        <is>
          <t>Only genuine mandate/context inapplicability with documented assessor approval; missing evidence is never N/A.</t>
        </is>
      </c>
      <c r="I31" s="8" t="inlineStr">
        <is>
          <t>—</t>
        </is>
      </c>
      <c r="J31" s="8" t="inlineStr">
        <is>
          <t>E0=0.20; E1=0.40; E2=0.65; E3=0.85; E4=1.00, subject to corroboration/independence adjustment. Report separately.</t>
        </is>
      </c>
      <c r="K31" s="8" t="inlineStr">
        <is>
          <t>No score uplift from claims alone; lock denominator/exclusions before results; sample verification; cross-check with adjacent domains; high scores require corroboration.</t>
        </is>
      </c>
      <c r="L31" s="8" t="inlineStr">
        <is>
          <t>Use primary-owner rule; shared evidence may validate multiple metrics but the same activity cannot be scored twice across domains.</t>
        </is>
      </c>
      <c r="M31" s="8" t="inlineStr">
        <is>
          <t>100*((0.45*M)+(0.30*I)+(0.25*O))/5 when O exists; otherwise 100*((0.60*M)+(0.40*I))/5.</t>
        </is>
      </c>
      <c r="N31" s="8" t="inlineStr">
        <is>
          <t>D03 methodology/data owner</t>
        </is>
      </c>
      <c r="O31" s="8" t="inlineStr">
        <is>
          <t>PROVISIONAL—pilot validation required</t>
        </is>
      </c>
    </row>
    <row r="32">
      <c r="A32" s="8" t="inlineStr">
        <is>
          <t>D03</t>
        </is>
      </c>
      <c r="B32" s="8" t="inlineStr">
        <is>
          <t>I07</t>
        </is>
      </c>
      <c r="C32" s="8" t="inlineStr">
        <is>
          <t>Judgement Capability</t>
        </is>
      </c>
      <c r="D32" s="8" t="inlineStr">
        <is>
          <t>Contextual/professional/ethical decisions</t>
        </is>
      </c>
      <c r="E32" s="8" t="inlineStr">
        <is>
          <t>Anchor 0–5 from domain-specific maturity anchor using direct sampled practice/work evidence; do not infer maturity from policy statements alone.</t>
        </is>
      </c>
      <c r="F32" s="8" t="inlineStr">
        <is>
          <t>0–5: 0 absent; 1 isolated/person-dependent; 2 repeatable in limited areas; 3 institutionally structured; 4 broad/cross-functional and consistently operating; 5 continuously improved/scaled.</t>
        </is>
      </c>
      <c r="G32" s="8" t="inlineStr">
        <is>
          <t>Use outcome only when a legitimate measurable result exists; otherwise N/A.</t>
        </is>
      </c>
      <c r="H32" s="8" t="inlineStr">
        <is>
          <t>Only genuine mandate/context inapplicability with documented assessor approval; missing evidence is never N/A.</t>
        </is>
      </c>
      <c r="I32" s="8" t="inlineStr">
        <is>
          <t>D03; D03</t>
        </is>
      </c>
      <c r="J32" s="8" t="inlineStr">
        <is>
          <t>E0=0.20; E1=0.40; E2=0.65; E3=0.85; E4=1.00, subject to corroboration/independence adjustment. Report separately.</t>
        </is>
      </c>
      <c r="K32" s="8" t="inlineStr">
        <is>
          <t>No score uplift from claims alone; lock denominator/exclusions before results; sample verification; cross-check with adjacent domains; high scores require corroboration.</t>
        </is>
      </c>
      <c r="L32" s="8" t="inlineStr">
        <is>
          <t>Use primary-owner rule; shared evidence may validate multiple metrics but the same activity cannot be scored twice across domains.</t>
        </is>
      </c>
      <c r="M32" s="8" t="inlineStr">
        <is>
          <t>100*((0.45*M)+(0.30*I)+(0.25*O))/5 when O exists; otherwise 100*((0.60*M)+(0.40*I))/5.</t>
        </is>
      </c>
      <c r="N32" s="8" t="inlineStr">
        <is>
          <t>D03 methodology/data owner</t>
        </is>
      </c>
      <c r="O32" s="8" t="inlineStr">
        <is>
          <t>PROVISIONAL—pilot validation required</t>
        </is>
      </c>
    </row>
    <row r="33">
      <c r="A33" s="8" t="inlineStr">
        <is>
          <t>D03</t>
        </is>
      </c>
      <c r="B33" s="8" t="inlineStr">
        <is>
          <t>I08</t>
        </is>
      </c>
      <c r="C33" s="8" t="inlineStr">
        <is>
          <t>AI Verification Capability</t>
        </is>
      </c>
      <c r="D33" s="8" t="inlineStr">
        <is>
          <t>Challenge, verify, contextualise AI output</t>
        </is>
      </c>
      <c r="E33" s="8" t="inlineStr">
        <is>
          <t>Anchor 0–5 from domain-specific maturity anchor using direct sampled practice/work evidence; do not infer maturity from policy statements alone.</t>
        </is>
      </c>
      <c r="F33" s="8" t="inlineStr">
        <is>
          <t>0–5: 0 absent; 1 isolated/person-dependent; 2 repeatable in limited areas; 3 institutionally structured; 4 broad/cross-functional and consistently operating; 5 continuously improved/scaled.</t>
        </is>
      </c>
      <c r="G33" s="8" t="inlineStr">
        <is>
          <t>Use outcome only when a legitimate measurable result exists; otherwise N/A.</t>
        </is>
      </c>
      <c r="H33" s="8" t="inlineStr">
        <is>
          <t>Only genuine mandate/context inapplicability with documented assessor approval; missing evidence is never N/A.</t>
        </is>
      </c>
      <c r="I33" s="8" t="inlineStr">
        <is>
          <t>D03</t>
        </is>
      </c>
      <c r="J33" s="8" t="inlineStr">
        <is>
          <t>E0=0.20; E1=0.40; E2=0.65; E3=0.85; E4=1.00, subject to corroboration/independence adjustment. Report separately.</t>
        </is>
      </c>
      <c r="K33" s="8" t="inlineStr">
        <is>
          <t>No score uplift from claims alone; lock denominator/exclusions before results; sample verification; cross-check with adjacent domains; high scores require corroboration.</t>
        </is>
      </c>
      <c r="L33" s="8" t="inlineStr">
        <is>
          <t>Use primary-owner rule; shared evidence may validate multiple metrics but the same activity cannot be scored twice across domains.</t>
        </is>
      </c>
      <c r="M33" s="8" t="inlineStr">
        <is>
          <t>100*((0.45*M)+(0.30*I)+(0.25*O))/5 when O exists; otherwise 100*((0.60*M)+(0.40*I))/5.</t>
        </is>
      </c>
      <c r="N33" s="8" t="inlineStr">
        <is>
          <t>D03 methodology/data owner</t>
        </is>
      </c>
      <c r="O33" s="8" t="inlineStr">
        <is>
          <t>PROVISIONAL—pilot validation required</t>
        </is>
      </c>
    </row>
    <row r="34">
      <c r="A34" s="8" t="inlineStr">
        <is>
          <t>D03</t>
        </is>
      </c>
      <c r="B34" s="8" t="inlineStr">
        <is>
          <t>I09</t>
        </is>
      </c>
      <c r="C34" s="8" t="inlineStr">
        <is>
          <t>Metacognitive Capability</t>
        </is>
      </c>
      <c r="D34" s="8" t="inlineStr">
        <is>
          <t>Reflection and self-correction</t>
        </is>
      </c>
      <c r="E34" s="8" t="inlineStr">
        <is>
          <t>Anchor 0–5 from domain-specific maturity anchor using direct sampled practice/work evidence; do not infer maturity from policy statements alone.</t>
        </is>
      </c>
      <c r="F34" s="8" t="inlineStr">
        <is>
          <t>0–5: 0 absent; 1 isolated/person-dependent; 2 repeatable in limited areas; 3 institutionally structured; 4 broad/cross-functional and consistently operating; 5 continuously improved/scaled.</t>
        </is>
      </c>
      <c r="G34" s="8" t="inlineStr">
        <is>
          <t>Use outcome only when a legitimate measurable result exists; otherwise N/A.</t>
        </is>
      </c>
      <c r="H34" s="8" t="inlineStr">
        <is>
          <t>Only genuine mandate/context inapplicability with documented assessor approval; missing evidence is never N/A.</t>
        </is>
      </c>
      <c r="I34" s="8" t="inlineStr">
        <is>
          <t>—</t>
        </is>
      </c>
      <c r="J34" s="8" t="inlineStr">
        <is>
          <t>E0=0.20; E1=0.40; E2=0.65; E3=0.85; E4=1.00, subject to corroboration/independence adjustment. Report separately.</t>
        </is>
      </c>
      <c r="K34" s="8" t="inlineStr">
        <is>
          <t>No score uplift from claims alone; lock denominator/exclusions before results; sample verification; cross-check with adjacent domains; high scores require corroboration.</t>
        </is>
      </c>
      <c r="L34" s="8" t="inlineStr">
        <is>
          <t>Use primary-owner rule; shared evidence may validate multiple metrics but the same activity cannot be scored twice across domains.</t>
        </is>
      </c>
      <c r="M34" s="8" t="inlineStr">
        <is>
          <t>100*((0.45*M)+(0.30*I)+(0.25*O))/5 when O exists; otherwise 100*((0.60*M)+(0.40*I))/5.</t>
        </is>
      </c>
      <c r="N34" s="8" t="inlineStr">
        <is>
          <t>D03 methodology/data owner</t>
        </is>
      </c>
      <c r="O34" s="8" t="inlineStr">
        <is>
          <t>PROVISIONAL—pilot validation required</t>
        </is>
      </c>
    </row>
    <row r="35">
      <c r="A35" s="8" t="inlineStr">
        <is>
          <t>D03</t>
        </is>
      </c>
      <c r="B35" s="8" t="inlineStr">
        <is>
          <t>I10</t>
        </is>
      </c>
      <c r="C35" s="8" t="inlineStr">
        <is>
          <t>Human-AI Collaboration</t>
        </is>
      </c>
      <c r="D35" s="8" t="inlineStr">
        <is>
          <t>Appropriate task allocation and iteration</t>
        </is>
      </c>
      <c r="E35" s="8" t="inlineStr">
        <is>
          <t>Anchor 0–5 from domain-specific maturity anchor using direct sampled practice/work evidence; do not infer maturity from policy statements alone.</t>
        </is>
      </c>
      <c r="F35" s="8" t="inlineStr">
        <is>
          <t>0–5: 0 absent; 1 isolated/person-dependent; 2 repeatable in limited areas; 3 institutionally structured; 4 broad/cross-functional and consistently operating; 5 continuously improved/scaled.</t>
        </is>
      </c>
      <c r="G35" s="8" t="inlineStr">
        <is>
          <t>Use outcome only when a legitimate measurable result exists; otherwise N/A.</t>
        </is>
      </c>
      <c r="H35" s="8" t="inlineStr">
        <is>
          <t>Only genuine mandate/context inapplicability with documented assessor approval; missing evidence is never N/A.</t>
        </is>
      </c>
      <c r="I35" s="8" t="inlineStr">
        <is>
          <t>—</t>
        </is>
      </c>
      <c r="J35" s="8" t="inlineStr">
        <is>
          <t>E0=0.20; E1=0.40; E2=0.65; E3=0.85; E4=1.00, subject to corroboration/independence adjustment. Report separately.</t>
        </is>
      </c>
      <c r="K35" s="8" t="inlineStr">
        <is>
          <t>No score uplift from claims alone; lock denominator/exclusions before results; sample verification; cross-check with adjacent domains; high scores require corroboration.</t>
        </is>
      </c>
      <c r="L35" s="8" t="inlineStr">
        <is>
          <t>Use primary-owner rule; shared evidence may validate multiple metrics but the same activity cannot be scored twice across domains.</t>
        </is>
      </c>
      <c r="M35" s="8" t="inlineStr">
        <is>
          <t>100*((0.45*M)+(0.30*I)+(0.25*O))/5 when O exists; otherwise 100*((0.60*M)+(0.40*I))/5.</t>
        </is>
      </c>
      <c r="N35" s="8" t="inlineStr">
        <is>
          <t>D03 methodology/data owner</t>
        </is>
      </c>
      <c r="O35" s="8" t="inlineStr">
        <is>
          <t>PROVISIONAL—pilot validation required</t>
        </is>
      </c>
    </row>
    <row r="36">
      <c r="A36" s="8" t="inlineStr">
        <is>
          <t>D03</t>
        </is>
      </c>
      <c r="B36" s="8" t="inlineStr">
        <is>
          <t>I11</t>
        </is>
      </c>
      <c r="C36" s="8" t="inlineStr">
        <is>
          <t>Communication &amp; Defence</t>
        </is>
      </c>
      <c r="D36" s="8" t="inlineStr">
        <is>
          <t>Explain and defend reasoning</t>
        </is>
      </c>
      <c r="E36" s="8" t="inlineStr">
        <is>
          <t>Anchor 0–5 from domain-specific maturity anchor using direct sampled practice/work evidence; do not infer maturity from policy statements alone.</t>
        </is>
      </c>
      <c r="F36" s="8" t="inlineStr">
        <is>
          <t>0–5: 0 absent; 1 isolated/person-dependent; 2 repeatable in limited areas; 3 institutionally structured; 4 broad/cross-functional and consistently operating; 5 continuously improved/scaled.</t>
        </is>
      </c>
      <c r="G36" s="8" t="inlineStr">
        <is>
          <t>Use outcome only when a legitimate measurable result exists; otherwise N/A.</t>
        </is>
      </c>
      <c r="H36" s="8" t="inlineStr">
        <is>
          <t>Only genuine mandate/context inapplicability with documented assessor approval; missing evidence is never N/A.</t>
        </is>
      </c>
      <c r="I36" s="8" t="inlineStr">
        <is>
          <t>—</t>
        </is>
      </c>
      <c r="J36" s="8" t="inlineStr">
        <is>
          <t>E0=0.20; E1=0.40; E2=0.65; E3=0.85; E4=1.00, subject to corroboration/independence adjustment. Report separately.</t>
        </is>
      </c>
      <c r="K36" s="8" t="inlineStr">
        <is>
          <t>No score uplift from claims alone; lock denominator/exclusions before results; sample verification; cross-check with adjacent domains; high scores require corroboration.</t>
        </is>
      </c>
      <c r="L36" s="8" t="inlineStr">
        <is>
          <t>Use primary-owner rule; shared evidence may validate multiple metrics but the same activity cannot be scored twice across domains.</t>
        </is>
      </c>
      <c r="M36" s="8" t="inlineStr">
        <is>
          <t>100*((0.45*M)+(0.30*I)+(0.25*O))/5 when O exists; otherwise 100*((0.60*M)+(0.40*I))/5.</t>
        </is>
      </c>
      <c r="N36" s="8" t="inlineStr">
        <is>
          <t>D03 methodology/data owner</t>
        </is>
      </c>
      <c r="O36" s="8" t="inlineStr">
        <is>
          <t>PROVISIONAL—pilot validation required</t>
        </is>
      </c>
    </row>
    <row r="37">
      <c r="A37" s="8" t="inlineStr">
        <is>
          <t>D03</t>
        </is>
      </c>
      <c r="B37" s="8" t="inlineStr">
        <is>
          <t>I12</t>
        </is>
      </c>
      <c r="C37" s="8" t="inlineStr">
        <is>
          <t>Collaboration Capability</t>
        </is>
      </c>
      <c r="D37" s="8" t="inlineStr">
        <is>
          <t>Human/interdisciplinary collaboration</t>
        </is>
      </c>
      <c r="E37" s="8" t="inlineStr">
        <is>
          <t>Anchor 0–5 from domain-specific maturity anchor using direct sampled practice/work evidence; do not infer maturity from policy statements alone.</t>
        </is>
      </c>
      <c r="F37" s="8" t="inlineStr">
        <is>
          <t>0–5: 0 absent; 1 isolated/person-dependent; 2 repeatable in limited areas; 3 institutionally structured; 4 broad/cross-functional and consistently operating; 5 continuously improved/scaled.</t>
        </is>
      </c>
      <c r="G37" s="8" t="inlineStr">
        <is>
          <t>Use outcome only when a legitimate measurable result exists; otherwise N/A.</t>
        </is>
      </c>
      <c r="H37" s="8" t="inlineStr">
        <is>
          <t>Only genuine mandate/context inapplicability with documented assessor approval; missing evidence is never N/A.</t>
        </is>
      </c>
      <c r="I37" s="8" t="inlineStr">
        <is>
          <t>—</t>
        </is>
      </c>
      <c r="J37" s="8" t="inlineStr">
        <is>
          <t>E0=0.20; E1=0.40; E2=0.65; E3=0.85; E4=1.00, subject to corroboration/independence adjustment. Report separately.</t>
        </is>
      </c>
      <c r="K37" s="8" t="inlineStr">
        <is>
          <t>No score uplift from claims alone; lock denominator/exclusions before results; sample verification; cross-check with adjacent domains; high scores require corroboration.</t>
        </is>
      </c>
      <c r="L37" s="8" t="inlineStr">
        <is>
          <t>Use primary-owner rule; shared evidence may validate multiple metrics but the same activity cannot be scored twice across domains.</t>
        </is>
      </c>
      <c r="M37" s="8" t="inlineStr">
        <is>
          <t>100*((0.45*M)+(0.30*I)+(0.25*O))/5 when O exists; otherwise 100*((0.60*M)+(0.40*I))/5.</t>
        </is>
      </c>
      <c r="N37" s="8" t="inlineStr">
        <is>
          <t>D03 methodology/data owner</t>
        </is>
      </c>
      <c r="O37" s="8" t="inlineStr">
        <is>
          <t>PROVISIONAL—pilot validation required</t>
        </is>
      </c>
    </row>
    <row r="38">
      <c r="A38" s="8" t="inlineStr">
        <is>
          <t>D03</t>
        </is>
      </c>
      <c r="B38" s="8" t="inlineStr">
        <is>
          <t>I13</t>
        </is>
      </c>
      <c r="C38" s="8" t="inlineStr">
        <is>
          <t>Practical Capability</t>
        </is>
      </c>
      <c r="D38" s="8" t="inlineStr">
        <is>
          <t>Real-world/embodied competence</t>
        </is>
      </c>
      <c r="E38" s="8" t="inlineStr">
        <is>
          <t>Anchor 0–5 from domain-specific maturity anchor using direct sampled practice/work evidence; do not infer maturity from policy statements alone.</t>
        </is>
      </c>
      <c r="F38" s="8" t="inlineStr">
        <is>
          <t>0–5: 0 absent; 1 isolated/person-dependent; 2 repeatable in limited areas; 3 institutionally structured; 4 broad/cross-functional and consistently operating; 5 continuously improved/scaled.</t>
        </is>
      </c>
      <c r="G38" s="8" t="inlineStr">
        <is>
          <t>Use outcome only when a legitimate measurable result exists; otherwise N/A.</t>
        </is>
      </c>
      <c r="H38" s="8" t="inlineStr">
        <is>
          <t>Only genuine mandate/context inapplicability with documented assessor approval; missing evidence is never N/A.</t>
        </is>
      </c>
      <c r="I38" s="8" t="inlineStr">
        <is>
          <t>—</t>
        </is>
      </c>
      <c r="J38" s="8" t="inlineStr">
        <is>
          <t>E0=0.20; E1=0.40; E2=0.65; E3=0.85; E4=1.00, subject to corroboration/independence adjustment. Report separately.</t>
        </is>
      </c>
      <c r="K38" s="8" t="inlineStr">
        <is>
          <t>No score uplift from claims alone; lock denominator/exclusions before results; sample verification; cross-check with adjacent domains; high scores require corroboration.</t>
        </is>
      </c>
      <c r="L38" s="8" t="inlineStr">
        <is>
          <t>Use primary-owner rule; shared evidence may validate multiple metrics but the same activity cannot be scored twice across domains.</t>
        </is>
      </c>
      <c r="M38" s="8" t="inlineStr">
        <is>
          <t>100*((0.45*M)+(0.30*I)+(0.25*O))/5 when O exists; otherwise 100*((0.60*M)+(0.40*I))/5.</t>
        </is>
      </c>
      <c r="N38" s="8" t="inlineStr">
        <is>
          <t>D03 methodology/data owner</t>
        </is>
      </c>
      <c r="O38" s="8" t="inlineStr">
        <is>
          <t>PROVISIONAL—pilot validation required</t>
        </is>
      </c>
    </row>
    <row r="39">
      <c r="A39" s="8" t="inlineStr">
        <is>
          <t>D03</t>
        </is>
      </c>
      <c r="B39" s="8" t="inlineStr">
        <is>
          <t>I14</t>
        </is>
      </c>
      <c r="C39" s="8" t="inlineStr">
        <is>
          <t>Ethical/Social Judgement</t>
        </is>
      </c>
      <c r="D39" s="8" t="inlineStr">
        <is>
          <t>Consequences, values, responsibility</t>
        </is>
      </c>
      <c r="E39" s="8" t="inlineStr">
        <is>
          <t>Anchor 0–5 from domain-specific maturity anchor using direct sampled practice/work evidence; do not infer maturity from policy statements alone.</t>
        </is>
      </c>
      <c r="F39" s="8" t="inlineStr">
        <is>
          <t>0–5: 0 absent; 1 isolated/person-dependent; 2 repeatable in limited areas; 3 institutionally structured; 4 broad/cross-functional and consistently operating; 5 continuously improved/scaled.</t>
        </is>
      </c>
      <c r="G39" s="8" t="inlineStr">
        <is>
          <t>Use outcome only when a legitimate measurable result exists; otherwise N/A.</t>
        </is>
      </c>
      <c r="H39" s="8" t="inlineStr">
        <is>
          <t>Only genuine mandate/context inapplicability with documented assessor approval; missing evidence is never N/A.</t>
        </is>
      </c>
      <c r="I39" s="8" t="inlineStr">
        <is>
          <t>—</t>
        </is>
      </c>
      <c r="J39" s="8" t="inlineStr">
        <is>
          <t>E0=0.20; E1=0.40; E2=0.65; E3=0.85; E4=1.00, subject to corroboration/independence adjustment. Report separately.</t>
        </is>
      </c>
      <c r="K39" s="8" t="inlineStr">
        <is>
          <t>No score uplift from claims alone; lock denominator/exclusions before results; sample verification; cross-check with adjacent domains; high scores require corroboration.</t>
        </is>
      </c>
      <c r="L39" s="8" t="inlineStr">
        <is>
          <t>Use primary-owner rule; shared evidence may validate multiple metrics but the same activity cannot be scored twice across domains.</t>
        </is>
      </c>
      <c r="M39" s="8" t="inlineStr">
        <is>
          <t>100*((0.45*M)+(0.30*I)+(0.25*O))/5 when O exists; otherwise 100*((0.60*M)+(0.40*I))/5.</t>
        </is>
      </c>
      <c r="N39" s="8" t="inlineStr">
        <is>
          <t>D03 methodology/data owner</t>
        </is>
      </c>
      <c r="O39" s="8" t="inlineStr">
        <is>
          <t>PROVISIONAL—pilot validation required</t>
        </is>
      </c>
    </row>
    <row r="40">
      <c r="A40" s="8" t="inlineStr">
        <is>
          <t>D03</t>
        </is>
      </c>
      <c r="B40" s="8" t="inlineStr">
        <is>
          <t>I15</t>
        </is>
      </c>
      <c r="C40" s="8" t="inlineStr">
        <is>
          <t>Intellectual Agency</t>
        </is>
      </c>
      <c r="D40" s="8" t="inlineStr">
        <is>
          <t>Independent inquiry and challenge</t>
        </is>
      </c>
      <c r="E40" s="8" t="inlineStr">
        <is>
          <t>Anchor 0–5 from domain-specific maturity anchor using direct sampled practice/work evidence; do not infer maturity from policy statements alone.</t>
        </is>
      </c>
      <c r="F40" s="8" t="inlineStr">
        <is>
          <t>0–5: 0 absent; 1 isolated/person-dependent; 2 repeatable in limited areas; 3 institutionally structured; 4 broad/cross-functional and consistently operating; 5 continuously improved/scaled.</t>
        </is>
      </c>
      <c r="G40" s="8" t="inlineStr">
        <is>
          <t>Use outcome only when a legitimate measurable result exists; otherwise N/A.</t>
        </is>
      </c>
      <c r="H40" s="8" t="inlineStr">
        <is>
          <t>Only genuine mandate/context inapplicability with documented assessor approval; missing evidence is never N/A.</t>
        </is>
      </c>
      <c r="I40" s="8" t="inlineStr">
        <is>
          <t>—</t>
        </is>
      </c>
      <c r="J40" s="8" t="inlineStr">
        <is>
          <t>E0=0.20; E1=0.40; E2=0.65; E3=0.85; E4=1.00, subject to corroboration/independence adjustment. Report separately.</t>
        </is>
      </c>
      <c r="K40" s="8" t="inlineStr">
        <is>
          <t>No score uplift from claims alone; lock denominator/exclusions before results; sample verification; cross-check with adjacent domains; high scores require corroboration.</t>
        </is>
      </c>
      <c r="L40" s="8" t="inlineStr">
        <is>
          <t>Use primary-owner rule; shared evidence may validate multiple metrics but the same activity cannot be scored twice across domains.</t>
        </is>
      </c>
      <c r="M40" s="8" t="inlineStr">
        <is>
          <t>100*((0.45*M)+(0.30*I)+(0.25*O))/5 when O exists; otherwise 100*((0.60*M)+(0.40*I))/5.</t>
        </is>
      </c>
      <c r="N40" s="8" t="inlineStr">
        <is>
          <t>D03 methodology/data owner</t>
        </is>
      </c>
      <c r="O40" s="8" t="inlineStr">
        <is>
          <t>PROVISIONAL—pilot validation required</t>
        </is>
      </c>
    </row>
    <row r="41">
      <c r="A41" s="8" t="inlineStr">
        <is>
          <t>D03</t>
        </is>
      </c>
      <c r="B41" s="8" t="inlineStr">
        <is>
          <t>I16</t>
        </is>
      </c>
      <c r="C41" s="8" t="inlineStr">
        <is>
          <t>Transfer Capability</t>
        </is>
      </c>
      <c r="D41" s="8" t="inlineStr">
        <is>
          <t>Unfamiliar/ambiguous application</t>
        </is>
      </c>
      <c r="E41" s="8" t="inlineStr">
        <is>
          <t>Anchor 0–5 from domain-specific maturity anchor using direct sampled practice/work evidence; do not infer maturity from policy statements alone.</t>
        </is>
      </c>
      <c r="F41" s="8" t="inlineStr">
        <is>
          <t>0–5: 0 absent; 1 isolated/person-dependent; 2 repeatable in limited areas; 3 institutionally structured; 4 broad/cross-functional and consistently operating; 5 continuously improved/scaled.</t>
        </is>
      </c>
      <c r="G41" s="8" t="inlineStr">
        <is>
          <t>Use outcome only when a legitimate measurable result exists; otherwise N/A.</t>
        </is>
      </c>
      <c r="H41" s="8" t="inlineStr">
        <is>
          <t>Only genuine mandate/context inapplicability with documented assessor approval; missing evidence is never N/A.</t>
        </is>
      </c>
      <c r="I41" s="8" t="inlineStr">
        <is>
          <t>—</t>
        </is>
      </c>
      <c r="J41" s="8" t="inlineStr">
        <is>
          <t>E0=0.20; E1=0.40; E2=0.65; E3=0.85; E4=1.00, subject to corroboration/independence adjustment. Report separately.</t>
        </is>
      </c>
      <c r="K41" s="8" t="inlineStr">
        <is>
          <t>No score uplift from claims alone; lock denominator/exclusions before results; sample verification; cross-check with adjacent domains; high scores require corroboration.</t>
        </is>
      </c>
      <c r="L41" s="8" t="inlineStr">
        <is>
          <t>Use primary-owner rule; shared evidence may validate multiple metrics but the same activity cannot be scored twice across domains.</t>
        </is>
      </c>
      <c r="M41" s="8" t="inlineStr">
        <is>
          <t>100*((0.45*M)+(0.30*I)+(0.25*O))/5 when O exists; otherwise 100*((0.60*M)+(0.40*I))/5.</t>
        </is>
      </c>
      <c r="N41" s="8" t="inlineStr">
        <is>
          <t>D03 methodology/data owner</t>
        </is>
      </c>
      <c r="O41" s="8" t="inlineStr">
        <is>
          <t>PROVISIONAL—pilot validation required</t>
        </is>
      </c>
    </row>
    <row r="42">
      <c r="A42" s="8" t="inlineStr">
        <is>
          <t>D03</t>
        </is>
      </c>
      <c r="B42" s="8" t="inlineStr">
        <is>
          <t>I17</t>
        </is>
      </c>
      <c r="C42" s="8" t="inlineStr">
        <is>
          <t>Non-Technical Discipline AI Capability</t>
        </is>
      </c>
      <c r="D42" s="8" t="inlineStr">
        <is>
          <t>Discipline-relevant AI capability beyond prompting</t>
        </is>
      </c>
      <c r="E42" s="8" t="inlineStr">
        <is>
          <t>Anchor 0–5 from domain-specific maturity anchor using direct sampled practice/work evidence; do not infer maturity from policy statements alone.</t>
        </is>
      </c>
      <c r="F42" s="8" t="inlineStr">
        <is>
          <t>0–5: 0 absent; 1 isolated/person-dependent; 2 repeatable in limited areas; 3 institutionally structured; 4 broad/cross-functional and consistently operating; 5 continuously improved/scaled.</t>
        </is>
      </c>
      <c r="G42" s="8" t="inlineStr">
        <is>
          <t>Use outcome only when a legitimate measurable result exists; otherwise N/A.</t>
        </is>
      </c>
      <c r="H42" s="8" t="inlineStr">
        <is>
          <t>Only genuine mandate/context inapplicability with documented assessor approval; missing evidence is never N/A.</t>
        </is>
      </c>
      <c r="I42" s="8" t="inlineStr">
        <is>
          <t>D03</t>
        </is>
      </c>
      <c r="J42" s="8" t="inlineStr">
        <is>
          <t>E0=0.20; E1=0.40; E2=0.65; E3=0.85; E4=1.00, subject to corroboration/independence adjustment. Report separately.</t>
        </is>
      </c>
      <c r="K42" s="8" t="inlineStr">
        <is>
          <t>No score uplift from claims alone; lock denominator/exclusions before results; sample verification; cross-check with adjacent domains; high scores require corroboration.</t>
        </is>
      </c>
      <c r="L42" s="8" t="inlineStr">
        <is>
          <t>Use primary-owner rule; shared evidence may validate multiple metrics but the same activity cannot be scored twice across domains.</t>
        </is>
      </c>
      <c r="M42" s="8" t="inlineStr">
        <is>
          <t>100*((0.45*M)+(0.30*I)+(0.25*O))/5 when O exists; otherwise 100*((0.60*M)+(0.40*I))/5.</t>
        </is>
      </c>
      <c r="N42" s="8" t="inlineStr">
        <is>
          <t>D03 methodology/data owner</t>
        </is>
      </c>
      <c r="O42" s="8" t="inlineStr">
        <is>
          <t>PROVISIONAL—pilot validation required</t>
        </is>
      </c>
    </row>
    <row r="43">
      <c r="A43" s="8" t="inlineStr">
        <is>
          <t>D04</t>
        </is>
      </c>
      <c r="B43" s="8" t="inlineStr">
        <is>
          <t>I01</t>
        </is>
      </c>
      <c r="C43" s="8" t="inlineStr">
        <is>
          <t>Curriculum Sensing Maturity</t>
        </is>
      </c>
      <c r="D43" s="8" t="inlineStr">
        <is>
          <t>How systematically programme teams detect disciplinary, technological and labour-market change</t>
        </is>
      </c>
      <c r="E43" s="8" t="inlineStr">
        <is>
          <t>Anchor 0–5 from domain-specific maturity anchor using direct sampled practice/work evidence; do not infer maturity from policy statements alone.</t>
        </is>
      </c>
      <c r="F43" s="8" t="inlineStr">
        <is>
          <t>0–5: 0 absent; 1 isolated/person-dependent; 2 repeatable in limited areas; 3 institutionally structured; 4 broad/cross-functional and consistently operating; 5 continuously improved/scaled.</t>
        </is>
      </c>
      <c r="G43" s="8" t="inlineStr">
        <is>
          <t>Use outcome only when a legitimate measurable result exists; otherwise N/A.</t>
        </is>
      </c>
      <c r="H43" s="8" t="inlineStr">
        <is>
          <t>Only genuine mandate/context inapplicability with documented assessor approval; missing evidence is never N/A.</t>
        </is>
      </c>
      <c r="I43" s="8" t="inlineStr">
        <is>
          <t>—</t>
        </is>
      </c>
      <c r="J43" s="8" t="inlineStr">
        <is>
          <t>E0=0.20; E1=0.40; E2=0.65; E3=0.85; E4=1.00, subject to corroboration/independence adjustment. Report separately.</t>
        </is>
      </c>
      <c r="K43" s="8" t="inlineStr">
        <is>
          <t>No score uplift from claims alone; lock denominator/exclusions before results; sample verification; cross-check with adjacent domains; high scores require corroboration.</t>
        </is>
      </c>
      <c r="L43" s="8" t="inlineStr">
        <is>
          <t>Use primary-owner rule; shared evidence may validate multiple metrics but the same activity cannot be scored twice across domains.</t>
        </is>
      </c>
      <c r="M43" s="8" t="inlineStr">
        <is>
          <t>100*((0.45*M)+(0.30*I)+(0.25*O))/5 when O exists; otherwise 100*((0.60*M)+(0.40*I))/5.</t>
        </is>
      </c>
      <c r="N43" s="8" t="inlineStr">
        <is>
          <t>D04 methodology/data owner</t>
        </is>
      </c>
      <c r="O43" s="8" t="inlineStr">
        <is>
          <t>PROVISIONAL—pilot validation required</t>
        </is>
      </c>
    </row>
    <row r="44">
      <c r="A44" s="8" t="inlineStr">
        <is>
          <t>D04</t>
        </is>
      </c>
      <c r="B44" s="8" t="inlineStr">
        <is>
          <t>I02</t>
        </is>
      </c>
      <c r="C44" s="8" t="inlineStr">
        <is>
          <t>Future Learning Outcome Alignment</t>
        </is>
      </c>
      <c r="D44" s="8" t="inlineStr">
        <is>
          <t>Extent to which outcomes reflect future professional/human capabilities</t>
        </is>
      </c>
      <c r="E44" s="8" t="inlineStr">
        <is>
          <t>Anchor 0–5 from domain-specific maturity anchor using direct sampled practice/work evidence; do not infer maturity from policy statements alone.</t>
        </is>
      </c>
      <c r="F44" s="8" t="inlineStr">
        <is>
          <t>0–5: 0 absent; 1 isolated/person-dependent; 2 repeatable in limited areas; 3 institutionally structured; 4 broad/cross-functional and consistently operating; 5 continuously improved/scaled.</t>
        </is>
      </c>
      <c r="G44" s="8" t="inlineStr">
        <is>
          <t>Use outcome only when a legitimate measurable result exists; otherwise N/A.</t>
        </is>
      </c>
      <c r="H44" s="8" t="inlineStr">
        <is>
          <t>Only genuine mandate/context inapplicability with documented assessor approval; missing evidence is never N/A.</t>
        </is>
      </c>
      <c r="I44" s="8" t="inlineStr">
        <is>
          <t>—</t>
        </is>
      </c>
      <c r="J44" s="8" t="inlineStr">
        <is>
          <t>E0=0.20; E1=0.40; E2=0.65; E3=0.85; E4=1.00, subject to corroboration/independence adjustment. Report separately.</t>
        </is>
      </c>
      <c r="K44" s="8" t="inlineStr">
        <is>
          <t>No score uplift from claims alone; lock denominator/exclusions before results; sample verification; cross-check with adjacent domains; high scores require corroboration.</t>
        </is>
      </c>
      <c r="L44" s="8" t="inlineStr">
        <is>
          <t>Use primary-owner rule; shared evidence may validate multiple metrics but the same activity cannot be scored twice across domains.</t>
        </is>
      </c>
      <c r="M44" s="8" t="inlineStr">
        <is>
          <t>100*((0.45*M)+(0.30*I)+(0.25*O))/5 when O exists; otherwise 100*((0.60*M)+(0.40*I))/5.</t>
        </is>
      </c>
      <c r="N44" s="8" t="inlineStr">
        <is>
          <t>D04 methodology/data owner</t>
        </is>
      </c>
      <c r="O44" s="8" t="inlineStr">
        <is>
          <t>PROVISIONAL—pilot validation required</t>
        </is>
      </c>
    </row>
    <row r="45">
      <c r="A45" s="8" t="inlineStr">
        <is>
          <t>D04</t>
        </is>
      </c>
      <c r="B45" s="8" t="inlineStr">
        <is>
          <t>I03</t>
        </is>
      </c>
      <c r="C45" s="8" t="inlineStr">
        <is>
          <t>Programme Review Effectiveness</t>
        </is>
      </c>
      <c r="D45" s="8" t="inlineStr">
        <is>
          <t>Whether review produces substantive AI/future-related changes</t>
        </is>
      </c>
      <c r="E45" s="8" t="inlineStr">
        <is>
          <t>Anchor 0–5 from domain-specific maturity anchor using direct sampled practice/work evidence; do not infer maturity from policy statements alone.</t>
        </is>
      </c>
      <c r="F45" s="8" t="inlineStr">
        <is>
          <t>0–5: 0 absent; 1 isolated/person-dependent; 2 repeatable in limited areas; 3 institutionally structured; 4 broad/cross-functional and consistently operating; 5 continuously improved/scaled.</t>
        </is>
      </c>
      <c r="G45" s="8" t="inlineStr">
        <is>
          <t>Use outcome only when a legitimate measurable result exists; otherwise N/A.</t>
        </is>
      </c>
      <c r="H45" s="8" t="inlineStr">
        <is>
          <t>Only genuine mandate/context inapplicability with documented assessor approval; missing evidence is never N/A.</t>
        </is>
      </c>
      <c r="I45" s="8" t="inlineStr">
        <is>
          <t>—</t>
        </is>
      </c>
      <c r="J45" s="8" t="inlineStr">
        <is>
          <t>E0=0.20; E1=0.40; E2=0.65; E3=0.85; E4=1.00, subject to corroboration/independence adjustment. Report separately.</t>
        </is>
      </c>
      <c r="K45" s="8" t="inlineStr">
        <is>
          <t>No score uplift from claims alone; lock denominator/exclusions before results; sample verification; cross-check with adjacent domains; high scores require corroboration.</t>
        </is>
      </c>
      <c r="L45" s="8" t="inlineStr">
        <is>
          <t>Use primary-owner rule; shared evidence may validate multiple metrics but the same activity cannot be scored twice across domains.</t>
        </is>
      </c>
      <c r="M45" s="8" t="inlineStr">
        <is>
          <t>100*((0.45*M)+(0.30*I)+(0.25*O))/5 when O exists; otherwise 100*((0.60*M)+(0.40*I))/5.</t>
        </is>
      </c>
      <c r="N45" s="8" t="inlineStr">
        <is>
          <t>D04 methodology/data owner</t>
        </is>
      </c>
      <c r="O45" s="8" t="inlineStr">
        <is>
          <t>PROVISIONAL—pilot validation required</t>
        </is>
      </c>
    </row>
    <row r="46">
      <c r="A46" s="8" t="inlineStr">
        <is>
          <t>D04</t>
        </is>
      </c>
      <c r="B46" s="8" t="inlineStr">
        <is>
          <t>I04</t>
        </is>
      </c>
      <c r="C46" s="8" t="inlineStr">
        <is>
          <t>Disciplinary AI Integration Depth</t>
        </is>
      </c>
      <c r="D46" s="8" t="inlineStr">
        <is>
          <t>AI integration appropriate to discipline rather than generic AI exposure</t>
        </is>
      </c>
      <c r="E46" s="8" t="inlineStr">
        <is>
          <t>Anchor 0–5 from domain-specific maturity anchor using direct sampled practice/work evidence; do not infer maturity from policy statements alone.</t>
        </is>
      </c>
      <c r="F46" s="8" t="inlineStr">
        <is>
          <t>0–5: 0 absent; 1 isolated/person-dependent; 2 repeatable in limited areas; 3 institutionally structured; 4 broad/cross-functional and consistently operating; 5 continuously improved/scaled.</t>
        </is>
      </c>
      <c r="G46" s="8" t="inlineStr">
        <is>
          <t>Use outcome only when a legitimate measurable result exists; otherwise N/A.</t>
        </is>
      </c>
      <c r="H46" s="8" t="inlineStr">
        <is>
          <t>Only genuine mandate/context inapplicability with documented assessor approval; missing evidence is never N/A.</t>
        </is>
      </c>
      <c r="I46" s="8" t="inlineStr">
        <is>
          <t>—</t>
        </is>
      </c>
      <c r="J46" s="8" t="inlineStr">
        <is>
          <t>E0=0.20; E1=0.40; E2=0.65; E3=0.85; E4=1.00, subject to corroboration/independence adjustment. Report separately.</t>
        </is>
      </c>
      <c r="K46" s="8" t="inlineStr">
        <is>
          <t>No score uplift from claims alone; lock denominator/exclusions before results; sample verification; cross-check with adjacent domains; high scores require corroboration.</t>
        </is>
      </c>
      <c r="L46" s="8" t="inlineStr">
        <is>
          <t>Use primary-owner rule; shared evidence may validate multiple metrics but the same activity cannot be scored twice across domains.</t>
        </is>
      </c>
      <c r="M46" s="8" t="inlineStr">
        <is>
          <t>100*((0.45*M)+(0.30*I)+(0.25*O))/5 when O exists; otherwise 100*((0.60*M)+(0.40*I))/5.</t>
        </is>
      </c>
      <c r="N46" s="8" t="inlineStr">
        <is>
          <t>D04 methodology/data owner</t>
        </is>
      </c>
      <c r="O46" s="8" t="inlineStr">
        <is>
          <t>PROVISIONAL—pilot validation required</t>
        </is>
      </c>
    </row>
    <row r="47">
      <c r="A47" s="8" t="inlineStr">
        <is>
          <t>D04</t>
        </is>
      </c>
      <c r="B47" s="8" t="inlineStr">
        <is>
          <t>I05</t>
        </is>
      </c>
      <c r="C47" s="8" t="inlineStr">
        <is>
          <t>Content Obsolescence Response</t>
        </is>
      </c>
      <c r="D47" s="8" t="inlineStr">
        <is>
          <t>Speed and quality of response when content/tasks become less valuable</t>
        </is>
      </c>
      <c r="E47" s="8" t="inlineStr">
        <is>
          <t>Anchor 0–5 from domain-specific maturity anchor using direct sampled practice/work evidence; do not infer maturity from policy statements alone.</t>
        </is>
      </c>
      <c r="F47" s="8" t="inlineStr">
        <is>
          <t>0–5: 0 absent; 1 isolated/person-dependent; 2 repeatable in limited areas; 3 institutionally structured; 4 broad/cross-functional and consistently operating; 5 continuously improved/scaled.</t>
        </is>
      </c>
      <c r="G47" s="8" t="inlineStr">
        <is>
          <t>Use outcome only when a legitimate measurable result exists; otherwise N/A.</t>
        </is>
      </c>
      <c r="H47" s="8" t="inlineStr">
        <is>
          <t>Only genuine mandate/context inapplicability with documented assessor approval; missing evidence is never N/A.</t>
        </is>
      </c>
      <c r="I47" s="8" t="inlineStr">
        <is>
          <t>—</t>
        </is>
      </c>
      <c r="J47" s="8" t="inlineStr">
        <is>
          <t>E0=0.20; E1=0.40; E2=0.65; E3=0.85; E4=1.00, subject to corroboration/independence adjustment. Report separately.</t>
        </is>
      </c>
      <c r="K47" s="8" t="inlineStr">
        <is>
          <t>No score uplift from claims alone; lock denominator/exclusions before results; sample verification; cross-check with adjacent domains; high scores require corroboration.</t>
        </is>
      </c>
      <c r="L47" s="8" t="inlineStr">
        <is>
          <t>Use primary-owner rule; shared evidence may validate multiple metrics but the same activity cannot be scored twice across domains.</t>
        </is>
      </c>
      <c r="M47" s="8" t="inlineStr">
        <is>
          <t>100*((0.45*M)+(0.30*I)+(0.25*O))/5 when O exists; otherwise 100*((0.60*M)+(0.40*I))/5.</t>
        </is>
      </c>
      <c r="N47" s="8" t="inlineStr">
        <is>
          <t>D04 methodology/data owner</t>
        </is>
      </c>
      <c r="O47" s="8" t="inlineStr">
        <is>
          <t>PROVISIONAL—pilot validation required</t>
        </is>
      </c>
    </row>
    <row r="48">
      <c r="A48" s="8" t="inlineStr">
        <is>
          <t>D04</t>
        </is>
      </c>
      <c r="B48" s="8" t="inlineStr">
        <is>
          <t>I06</t>
        </is>
      </c>
      <c r="C48" s="8" t="inlineStr">
        <is>
          <t>Experiential Learning Strength</t>
        </is>
      </c>
      <c r="D48" s="8" t="inlineStr">
        <is>
          <t>Extent of projects, labs, fieldwork, practice and authentic tasks</t>
        </is>
      </c>
      <c r="E48" s="8" t="inlineStr">
        <is>
          <t>Anchor 0–5 from domain-specific maturity anchor using direct sampled practice/work evidence; do not infer maturity from policy statements alone.</t>
        </is>
      </c>
      <c r="F48" s="8" t="inlineStr">
        <is>
          <t>0–5: 0 absent; 1 isolated/person-dependent; 2 repeatable in limited areas; 3 institutionally structured; 4 broad/cross-functional and consistently operating; 5 continuously improved/scaled.</t>
        </is>
      </c>
      <c r="G48" s="8" t="inlineStr">
        <is>
          <t>Use outcome only when a legitimate measurable result exists; otherwise N/A.</t>
        </is>
      </c>
      <c r="H48" s="8" t="inlineStr">
        <is>
          <t>Only genuine mandate/context inapplicability with documented assessor approval; missing evidence is never N/A.</t>
        </is>
      </c>
      <c r="I48" s="8" t="inlineStr">
        <is>
          <t>—</t>
        </is>
      </c>
      <c r="J48" s="8" t="inlineStr">
        <is>
          <t>E0=0.20; E1=0.40; E2=0.65; E3=0.85; E4=1.00, subject to corroboration/independence adjustment. Report separately.</t>
        </is>
      </c>
      <c r="K48" s="8" t="inlineStr">
        <is>
          <t>No score uplift from claims alone; lock denominator/exclusions before results; sample verification; cross-check with adjacent domains; high scores require corroboration.</t>
        </is>
      </c>
      <c r="L48" s="8" t="inlineStr">
        <is>
          <t>Use primary-owner rule; shared evidence may validate multiple metrics but the same activity cannot be scored twice across domains.</t>
        </is>
      </c>
      <c r="M48" s="8" t="inlineStr">
        <is>
          <t>100*((0.45*M)+(0.30*I)+(0.25*O))/5 when O exists; otherwise 100*((0.60*M)+(0.40*I))/5.</t>
        </is>
      </c>
      <c r="N48" s="8" t="inlineStr">
        <is>
          <t>D04 methodology/data owner</t>
        </is>
      </c>
      <c r="O48" s="8" t="inlineStr">
        <is>
          <t>PROVISIONAL—pilot validation required</t>
        </is>
      </c>
    </row>
    <row r="49">
      <c r="A49" s="8" t="inlineStr">
        <is>
          <t>D04</t>
        </is>
      </c>
      <c r="B49" s="8" t="inlineStr">
        <is>
          <t>I07</t>
        </is>
      </c>
      <c r="C49" s="8" t="inlineStr">
        <is>
          <t>Interdisciplinary Flexibility</t>
        </is>
      </c>
      <c r="D49" s="8" t="inlineStr">
        <is>
          <t>Ability for students to learn/work across boundaries</t>
        </is>
      </c>
      <c r="E49" s="8" t="inlineStr">
        <is>
          <t>Anchor 0–5 from domain-specific maturity anchor using direct sampled practice/work evidence; do not infer maturity from policy statements alone.</t>
        </is>
      </c>
      <c r="F49" s="8" t="inlineStr">
        <is>
          <t>0–5: 0 absent; 1 isolated/person-dependent; 2 repeatable in limited areas; 3 institutionally structured; 4 broad/cross-functional and consistently operating; 5 continuously improved/scaled.</t>
        </is>
      </c>
      <c r="G49" s="8" t="inlineStr">
        <is>
          <t>Use outcome only when a legitimate measurable result exists; otherwise N/A.</t>
        </is>
      </c>
      <c r="H49" s="8" t="inlineStr">
        <is>
          <t>Only genuine mandate/context inapplicability with documented assessor approval; missing evidence is never N/A.</t>
        </is>
      </c>
      <c r="I49" s="8" t="inlineStr">
        <is>
          <t>—</t>
        </is>
      </c>
      <c r="J49" s="8" t="inlineStr">
        <is>
          <t>E0=0.20; E1=0.40; E2=0.65; E3=0.85; E4=1.00, subject to corroboration/independence adjustment. Report separately.</t>
        </is>
      </c>
      <c r="K49" s="8" t="inlineStr">
        <is>
          <t>No score uplift from claims alone; lock denominator/exclusions before results; sample verification; cross-check with adjacent domains; high scores require corroboration.</t>
        </is>
      </c>
      <c r="L49" s="8" t="inlineStr">
        <is>
          <t>Use primary-owner rule; shared evidence may validate multiple metrics but the same activity cannot be scored twice across domains.</t>
        </is>
      </c>
      <c r="M49" s="8" t="inlineStr">
        <is>
          <t>100*((0.45*M)+(0.30*I)+(0.25*O))/5 when O exists; otherwise 100*((0.60*M)+(0.40*I))/5.</t>
        </is>
      </c>
      <c r="N49" s="8" t="inlineStr">
        <is>
          <t>D04 methodology/data owner</t>
        </is>
      </c>
      <c r="O49" s="8" t="inlineStr">
        <is>
          <t>PROVISIONAL—pilot validation required</t>
        </is>
      </c>
    </row>
    <row r="50">
      <c r="A50" s="8" t="inlineStr">
        <is>
          <t>D04</t>
        </is>
      </c>
      <c r="B50" s="8" t="inlineStr">
        <is>
          <t>I08</t>
        </is>
      </c>
      <c r="C50" s="8" t="inlineStr">
        <is>
          <t>Programme Agility</t>
        </is>
      </c>
      <c r="D50" s="8" t="inlineStr">
        <is>
          <t>Ability to modify modules, electives, pathways and learning experiences</t>
        </is>
      </c>
      <c r="E50" s="8" t="inlineStr">
        <is>
          <t>Anchor 0–5 from domain-specific maturity anchor using direct sampled practice/work evidence; do not infer maturity from policy statements alone.</t>
        </is>
      </c>
      <c r="F50" s="8" t="inlineStr">
        <is>
          <t>0–5: 0 absent; 1 isolated/person-dependent; 2 repeatable in limited areas; 3 institutionally structured; 4 broad/cross-functional and consistently operating; 5 continuously improved/scaled.</t>
        </is>
      </c>
      <c r="G50" s="8" t="inlineStr">
        <is>
          <t>Use outcome only when a legitimate measurable result exists; otherwise N/A.</t>
        </is>
      </c>
      <c r="H50" s="8" t="inlineStr">
        <is>
          <t>Only genuine mandate/context inapplicability with documented assessor approval; missing evidence is never N/A.</t>
        </is>
      </c>
      <c r="I50" s="8" t="inlineStr">
        <is>
          <t>—</t>
        </is>
      </c>
      <c r="J50" s="8" t="inlineStr">
        <is>
          <t>E0=0.20; E1=0.40; E2=0.65; E3=0.85; E4=1.00, subject to corroboration/independence adjustment. Report separately.</t>
        </is>
      </c>
      <c r="K50" s="8" t="inlineStr">
        <is>
          <t>No score uplift from claims alone; lock denominator/exclusions before results; sample verification; cross-check with adjacent domains; high scores require corroboration.</t>
        </is>
      </c>
      <c r="L50" s="8" t="inlineStr">
        <is>
          <t>Use primary-owner rule; shared evidence may validate multiple metrics but the same activity cannot be scored twice across domains.</t>
        </is>
      </c>
      <c r="M50" s="8" t="inlineStr">
        <is>
          <t>100*((0.45*M)+(0.30*I)+(0.25*O))/5 when O exists; otherwise 100*((0.60*M)+(0.40*I))/5.</t>
        </is>
      </c>
      <c r="N50" s="8" t="inlineStr">
        <is>
          <t>D04 methodology/data owner</t>
        </is>
      </c>
      <c r="O50" s="8" t="inlineStr">
        <is>
          <t>PROVISIONAL—pilot validation required</t>
        </is>
      </c>
    </row>
    <row r="51">
      <c r="A51" s="8" t="inlineStr">
        <is>
          <t>D04</t>
        </is>
      </c>
      <c r="B51" s="8" t="inlineStr">
        <is>
          <t>I09</t>
        </is>
      </c>
      <c r="C51" s="8" t="inlineStr">
        <is>
          <t>External Validation Strength</t>
        </is>
      </c>
      <c r="D51" s="8" t="inlineStr">
        <is>
          <t>Use of employers/professionals/alumni/disciplinary experts in programme evolution</t>
        </is>
      </c>
      <c r="E51" s="8" t="inlineStr">
        <is>
          <t>Anchor 0–5 from domain-specific maturity anchor using direct sampled practice/work evidence; do not infer maturity from policy statements alone.</t>
        </is>
      </c>
      <c r="F51" s="8" t="inlineStr">
        <is>
          <t>0–5: 0 absent; 1 isolated/person-dependent; 2 repeatable in limited areas; 3 institutionally structured; 4 broad/cross-functional and consistently operating; 5 continuously improved/scaled.</t>
        </is>
      </c>
      <c r="G51" s="8" t="inlineStr">
        <is>
          <t>Use outcome only when a legitimate measurable result exists; otherwise N/A.</t>
        </is>
      </c>
      <c r="H51" s="8" t="inlineStr">
        <is>
          <t>Only genuine mandate/context inapplicability with documented assessor approval; missing evidence is never N/A.</t>
        </is>
      </c>
      <c r="I51" s="8" t="inlineStr">
        <is>
          <t>—</t>
        </is>
      </c>
      <c r="J51" s="8" t="inlineStr">
        <is>
          <t>E0=0.20; E1=0.40; E2=0.65; E3=0.85; E4=1.00, subject to corroboration/independence adjustment. Report separately.</t>
        </is>
      </c>
      <c r="K51" s="8" t="inlineStr">
        <is>
          <t>No score uplift from claims alone; lock denominator/exclusions before results; sample verification; cross-check with adjacent domains; high scores require corroboration.</t>
        </is>
      </c>
      <c r="L51" s="8" t="inlineStr">
        <is>
          <t>Use primary-owner rule; shared evidence may validate multiple metrics but the same activity cannot be scored twice across domains.</t>
        </is>
      </c>
      <c r="M51" s="8" t="inlineStr">
        <is>
          <t>100*((0.45*M)+(0.30*I)+(0.25*O))/5 when O exists; otherwise 100*((0.60*M)+(0.40*I))/5.</t>
        </is>
      </c>
      <c r="N51" s="8" t="inlineStr">
        <is>
          <t>D04 methodology/data owner</t>
        </is>
      </c>
      <c r="O51" s="8" t="inlineStr">
        <is>
          <t>PROVISIONAL—pilot validation required</t>
        </is>
      </c>
    </row>
    <row r="52">
      <c r="A52" s="8" t="inlineStr">
        <is>
          <t>D04</t>
        </is>
      </c>
      <c r="B52" s="8" t="inlineStr">
        <is>
          <t>I10</t>
        </is>
      </c>
      <c r="C52" s="8" t="inlineStr">
        <is>
          <t>External Learning Ecosystem</t>
        </is>
      </c>
      <c r="D52" s="8" t="inlineStr">
        <is>
          <t>Use of industry, research, community and external platforms as learning environments</t>
        </is>
      </c>
      <c r="E52" s="8" t="inlineStr">
        <is>
          <t>Anchor 0–5 from domain-specific maturity anchor using direct sampled practice/work evidence; do not infer maturity from policy statements alone.</t>
        </is>
      </c>
      <c r="F52" s="8" t="inlineStr">
        <is>
          <t>0–5: 0 absent; 1 isolated/person-dependent; 2 repeatable in limited areas; 3 institutionally structured; 4 broad/cross-functional and consistently operating; 5 continuously improved/scaled.</t>
        </is>
      </c>
      <c r="G52" s="8" t="inlineStr">
        <is>
          <t>Use outcome only when a legitimate measurable result exists; otherwise N/A.</t>
        </is>
      </c>
      <c r="H52" s="8" t="inlineStr">
        <is>
          <t>Only genuine mandate/context inapplicability with documented assessor approval; missing evidence is never N/A.</t>
        </is>
      </c>
      <c r="I52" s="8" t="inlineStr">
        <is>
          <t>—</t>
        </is>
      </c>
      <c r="J52" s="8" t="inlineStr">
        <is>
          <t>E0=0.20; E1=0.40; E2=0.65; E3=0.85; E4=1.00, subject to corroboration/independence adjustment. Report separately.</t>
        </is>
      </c>
      <c r="K52" s="8" t="inlineStr">
        <is>
          <t>No score uplift from claims alone; lock denominator/exclusions before results; sample verification; cross-check with adjacent domains; high scores require corroboration.</t>
        </is>
      </c>
      <c r="L52" s="8" t="inlineStr">
        <is>
          <t>Use primary-owner rule; shared evidence may validate multiple metrics but the same activity cannot be scored twice across domains.</t>
        </is>
      </c>
      <c r="M52" s="8" t="inlineStr">
        <is>
          <t>100*((0.45*M)+(0.30*I)+(0.25*O))/5 when O exists; otherwise 100*((0.60*M)+(0.40*I))/5.</t>
        </is>
      </c>
      <c r="N52" s="8" t="inlineStr">
        <is>
          <t>D04 methodology/data owner</t>
        </is>
      </c>
      <c r="O52" s="8" t="inlineStr">
        <is>
          <t>PROVISIONAL—pilot validation required</t>
        </is>
      </c>
    </row>
    <row r="53">
      <c r="A53" s="8" t="inlineStr">
        <is>
          <t>D04</t>
        </is>
      </c>
      <c r="B53" s="8" t="inlineStr">
        <is>
          <t>I11</t>
        </is>
      </c>
      <c r="C53" s="8" t="inlineStr">
        <is>
          <t>Transfer Capability</t>
        </is>
      </c>
      <c r="D53" s="8" t="inlineStr">
        <is>
          <t>Extent students apply learning to unfamiliar/real situations</t>
        </is>
      </c>
      <c r="E53" s="8" t="inlineStr">
        <is>
          <t>Anchor 0–5 from domain-specific maturity anchor using direct sampled practice/work evidence; do not infer maturity from policy statements alone.</t>
        </is>
      </c>
      <c r="F53" s="8" t="inlineStr">
        <is>
          <t>0–5: 0 absent; 1 isolated/person-dependent; 2 repeatable in limited areas; 3 institutionally structured; 4 broad/cross-functional and consistently operating; 5 continuously improved/scaled.</t>
        </is>
      </c>
      <c r="G53" s="8" t="inlineStr">
        <is>
          <t>Use outcome only when a legitimate measurable result exists; otherwise N/A.</t>
        </is>
      </c>
      <c r="H53" s="8" t="inlineStr">
        <is>
          <t>Only genuine mandate/context inapplicability with documented assessor approval; missing evidence is never N/A.</t>
        </is>
      </c>
      <c r="I53" s="8" t="inlineStr">
        <is>
          <t>—</t>
        </is>
      </c>
      <c r="J53" s="8" t="inlineStr">
        <is>
          <t>E0=0.20; E1=0.40; E2=0.65; E3=0.85; E4=1.00, subject to corroboration/independence adjustment. Report separately.</t>
        </is>
      </c>
      <c r="K53" s="8" t="inlineStr">
        <is>
          <t>No score uplift from claims alone; lock denominator/exclusions before results; sample verification; cross-check with adjacent domains; high scores require corroboration.</t>
        </is>
      </c>
      <c r="L53" s="8" t="inlineStr">
        <is>
          <t>Use primary-owner rule; shared evidence may validate multiple metrics but the same activity cannot be scored twice across domains.</t>
        </is>
      </c>
      <c r="M53" s="8" t="inlineStr">
        <is>
          <t>100*((0.45*M)+(0.30*I)+(0.25*O))/5 when O exists; otherwise 100*((0.60*M)+(0.40*I))/5.</t>
        </is>
      </c>
      <c r="N53" s="8" t="inlineStr">
        <is>
          <t>D04 methodology/data owner</t>
        </is>
      </c>
      <c r="O53" s="8" t="inlineStr">
        <is>
          <t>PROVISIONAL—pilot validation required</t>
        </is>
      </c>
    </row>
    <row r="54">
      <c r="A54" s="8" t="inlineStr">
        <is>
          <t>D04</t>
        </is>
      </c>
      <c r="B54" s="8" t="inlineStr">
        <is>
          <t>I12</t>
        </is>
      </c>
      <c r="C54" s="8" t="inlineStr">
        <is>
          <t>Portfolio Foresight</t>
        </is>
      </c>
      <c r="D54" s="8" t="inlineStr">
        <is>
          <t>Whether programme portfolio remains aligned with institutional future direction</t>
        </is>
      </c>
      <c r="E54" s="8" t="inlineStr">
        <is>
          <t>Anchor 0–5 from domain-specific maturity anchor using direct sampled practice/work evidence; do not infer maturity from policy statements alone.</t>
        </is>
      </c>
      <c r="F54" s="8" t="inlineStr">
        <is>
          <t>0–5: 0 absent; 1 isolated/person-dependent; 2 repeatable in limited areas; 3 institutionally structured; 4 broad/cross-functional and consistently operating; 5 continuously improved/scaled.</t>
        </is>
      </c>
      <c r="G54" s="8" t="inlineStr">
        <is>
          <t>Use outcome only when a legitimate measurable result exists; otherwise N/A.</t>
        </is>
      </c>
      <c r="H54" s="8" t="inlineStr">
        <is>
          <t>Only genuine mandate/context inapplicability with documented assessor approval; missing evidence is never N/A.</t>
        </is>
      </c>
      <c r="I54" s="8" t="inlineStr">
        <is>
          <t>—</t>
        </is>
      </c>
      <c r="J54" s="8" t="inlineStr">
        <is>
          <t>E0=0.20; E1=0.40; E2=0.65; E3=0.85; E4=1.00, subject to corroboration/independence adjustment. Report separately.</t>
        </is>
      </c>
      <c r="K54" s="8" t="inlineStr">
        <is>
          <t>No score uplift from claims alone; lock denominator/exclusions before results; sample verification; cross-check with adjacent domains; high scores require corroboration.</t>
        </is>
      </c>
      <c r="L54" s="8" t="inlineStr">
        <is>
          <t>Use primary-owner rule; shared evidence may validate multiple metrics but the same activity cannot be scored twice across domains.</t>
        </is>
      </c>
      <c r="M54" s="8" t="inlineStr">
        <is>
          <t>100*((0.45*M)+(0.30*I)+(0.25*O))/5 when O exists; otherwise 100*((0.60*M)+(0.40*I))/5.</t>
        </is>
      </c>
      <c r="N54" s="8" t="inlineStr">
        <is>
          <t>D04 methodology/data owner</t>
        </is>
      </c>
      <c r="O54" s="8" t="inlineStr">
        <is>
          <t>PROVISIONAL—pilot validation required</t>
        </is>
      </c>
    </row>
    <row r="55">
      <c r="A55" s="8" t="inlineStr">
        <is>
          <t>D05</t>
        </is>
      </c>
      <c r="B55" s="8" t="inlineStr">
        <is>
          <t>I01</t>
        </is>
      </c>
      <c r="C55" s="8" t="inlineStr">
        <is>
          <t>Faculty AI Literacy Maturity</t>
        </is>
      </c>
      <c r="D55" s="8" t="inlineStr">
        <is>
          <t>Ability to understand AI capabilities, limits, risks and appropriate use</t>
        </is>
      </c>
      <c r="E55" s="8" t="inlineStr">
        <is>
          <t>Anchor 0–5 from domain-specific maturity anchor using direct sampled practice/work evidence; do not infer maturity from policy statements alone.</t>
        </is>
      </c>
      <c r="F55" s="8" t="inlineStr">
        <is>
          <t>0–5: 0 absent; 1 isolated/person-dependent; 2 repeatable in limited areas; 3 institutionally structured; 4 broad/cross-functional and consistently operating; 5 continuously improved/scaled.</t>
        </is>
      </c>
      <c r="G55" s="8" t="inlineStr">
        <is>
          <t>Use outcome only when a legitimate measurable result exists; otherwise N/A.</t>
        </is>
      </c>
      <c r="H55" s="8" t="inlineStr">
        <is>
          <t>Only genuine mandate/context inapplicability with documented assessor approval; missing evidence is never N/A.</t>
        </is>
      </c>
      <c r="I55" s="8" t="inlineStr">
        <is>
          <t>—</t>
        </is>
      </c>
      <c r="J55" s="8" t="inlineStr">
        <is>
          <t>E0=0.20; E1=0.40; E2=0.65; E3=0.85; E4=1.00, subject to corroboration/independence adjustment. Report separately.</t>
        </is>
      </c>
      <c r="K55" s="8" t="inlineStr">
        <is>
          <t>No score uplift from claims alone; lock denominator/exclusions before results; sample verification; cross-check with adjacent domains; high scores require corroboration.</t>
        </is>
      </c>
      <c r="L55" s="8" t="inlineStr">
        <is>
          <t>Use primary-owner rule; shared evidence may validate multiple metrics but the same activity cannot be scored twice across domains.</t>
        </is>
      </c>
      <c r="M55" s="8" t="inlineStr">
        <is>
          <t>100*((0.45*M)+(0.30*I)+(0.25*O))/5 when O exists; otherwise 100*((0.60*M)+(0.40*I))/5.</t>
        </is>
      </c>
      <c r="N55" s="8" t="inlineStr">
        <is>
          <t>D05 methodology/data owner</t>
        </is>
      </c>
      <c r="O55" s="8" t="inlineStr">
        <is>
          <t>PROVISIONAL—pilot validation required</t>
        </is>
      </c>
    </row>
    <row r="56">
      <c r="A56" s="8" t="inlineStr">
        <is>
          <t>D05</t>
        </is>
      </c>
      <c r="B56" s="8" t="inlineStr">
        <is>
          <t>I02</t>
        </is>
      </c>
      <c r="C56" s="8" t="inlineStr">
        <is>
          <t>Discipline-Specific AI Practice</t>
        </is>
      </c>
      <c r="D56" s="8" t="inlineStr">
        <is>
          <t>Use of AI in ways meaningful to the discipline</t>
        </is>
      </c>
      <c r="E56" s="8" t="inlineStr">
        <is>
          <t>Anchor 0–5 from domain-specific maturity anchor using direct sampled practice/work evidence; do not infer maturity from policy statements alone.</t>
        </is>
      </c>
      <c r="F56" s="8" t="inlineStr">
        <is>
          <t>0–5: 0 absent; 1 isolated/person-dependent; 2 repeatable in limited areas; 3 institutionally structured; 4 broad/cross-functional and consistently operating; 5 continuously improved/scaled.</t>
        </is>
      </c>
      <c r="G56" s="8" t="inlineStr">
        <is>
          <t>Use outcome only when a legitimate measurable result exists; otherwise N/A.</t>
        </is>
      </c>
      <c r="H56" s="8" t="inlineStr">
        <is>
          <t>Only genuine mandate/context inapplicability with documented assessor approval; missing evidence is never N/A.</t>
        </is>
      </c>
      <c r="I56" s="8" t="inlineStr">
        <is>
          <t>—</t>
        </is>
      </c>
      <c r="J56" s="8" t="inlineStr">
        <is>
          <t>E0=0.20; E1=0.40; E2=0.65; E3=0.85; E4=1.00, subject to corroboration/independence adjustment. Report separately.</t>
        </is>
      </c>
      <c r="K56" s="8" t="inlineStr">
        <is>
          <t>No score uplift from claims alone; lock denominator/exclusions before results; sample verification; cross-check with adjacent domains; high scores require corroboration.</t>
        </is>
      </c>
      <c r="L56" s="8" t="inlineStr">
        <is>
          <t>Use primary-owner rule; shared evidence may validate multiple metrics but the same activity cannot be scored twice across domains.</t>
        </is>
      </c>
      <c r="M56" s="8" t="inlineStr">
        <is>
          <t>100*((0.45*M)+(0.30*I)+(0.25*O))/5 when O exists; otherwise 100*((0.60*M)+(0.40*I))/5.</t>
        </is>
      </c>
      <c r="N56" s="8" t="inlineStr">
        <is>
          <t>D05 methodology/data owner</t>
        </is>
      </c>
      <c r="O56" s="8" t="inlineStr">
        <is>
          <t>PROVISIONAL—pilot validation required</t>
        </is>
      </c>
    </row>
    <row r="57">
      <c r="A57" s="8" t="inlineStr">
        <is>
          <t>D05</t>
        </is>
      </c>
      <c r="B57" s="8" t="inlineStr">
        <is>
          <t>I03</t>
        </is>
      </c>
      <c r="C57" s="8" t="inlineStr">
        <is>
          <t>AI-Enhanced Pedagogy</t>
        </is>
      </c>
      <c r="D57" s="8" t="inlineStr">
        <is>
          <t>Ability to redesign learning around AI rather than merely add tools</t>
        </is>
      </c>
      <c r="E57" s="8" t="inlineStr">
        <is>
          <t>Anchor 0–5 from domain-specific maturity anchor using direct sampled practice/work evidence; do not infer maturity from policy statements alone.</t>
        </is>
      </c>
      <c r="F57" s="8" t="inlineStr">
        <is>
          <t>0–5: 0 absent; 1 isolated/person-dependent; 2 repeatable in limited areas; 3 institutionally structured; 4 broad/cross-functional and consistently operating; 5 continuously improved/scaled.</t>
        </is>
      </c>
      <c r="G57" s="8" t="inlineStr">
        <is>
          <t>Use outcome only when a legitimate measurable result exists; otherwise N/A.</t>
        </is>
      </c>
      <c r="H57" s="8" t="inlineStr">
        <is>
          <t>Only genuine mandate/context inapplicability with documented assessor approval; missing evidence is never N/A.</t>
        </is>
      </c>
      <c r="I57" s="8" t="inlineStr">
        <is>
          <t>—</t>
        </is>
      </c>
      <c r="J57" s="8" t="inlineStr">
        <is>
          <t>E0=0.20; E1=0.40; E2=0.65; E3=0.85; E4=1.00, subject to corroboration/independence adjustment. Report separately.</t>
        </is>
      </c>
      <c r="K57" s="8" t="inlineStr">
        <is>
          <t>No score uplift from claims alone; lock denominator/exclusions before results; sample verification; cross-check with adjacent domains; high scores require corroboration.</t>
        </is>
      </c>
      <c r="L57" s="8" t="inlineStr">
        <is>
          <t>Use primary-owner rule; shared evidence may validate multiple metrics but the same activity cannot be scored twice across domains.</t>
        </is>
      </c>
      <c r="M57" s="8" t="inlineStr">
        <is>
          <t>100*((0.45*M)+(0.30*I)+(0.25*O))/5 when O exists; otherwise 100*((0.60*M)+(0.40*I))/5.</t>
        </is>
      </c>
      <c r="N57" s="8" t="inlineStr">
        <is>
          <t>D05 methodology/data owner</t>
        </is>
      </c>
      <c r="O57" s="8" t="inlineStr">
        <is>
          <t>PROVISIONAL—pilot validation required</t>
        </is>
      </c>
    </row>
    <row r="58">
      <c r="A58" s="8" t="inlineStr">
        <is>
          <t>D05</t>
        </is>
      </c>
      <c r="B58" s="8" t="inlineStr">
        <is>
          <t>I04</t>
        </is>
      </c>
      <c r="C58" s="8" t="inlineStr">
        <is>
          <t>Assessment Redesign Capability</t>
        </is>
      </c>
      <c r="D58" s="8" t="inlineStr">
        <is>
          <t>Faculty ability to redesign tasks so genuine capability remains visible</t>
        </is>
      </c>
      <c r="E58" s="8" t="inlineStr">
        <is>
          <t>Anchor 0–5 from domain-specific maturity anchor using direct sampled practice/work evidence; do not infer maturity from policy statements alone.</t>
        </is>
      </c>
      <c r="F58" s="8" t="inlineStr">
        <is>
          <t>0–5: 0 absent; 1 isolated/person-dependent; 2 repeatable in limited areas; 3 institutionally structured; 4 broad/cross-functional and consistently operating; 5 continuously improved/scaled.</t>
        </is>
      </c>
      <c r="G58" s="8" t="inlineStr">
        <is>
          <t>Use outcome only when a legitimate measurable result exists; otherwise N/A.</t>
        </is>
      </c>
      <c r="H58" s="8" t="inlineStr">
        <is>
          <t>Only genuine mandate/context inapplicability with documented assessor approval; missing evidence is never N/A.</t>
        </is>
      </c>
      <c r="I58" s="8" t="inlineStr">
        <is>
          <t>—</t>
        </is>
      </c>
      <c r="J58" s="8" t="inlineStr">
        <is>
          <t>E0=0.20; E1=0.40; E2=0.65; E3=0.85; E4=1.00, subject to corroboration/independence adjustment. Report separately.</t>
        </is>
      </c>
      <c r="K58" s="8" t="inlineStr">
        <is>
          <t>No score uplift from claims alone; lock denominator/exclusions before results; sample verification; cross-check with adjacent domains; high scores require corroboration.</t>
        </is>
      </c>
      <c r="L58" s="8" t="inlineStr">
        <is>
          <t>Use primary-owner rule; shared evidence may validate multiple metrics but the same activity cannot be scored twice across domains.</t>
        </is>
      </c>
      <c r="M58" s="8" t="inlineStr">
        <is>
          <t>100*((0.45*M)+(0.30*I)+(0.25*O))/5 when O exists; otherwise 100*((0.60*M)+(0.40*I))/5.</t>
        </is>
      </c>
      <c r="N58" s="8" t="inlineStr">
        <is>
          <t>D05 methodology/data owner</t>
        </is>
      </c>
      <c r="O58" s="8" t="inlineStr">
        <is>
          <t>PROVISIONAL—pilot validation required</t>
        </is>
      </c>
    </row>
    <row r="59">
      <c r="A59" s="8" t="inlineStr">
        <is>
          <t>D05</t>
        </is>
      </c>
      <c r="B59" s="8" t="inlineStr">
        <is>
          <t>I05</t>
        </is>
      </c>
      <c r="C59" s="8" t="inlineStr">
        <is>
          <t>Faculty Learning &amp; Development Effectiveness</t>
        </is>
      </c>
      <c r="D59" s="8" t="inlineStr">
        <is>
          <t>Conversion of training into sustained academic practice</t>
        </is>
      </c>
      <c r="E59" s="8" t="inlineStr">
        <is>
          <t>Anchor 0–5 from domain-specific maturity anchor using direct sampled practice/work evidence; do not infer maturity from policy statements alone.</t>
        </is>
      </c>
      <c r="F59" s="8" t="inlineStr">
        <is>
          <t>0–5: 0 absent; 1 isolated/person-dependent; 2 repeatable in limited areas; 3 institutionally structured; 4 broad/cross-functional and consistently operating; 5 continuously improved/scaled.</t>
        </is>
      </c>
      <c r="G59" s="8" t="inlineStr">
        <is>
          <t>Use outcome only when a legitimate measurable result exists; otherwise N/A.</t>
        </is>
      </c>
      <c r="H59" s="8" t="inlineStr">
        <is>
          <t>Only genuine mandate/context inapplicability with documented assessor approval; missing evidence is never N/A.</t>
        </is>
      </c>
      <c r="I59" s="8" t="inlineStr">
        <is>
          <t>—</t>
        </is>
      </c>
      <c r="J59" s="8" t="inlineStr">
        <is>
          <t>E0=0.20; E1=0.40; E2=0.65; E3=0.85; E4=1.00, subject to corroboration/independence adjustment. Report separately.</t>
        </is>
      </c>
      <c r="K59" s="8" t="inlineStr">
        <is>
          <t>No score uplift from claims alone; lock denominator/exclusions before results; sample verification; cross-check with adjacent domains; high scores require corroboration.</t>
        </is>
      </c>
      <c r="L59" s="8" t="inlineStr">
        <is>
          <t>Use primary-owner rule; shared evidence may validate multiple metrics but the same activity cannot be scored twice across domains.</t>
        </is>
      </c>
      <c r="M59" s="8" t="inlineStr">
        <is>
          <t>100*((0.45*M)+(0.30*I)+(0.25*O))/5 when O exists; otherwise 100*((0.60*M)+(0.40*I))/5.</t>
        </is>
      </c>
      <c r="N59" s="8" t="inlineStr">
        <is>
          <t>D05 methodology/data owner</t>
        </is>
      </c>
      <c r="O59" s="8" t="inlineStr">
        <is>
          <t>PROVISIONAL—pilot validation required</t>
        </is>
      </c>
    </row>
    <row r="60">
      <c r="A60" s="8" t="inlineStr">
        <is>
          <t>D05</t>
        </is>
      </c>
      <c r="B60" s="8" t="inlineStr">
        <is>
          <t>I06</t>
        </is>
      </c>
      <c r="C60" s="8" t="inlineStr">
        <is>
          <t>Peer Learning &amp; Communities</t>
        </is>
      </c>
      <c r="D60" s="8" t="inlineStr">
        <is>
          <t>Institutional mechanisms for sharing AI practice</t>
        </is>
      </c>
      <c r="E60" s="8" t="inlineStr">
        <is>
          <t>Anchor 0–5 from domain-specific maturity anchor using direct sampled practice/work evidence; do not infer maturity from policy statements alone.</t>
        </is>
      </c>
      <c r="F60" s="8" t="inlineStr">
        <is>
          <t>0–5: 0 absent; 1 isolated/person-dependent; 2 repeatable in limited areas; 3 institutionally structured; 4 broad/cross-functional and consistently operating; 5 continuously improved/scaled.</t>
        </is>
      </c>
      <c r="G60" s="8" t="inlineStr">
        <is>
          <t>Use outcome only when a legitimate measurable result exists; otherwise N/A.</t>
        </is>
      </c>
      <c r="H60" s="8" t="inlineStr">
        <is>
          <t>Only genuine mandate/context inapplicability with documented assessor approval; missing evidence is never N/A.</t>
        </is>
      </c>
      <c r="I60" s="8" t="inlineStr">
        <is>
          <t>—</t>
        </is>
      </c>
      <c r="J60" s="8" t="inlineStr">
        <is>
          <t>E0=0.20; E1=0.40; E2=0.65; E3=0.85; E4=1.00, subject to corroboration/independence adjustment. Report separately.</t>
        </is>
      </c>
      <c r="K60" s="8" t="inlineStr">
        <is>
          <t>No score uplift from claims alone; lock denominator/exclusions before results; sample verification; cross-check with adjacent domains; high scores require corroboration.</t>
        </is>
      </c>
      <c r="L60" s="8" t="inlineStr">
        <is>
          <t>Use primary-owner rule; shared evidence may validate multiple metrics but the same activity cannot be scored twice across domains.</t>
        </is>
      </c>
      <c r="M60" s="8" t="inlineStr">
        <is>
          <t>100*((0.45*M)+(0.30*I)+(0.25*O))/5 when O exists; otherwise 100*((0.60*M)+(0.40*I))/5.</t>
        </is>
      </c>
      <c r="N60" s="8" t="inlineStr">
        <is>
          <t>D05 methodology/data owner</t>
        </is>
      </c>
      <c r="O60" s="8" t="inlineStr">
        <is>
          <t>PROVISIONAL—pilot validation required</t>
        </is>
      </c>
    </row>
    <row r="61">
      <c r="A61" s="8" t="inlineStr">
        <is>
          <t>D05</t>
        </is>
      </c>
      <c r="B61" s="8" t="inlineStr">
        <is>
          <t>I07</t>
        </is>
      </c>
      <c r="C61" s="8" t="inlineStr">
        <is>
          <t>AI Research &amp; Knowledge Creation</t>
        </is>
      </c>
      <c r="D61" s="8" t="inlineStr">
        <is>
          <t>Faculty use AI responsibly for research, analysis, scholarship and knowledge creation</t>
        </is>
      </c>
      <c r="E61" s="8" t="inlineStr">
        <is>
          <t>Anchor 0–5 from domain-specific maturity anchor using direct sampled practice/work evidence; do not infer maturity from policy statements alone.</t>
        </is>
      </c>
      <c r="F61" s="8" t="inlineStr">
        <is>
          <t>0–5: 0 absent; 1 isolated/person-dependent; 2 repeatable in limited areas; 3 institutionally structured; 4 broad/cross-functional and consistently operating; 5 continuously improved/scaled.</t>
        </is>
      </c>
      <c r="G61" s="8" t="inlineStr">
        <is>
          <t>Use outcome only when a legitimate measurable result exists; otherwise N/A.</t>
        </is>
      </c>
      <c r="H61" s="8" t="inlineStr">
        <is>
          <t>Only genuine mandate/context inapplicability with documented assessor approval; missing evidence is never N/A.</t>
        </is>
      </c>
      <c r="I61" s="8" t="inlineStr">
        <is>
          <t>—</t>
        </is>
      </c>
      <c r="J61" s="8" t="inlineStr">
        <is>
          <t>E0=0.20; E1=0.40; E2=0.65; E3=0.85; E4=1.00, subject to corroboration/independence adjustment. Report separately.</t>
        </is>
      </c>
      <c r="K61" s="8" t="inlineStr">
        <is>
          <t>No score uplift from claims alone; lock denominator/exclusions before results; sample verification; cross-check with adjacent domains; high scores require corroboration.</t>
        </is>
      </c>
      <c r="L61" s="8" t="inlineStr">
        <is>
          <t>Use primary-owner rule; shared evidence may validate multiple metrics but the same activity cannot be scored twice across domains.</t>
        </is>
      </c>
      <c r="M61" s="8" t="inlineStr">
        <is>
          <t>100*((0.45*M)+(0.30*I)+(0.25*O))/5 when O exists; otherwise 100*((0.60*M)+(0.40*I))/5.</t>
        </is>
      </c>
      <c r="N61" s="8" t="inlineStr">
        <is>
          <t>D05 methodology/data owner</t>
        </is>
      </c>
      <c r="O61" s="8" t="inlineStr">
        <is>
          <t>PROVISIONAL—pilot validation required</t>
        </is>
      </c>
    </row>
    <row r="62">
      <c r="A62" s="8" t="inlineStr">
        <is>
          <t>D05</t>
        </is>
      </c>
      <c r="B62" s="8" t="inlineStr">
        <is>
          <t>I08</t>
        </is>
      </c>
      <c r="C62" s="8" t="inlineStr">
        <is>
          <t>Academic Role Redesign</t>
        </is>
      </c>
      <c r="D62" s="8" t="inlineStr">
        <is>
          <t>Whether AI-driven changes in academic work are anticipated and supported</t>
        </is>
      </c>
      <c r="E62" s="8" t="inlineStr">
        <is>
          <t>Anchor 0–5 from domain-specific maturity anchor using direct sampled practice/work evidence; do not infer maturity from policy statements alone.</t>
        </is>
      </c>
      <c r="F62" s="8" t="inlineStr">
        <is>
          <t>0–5: 0 absent; 1 isolated/person-dependent; 2 repeatable in limited areas; 3 institutionally structured; 4 broad/cross-functional and consistently operating; 5 continuously improved/scaled.</t>
        </is>
      </c>
      <c r="G62" s="8" t="inlineStr">
        <is>
          <t>Use outcome only when a legitimate measurable result exists; otherwise N/A.</t>
        </is>
      </c>
      <c r="H62" s="8" t="inlineStr">
        <is>
          <t>Only genuine mandate/context inapplicability with documented assessor approval; missing evidence is never N/A.</t>
        </is>
      </c>
      <c r="I62" s="8" t="inlineStr">
        <is>
          <t>—</t>
        </is>
      </c>
      <c r="J62" s="8" t="inlineStr">
        <is>
          <t>E0=0.20; E1=0.40; E2=0.65; E3=0.85; E4=1.00, subject to corroboration/independence adjustment. Report separately.</t>
        </is>
      </c>
      <c r="K62" s="8" t="inlineStr">
        <is>
          <t>No score uplift from claims alone; lock denominator/exclusions before results; sample verification; cross-check with adjacent domains; high scores require corroboration.</t>
        </is>
      </c>
      <c r="L62" s="8" t="inlineStr">
        <is>
          <t>Use primary-owner rule; shared evidence may validate multiple metrics but the same activity cannot be scored twice across domains.</t>
        </is>
      </c>
      <c r="M62" s="8" t="inlineStr">
        <is>
          <t>100*((0.45*M)+(0.30*I)+(0.25*O))/5 when O exists; otherwise 100*((0.60*M)+(0.40*I))/5.</t>
        </is>
      </c>
      <c r="N62" s="8" t="inlineStr">
        <is>
          <t>D05 methodology/data owner</t>
        </is>
      </c>
      <c r="O62" s="8" t="inlineStr">
        <is>
          <t>PROVISIONAL—pilot validation required</t>
        </is>
      </c>
    </row>
    <row r="63">
      <c r="A63" s="8" t="inlineStr">
        <is>
          <t>D05</t>
        </is>
      </c>
      <c r="B63" s="8" t="inlineStr">
        <is>
          <t>I09</t>
        </is>
      </c>
      <c r="C63" s="8" t="inlineStr">
        <is>
          <t>Workload &amp; Workflow Transformation</t>
        </is>
      </c>
      <c r="D63" s="8" t="inlineStr">
        <is>
          <t>Use of AI to reduce low-value work while protecting academic quality</t>
        </is>
      </c>
      <c r="E63" s="8" t="inlineStr">
        <is>
          <t>Anchor 0–5 from domain-specific maturity anchor using direct sampled practice/work evidence; do not infer maturity from policy statements alone.</t>
        </is>
      </c>
      <c r="F63" s="8" t="inlineStr">
        <is>
          <t>0–5: 0 absent; 1 isolated/person-dependent; 2 repeatable in limited areas; 3 institutionally structured; 4 broad/cross-functional and consistently operating; 5 continuously improved/scaled.</t>
        </is>
      </c>
      <c r="G63" s="8" t="inlineStr">
        <is>
          <t>Use outcome only when a legitimate measurable result exists; otherwise N/A.</t>
        </is>
      </c>
      <c r="H63" s="8" t="inlineStr">
        <is>
          <t>Only genuine mandate/context inapplicability with documented assessor approval; missing evidence is never N/A.</t>
        </is>
      </c>
      <c r="I63" s="8" t="inlineStr">
        <is>
          <t>—</t>
        </is>
      </c>
      <c r="J63" s="8" t="inlineStr">
        <is>
          <t>E0=0.20; E1=0.40; E2=0.65; E3=0.85; E4=1.00, subject to corroboration/independence adjustment. Report separately.</t>
        </is>
      </c>
      <c r="K63" s="8" t="inlineStr">
        <is>
          <t>No score uplift from claims alone; lock denominator/exclusions before results; sample verification; cross-check with adjacent domains; high scores require corroboration.</t>
        </is>
      </c>
      <c r="L63" s="8" t="inlineStr">
        <is>
          <t>Use primary-owner rule; shared evidence may validate multiple metrics but the same activity cannot be scored twice across domains.</t>
        </is>
      </c>
      <c r="M63" s="8" t="inlineStr">
        <is>
          <t>100*((0.45*M)+(0.30*I)+(0.25*O))/5 when O exists; otherwise 100*((0.60*M)+(0.40*I))/5.</t>
        </is>
      </c>
      <c r="N63" s="8" t="inlineStr">
        <is>
          <t>D05 methodology/data owner</t>
        </is>
      </c>
      <c r="O63" s="8" t="inlineStr">
        <is>
          <t>PROVISIONAL—pilot validation required</t>
        </is>
      </c>
    </row>
    <row r="64">
      <c r="A64" s="8" t="inlineStr">
        <is>
          <t>D05</t>
        </is>
      </c>
      <c r="B64" s="8" t="inlineStr">
        <is>
          <t>I10</t>
        </is>
      </c>
      <c r="C64" s="8" t="inlineStr">
        <is>
          <t>Faculty Support Infrastructure</t>
        </is>
      </c>
      <c r="D64" s="8" t="inlineStr">
        <is>
          <t>Access to tools, guidance, help, exemplars and technical support</t>
        </is>
      </c>
      <c r="E64" s="8" t="inlineStr">
        <is>
          <t>Anchor 0–5 from domain-specific maturity anchor using direct sampled practice/work evidence; do not infer maturity from policy statements alone.</t>
        </is>
      </c>
      <c r="F64" s="8" t="inlineStr">
        <is>
          <t>0–5: 0 absent; 1 isolated/person-dependent; 2 repeatable in limited areas; 3 institutionally structured; 4 broad/cross-functional and consistently operating; 5 continuously improved/scaled.</t>
        </is>
      </c>
      <c r="G64" s="8" t="inlineStr">
        <is>
          <t>Use outcome only when a legitimate measurable result exists; otherwise N/A.</t>
        </is>
      </c>
      <c r="H64" s="8" t="inlineStr">
        <is>
          <t>Only genuine mandate/context inapplicability with documented assessor approval; missing evidence is never N/A.</t>
        </is>
      </c>
      <c r="I64" s="8" t="inlineStr">
        <is>
          <t>—</t>
        </is>
      </c>
      <c r="J64" s="8" t="inlineStr">
        <is>
          <t>E0=0.20; E1=0.40; E2=0.65; E3=0.85; E4=1.00, subject to corroboration/independence adjustment. Report separately.</t>
        </is>
      </c>
      <c r="K64" s="8" t="inlineStr">
        <is>
          <t>No score uplift from claims alone; lock denominator/exclusions before results; sample verification; cross-check with adjacent domains; high scores require corroboration.</t>
        </is>
      </c>
      <c r="L64" s="8" t="inlineStr">
        <is>
          <t>Use primary-owner rule; shared evidence may validate multiple metrics but the same activity cannot be scored twice across domains.</t>
        </is>
      </c>
      <c r="M64" s="8" t="inlineStr">
        <is>
          <t>100*((0.45*M)+(0.30*I)+(0.25*O))/5 when O exists; otherwise 100*((0.60*M)+(0.40*I))/5.</t>
        </is>
      </c>
      <c r="N64" s="8" t="inlineStr">
        <is>
          <t>D05 methodology/data owner</t>
        </is>
      </c>
      <c r="O64" s="8" t="inlineStr">
        <is>
          <t>PROVISIONAL—pilot validation required</t>
        </is>
      </c>
    </row>
    <row r="65">
      <c r="A65" s="8" t="inlineStr">
        <is>
          <t>D05</t>
        </is>
      </c>
      <c r="B65" s="8" t="inlineStr">
        <is>
          <t>I11</t>
        </is>
      </c>
      <c r="C65" s="8" t="inlineStr">
        <is>
          <t>Academic Leadership for AI</t>
        </is>
      </c>
      <c r="D65" s="8" t="inlineStr">
        <is>
          <t>Department/school leaders translating AI change into academic action</t>
        </is>
      </c>
      <c r="E65" s="8" t="inlineStr">
        <is>
          <t>Anchor 0–5 from domain-specific maturity anchor using direct sampled practice/work evidence; do not infer maturity from policy statements alone.</t>
        </is>
      </c>
      <c r="F65" s="8" t="inlineStr">
        <is>
          <t>0–5: 0 absent; 1 isolated/person-dependent; 2 repeatable in limited areas; 3 institutionally structured; 4 broad/cross-functional and consistently operating; 5 continuously improved/scaled.</t>
        </is>
      </c>
      <c r="G65" s="8" t="inlineStr">
        <is>
          <t>Use outcome only when a legitimate measurable result exists; otherwise N/A.</t>
        </is>
      </c>
      <c r="H65" s="8" t="inlineStr">
        <is>
          <t>Only genuine mandate/context inapplicability with documented assessor approval; missing evidence is never N/A.</t>
        </is>
      </c>
      <c r="I65" s="8" t="inlineStr">
        <is>
          <t>—</t>
        </is>
      </c>
      <c r="J65" s="8" t="inlineStr">
        <is>
          <t>E0=0.20; E1=0.40; E2=0.65; E3=0.85; E4=1.00, subject to corroboration/independence adjustment. Report separately.</t>
        </is>
      </c>
      <c r="K65" s="8" t="inlineStr">
        <is>
          <t>No score uplift from claims alone; lock denominator/exclusions before results; sample verification; cross-check with adjacent domains; high scores require corroboration.</t>
        </is>
      </c>
      <c r="L65" s="8" t="inlineStr">
        <is>
          <t>Use primary-owner rule; shared evidence may validate multiple metrics but the same activity cannot be scored twice across domains.</t>
        </is>
      </c>
      <c r="M65" s="8" t="inlineStr">
        <is>
          <t>100*((0.45*M)+(0.30*I)+(0.25*O))/5 when O exists; otherwise 100*((0.60*M)+(0.40*I))/5.</t>
        </is>
      </c>
      <c r="N65" s="8" t="inlineStr">
        <is>
          <t>D05 methodology/data owner</t>
        </is>
      </c>
      <c r="O65" s="8" t="inlineStr">
        <is>
          <t>PROVISIONAL—pilot validation required</t>
        </is>
      </c>
    </row>
    <row r="66">
      <c r="A66" s="8" t="inlineStr">
        <is>
          <t>D05</t>
        </is>
      </c>
      <c r="B66" s="8" t="inlineStr">
        <is>
          <t>I12</t>
        </is>
      </c>
      <c r="C66" s="8" t="inlineStr">
        <is>
          <t>Faculty Adoption Learning Loop</t>
        </is>
      </c>
      <c r="D66" s="8" t="inlineStr">
        <is>
          <t>Institution learns from adoption, resistance, failure and emerging practice</t>
        </is>
      </c>
      <c r="E66" s="8" t="inlineStr">
        <is>
          <t>Anchor 0–5 from domain-specific maturity anchor using direct sampled practice/work evidence; do not infer maturity from policy statements alone.</t>
        </is>
      </c>
      <c r="F66" s="8" t="inlineStr">
        <is>
          <t>0–5: 0 absent; 1 isolated/person-dependent; 2 repeatable in limited areas; 3 institutionally structured; 4 broad/cross-functional and consistently operating; 5 continuously improved/scaled.</t>
        </is>
      </c>
      <c r="G66" s="8" t="inlineStr">
        <is>
          <t>Use outcome only when a legitimate measurable result exists; otherwise N/A.</t>
        </is>
      </c>
      <c r="H66" s="8" t="inlineStr">
        <is>
          <t>Only genuine mandate/context inapplicability with documented assessor approval; missing evidence is never N/A.</t>
        </is>
      </c>
      <c r="I66" s="8" t="inlineStr">
        <is>
          <t>—</t>
        </is>
      </c>
      <c r="J66" s="8" t="inlineStr">
        <is>
          <t>E0=0.20; E1=0.40; E2=0.65; E3=0.85; E4=1.00, subject to corroboration/independence adjustment. Report separately.</t>
        </is>
      </c>
      <c r="K66" s="8" t="inlineStr">
        <is>
          <t>No score uplift from claims alone; lock denominator/exclusions before results; sample verification; cross-check with adjacent domains; high scores require corroboration.</t>
        </is>
      </c>
      <c r="L66" s="8" t="inlineStr">
        <is>
          <t>Use primary-owner rule; shared evidence may validate multiple metrics but the same activity cannot be scored twice across domains.</t>
        </is>
      </c>
      <c r="M66" s="8" t="inlineStr">
        <is>
          <t>100*((0.45*M)+(0.30*I)+(0.25*O))/5 when O exists; otherwise 100*((0.60*M)+(0.40*I))/5.</t>
        </is>
      </c>
      <c r="N66" s="8" t="inlineStr">
        <is>
          <t>D05 methodology/data owner</t>
        </is>
      </c>
      <c r="O66" s="8" t="inlineStr">
        <is>
          <t>PROVISIONAL—pilot validation required</t>
        </is>
      </c>
    </row>
    <row r="67">
      <c r="A67" s="8" t="inlineStr">
        <is>
          <t>D06</t>
        </is>
      </c>
      <c r="B67" s="8" t="inlineStr">
        <is>
          <t>I01</t>
        </is>
      </c>
      <c r="C67" s="8" t="inlineStr">
        <is>
          <t>Student AI Literacy</t>
        </is>
      </c>
      <c r="D67" s="8" t="inlineStr">
        <is>
          <t>Students understand capabilities, limits, responsible use and verification</t>
        </is>
      </c>
      <c r="E67" s="8" t="inlineStr">
        <is>
          <t>Anchor 0–5 from domain-specific maturity anchor using direct sampled practice/work evidence; do not infer maturity from policy statements alone.</t>
        </is>
      </c>
      <c r="F67" s="8" t="inlineStr">
        <is>
          <t>0–5: 0 absent; 1 isolated/person-dependent; 2 repeatable in limited areas; 3 institutionally structured; 4 broad/cross-functional and consistently operating; 5 continuously improved/scaled.</t>
        </is>
      </c>
      <c r="G67" s="8" t="inlineStr">
        <is>
          <t>Use outcome only when a legitimate measurable result exists; otherwise N/A.</t>
        </is>
      </c>
      <c r="H67" s="8" t="inlineStr">
        <is>
          <t>Only genuine mandate/context inapplicability with documented assessor approval; missing evidence is never N/A.</t>
        </is>
      </c>
      <c r="I67" s="8" t="inlineStr">
        <is>
          <t>—</t>
        </is>
      </c>
      <c r="J67" s="8" t="inlineStr">
        <is>
          <t>E0=0.20; E1=0.40; E2=0.65; E3=0.85; E4=1.00, subject to corroboration/independence adjustment. Report separately.</t>
        </is>
      </c>
      <c r="K67" s="8" t="inlineStr">
        <is>
          <t>No score uplift from claims alone; lock denominator/exclusions before results; sample verification; cross-check with adjacent domains; high scores require corroboration.</t>
        </is>
      </c>
      <c r="L67" s="8" t="inlineStr">
        <is>
          <t>Use primary-owner rule; shared evidence may validate multiple metrics but the same activity cannot be scored twice across domains.</t>
        </is>
      </c>
      <c r="M67" s="8" t="inlineStr">
        <is>
          <t>100*((0.45*M)+(0.30*I)+(0.25*O))/5 when O exists; otherwise 100*((0.60*M)+(0.40*I))/5.</t>
        </is>
      </c>
      <c r="N67" s="8" t="inlineStr">
        <is>
          <t>D06 methodology/data owner</t>
        </is>
      </c>
      <c r="O67" s="8" t="inlineStr">
        <is>
          <t>PROVISIONAL—pilot validation required</t>
        </is>
      </c>
    </row>
    <row r="68">
      <c r="A68" s="8" t="inlineStr">
        <is>
          <t>D06</t>
        </is>
      </c>
      <c r="B68" s="8" t="inlineStr">
        <is>
          <t>I02</t>
        </is>
      </c>
      <c r="C68" s="8" t="inlineStr">
        <is>
          <t>Critical AI Evaluation</t>
        </is>
      </c>
      <c r="D68" s="8" t="inlineStr">
        <is>
          <t>Students can interrogate, verify and challenge AI outputs</t>
        </is>
      </c>
      <c r="E68" s="8" t="inlineStr">
        <is>
          <t>Anchor 0–5 from domain-specific maturity anchor using direct sampled practice/work evidence; do not infer maturity from policy statements alone.</t>
        </is>
      </c>
      <c r="F68" s="8" t="inlineStr">
        <is>
          <t>0–5: 0 absent; 1 isolated/person-dependent; 2 repeatable in limited areas; 3 institutionally structured; 4 broad/cross-functional and consistently operating; 5 continuously improved/scaled.</t>
        </is>
      </c>
      <c r="G68" s="8" t="inlineStr">
        <is>
          <t>Use outcome only when a legitimate measurable result exists; otherwise N/A.</t>
        </is>
      </c>
      <c r="H68" s="8" t="inlineStr">
        <is>
          <t>Only genuine mandate/context inapplicability with documented assessor approval; missing evidence is never N/A.</t>
        </is>
      </c>
      <c r="I68" s="8" t="inlineStr">
        <is>
          <t>—</t>
        </is>
      </c>
      <c r="J68" s="8" t="inlineStr">
        <is>
          <t>E0=0.20; E1=0.40; E2=0.65; E3=0.85; E4=1.00, subject to corroboration/independence adjustment. Report separately.</t>
        </is>
      </c>
      <c r="K68" s="8" t="inlineStr">
        <is>
          <t>No score uplift from claims alone; lock denominator/exclusions before results; sample verification; cross-check with adjacent domains; high scores require corroboration.</t>
        </is>
      </c>
      <c r="L68" s="8" t="inlineStr">
        <is>
          <t>Use primary-owner rule; shared evidence may validate multiple metrics but the same activity cannot be scored twice across domains.</t>
        </is>
      </c>
      <c r="M68" s="8" t="inlineStr">
        <is>
          <t>100*((0.45*M)+(0.30*I)+(0.25*O))/5 when O exists; otherwise 100*((0.60*M)+(0.40*I))/5.</t>
        </is>
      </c>
      <c r="N68" s="8" t="inlineStr">
        <is>
          <t>D06 methodology/data owner</t>
        </is>
      </c>
      <c r="O68" s="8" t="inlineStr">
        <is>
          <t>PROVISIONAL—pilot validation required</t>
        </is>
      </c>
    </row>
    <row r="69">
      <c r="A69" s="8" t="inlineStr">
        <is>
          <t>D06</t>
        </is>
      </c>
      <c r="B69" s="8" t="inlineStr">
        <is>
          <t>I03</t>
        </is>
      </c>
      <c r="C69" s="8" t="inlineStr">
        <is>
          <t>Learning Agency</t>
        </is>
      </c>
      <c r="D69" s="8" t="inlineStr">
        <is>
          <t>Students use AI to extend learning without surrendering intellectual responsibility</t>
        </is>
      </c>
      <c r="E69" s="8" t="inlineStr">
        <is>
          <t>Anchor 0–5 from domain-specific maturity anchor using direct sampled practice/work evidence; do not infer maturity from policy statements alone.</t>
        </is>
      </c>
      <c r="F69" s="8" t="inlineStr">
        <is>
          <t>0–5: 0 absent; 1 isolated/person-dependent; 2 repeatable in limited areas; 3 institutionally structured; 4 broad/cross-functional and consistently operating; 5 continuously improved/scaled.</t>
        </is>
      </c>
      <c r="G69" s="8" t="inlineStr">
        <is>
          <t>Use outcome only when a legitimate measurable result exists; otherwise N/A.</t>
        </is>
      </c>
      <c r="H69" s="8" t="inlineStr">
        <is>
          <t>Only genuine mandate/context inapplicability with documented assessor approval; missing evidence is never N/A.</t>
        </is>
      </c>
      <c r="I69" s="8" t="inlineStr">
        <is>
          <t>—</t>
        </is>
      </c>
      <c r="J69" s="8" t="inlineStr">
        <is>
          <t>E0=0.20; E1=0.40; E2=0.65; E3=0.85; E4=1.00, subject to corroboration/independence adjustment. Report separately.</t>
        </is>
      </c>
      <c r="K69" s="8" t="inlineStr">
        <is>
          <t>No score uplift from claims alone; lock denominator/exclusions before results; sample verification; cross-check with adjacent domains; high scores require corroboration.</t>
        </is>
      </c>
      <c r="L69" s="8" t="inlineStr">
        <is>
          <t>Use primary-owner rule; shared evidence may validate multiple metrics but the same activity cannot be scored twice across domains.</t>
        </is>
      </c>
      <c r="M69" s="8" t="inlineStr">
        <is>
          <t>100*((0.45*M)+(0.30*I)+(0.25*O))/5 when O exists; otherwise 100*((0.60*M)+(0.40*I))/5.</t>
        </is>
      </c>
      <c r="N69" s="8" t="inlineStr">
        <is>
          <t>D06 methodology/data owner</t>
        </is>
      </c>
      <c r="O69" s="8" t="inlineStr">
        <is>
          <t>PROVISIONAL—pilot validation required</t>
        </is>
      </c>
    </row>
    <row r="70">
      <c r="A70" s="8" t="inlineStr">
        <is>
          <t>D06</t>
        </is>
      </c>
      <c r="B70" s="8" t="inlineStr">
        <is>
          <t>I04</t>
        </is>
      </c>
      <c r="C70" s="8" t="inlineStr">
        <is>
          <t>Independent Intellectual Agency</t>
        </is>
      </c>
      <c r="D70" s="8" t="inlineStr">
        <is>
          <t>Students can formulate positions, questions and solutions independently</t>
        </is>
      </c>
      <c r="E70" s="8" t="inlineStr">
        <is>
          <t>Anchor 0–5 from domain-specific maturity anchor using direct sampled practice/work evidence; do not infer maturity from policy statements alone.</t>
        </is>
      </c>
      <c r="F70" s="8" t="inlineStr">
        <is>
          <t>0–5: 0 absent; 1 isolated/person-dependent; 2 repeatable in limited areas; 3 institutionally structured; 4 broad/cross-functional and consistently operating; 5 continuously improved/scaled.</t>
        </is>
      </c>
      <c r="G70" s="8" t="inlineStr">
        <is>
          <t>Use outcome only when a legitimate measurable result exists; otherwise N/A.</t>
        </is>
      </c>
      <c r="H70" s="8" t="inlineStr">
        <is>
          <t>Only genuine mandate/context inapplicability with documented assessor approval; missing evidence is never N/A.</t>
        </is>
      </c>
      <c r="I70" s="8" t="inlineStr">
        <is>
          <t>—</t>
        </is>
      </c>
      <c r="J70" s="8" t="inlineStr">
        <is>
          <t>E0=0.20; E1=0.40; E2=0.65; E3=0.85; E4=1.00, subject to corroboration/independence adjustment. Report separately.</t>
        </is>
      </c>
      <c r="K70" s="8" t="inlineStr">
        <is>
          <t>No score uplift from claims alone; lock denominator/exclusions before results; sample verification; cross-check with adjacent domains; high scores require corroboration.</t>
        </is>
      </c>
      <c r="L70" s="8" t="inlineStr">
        <is>
          <t>Use primary-owner rule; shared evidence may validate multiple metrics but the same activity cannot be scored twice across domains.</t>
        </is>
      </c>
      <c r="M70" s="8" t="inlineStr">
        <is>
          <t>100*((0.45*M)+(0.30*I)+(0.25*O))/5 when O exists; otherwise 100*((0.60*M)+(0.40*I))/5.</t>
        </is>
      </c>
      <c r="N70" s="8" t="inlineStr">
        <is>
          <t>D06 methodology/data owner</t>
        </is>
      </c>
      <c r="O70" s="8" t="inlineStr">
        <is>
          <t>PROVISIONAL—pilot validation required</t>
        </is>
      </c>
    </row>
    <row r="71">
      <c r="A71" s="8" t="inlineStr">
        <is>
          <t>D06</t>
        </is>
      </c>
      <c r="B71" s="8" t="inlineStr">
        <is>
          <t>I05</t>
        </is>
      </c>
      <c r="C71" s="8" t="inlineStr">
        <is>
          <t>Communication &amp; Defence</t>
        </is>
      </c>
      <c r="D71" s="8" t="inlineStr">
        <is>
          <t>Students can explain and defend their reasoning, sources and decisions</t>
        </is>
      </c>
      <c r="E71" s="8" t="inlineStr">
        <is>
          <t>Anchor 0–5 from domain-specific maturity anchor using direct sampled practice/work evidence; do not infer maturity from policy statements alone.</t>
        </is>
      </c>
      <c r="F71" s="8" t="inlineStr">
        <is>
          <t>0–5: 0 absent; 1 isolated/person-dependent; 2 repeatable in limited areas; 3 institutionally structured; 4 broad/cross-functional and consistently operating; 5 continuously improved/scaled.</t>
        </is>
      </c>
      <c r="G71" s="8" t="inlineStr">
        <is>
          <t>Use outcome only when a legitimate measurable result exists; otherwise N/A.</t>
        </is>
      </c>
      <c r="H71" s="8" t="inlineStr">
        <is>
          <t>Only genuine mandate/context inapplicability with documented assessor approval; missing evidence is never N/A.</t>
        </is>
      </c>
      <c r="I71" s="8" t="inlineStr">
        <is>
          <t>—</t>
        </is>
      </c>
      <c r="J71" s="8" t="inlineStr">
        <is>
          <t>E0=0.20; E1=0.40; E2=0.65; E3=0.85; E4=1.00, subject to corroboration/independence adjustment. Report separately.</t>
        </is>
      </c>
      <c r="K71" s="8" t="inlineStr">
        <is>
          <t>No score uplift from claims alone; lock denominator/exclusions before results; sample verification; cross-check with adjacent domains; high scores require corroboration.</t>
        </is>
      </c>
      <c r="L71" s="8" t="inlineStr">
        <is>
          <t>Use primary-owner rule; shared evidence may validate multiple metrics but the same activity cannot be scored twice across domains.</t>
        </is>
      </c>
      <c r="M71" s="8" t="inlineStr">
        <is>
          <t>100*((0.45*M)+(0.30*I)+(0.25*O))/5 when O exists; otherwise 100*((0.60*M)+(0.40*I))/5.</t>
        </is>
      </c>
      <c r="N71" s="8" t="inlineStr">
        <is>
          <t>D06 methodology/data owner</t>
        </is>
      </c>
      <c r="O71" s="8" t="inlineStr">
        <is>
          <t>PROVISIONAL—pilot validation required</t>
        </is>
      </c>
    </row>
    <row r="72">
      <c r="A72" s="8" t="inlineStr">
        <is>
          <t>D06</t>
        </is>
      </c>
      <c r="B72" s="8" t="inlineStr">
        <is>
          <t>I06</t>
        </is>
      </c>
      <c r="C72" s="8" t="inlineStr">
        <is>
          <t>Collaboration Capability</t>
        </is>
      </c>
      <c r="D72" s="8" t="inlineStr">
        <is>
          <t>Students collaborate with people and AI appropriately</t>
        </is>
      </c>
      <c r="E72" s="8" t="inlineStr">
        <is>
          <t>Anchor 0–5 from domain-specific maturity anchor using direct sampled practice/work evidence; do not infer maturity from policy statements alone.</t>
        </is>
      </c>
      <c r="F72" s="8" t="inlineStr">
        <is>
          <t>0–5: 0 absent; 1 isolated/person-dependent; 2 repeatable in limited areas; 3 institutionally structured; 4 broad/cross-functional and consistently operating; 5 continuously improved/scaled.</t>
        </is>
      </c>
      <c r="G72" s="8" t="inlineStr">
        <is>
          <t>Use outcome only when a legitimate measurable result exists; otherwise N/A.</t>
        </is>
      </c>
      <c r="H72" s="8" t="inlineStr">
        <is>
          <t>Only genuine mandate/context inapplicability with documented assessor approval; missing evidence is never N/A.</t>
        </is>
      </c>
      <c r="I72" s="8" t="inlineStr">
        <is>
          <t>—</t>
        </is>
      </c>
      <c r="J72" s="8" t="inlineStr">
        <is>
          <t>E0=0.20; E1=0.40; E2=0.65; E3=0.85; E4=1.00, subject to corroboration/independence adjustment. Report separately.</t>
        </is>
      </c>
      <c r="K72" s="8" t="inlineStr">
        <is>
          <t>No score uplift from claims alone; lock denominator/exclusions before results; sample verification; cross-check with adjacent domains; high scores require corroboration.</t>
        </is>
      </c>
      <c r="L72" s="8" t="inlineStr">
        <is>
          <t>Use primary-owner rule; shared evidence may validate multiple metrics but the same activity cannot be scored twice across domains.</t>
        </is>
      </c>
      <c r="M72" s="8" t="inlineStr">
        <is>
          <t>100*((0.45*M)+(0.30*I)+(0.25*O))/5 when O exists; otherwise 100*((0.60*M)+(0.40*I))/5.</t>
        </is>
      </c>
      <c r="N72" s="8" t="inlineStr">
        <is>
          <t>D06 methodology/data owner</t>
        </is>
      </c>
      <c r="O72" s="8" t="inlineStr">
        <is>
          <t>PROVISIONAL—pilot validation required</t>
        </is>
      </c>
    </row>
    <row r="73">
      <c r="A73" s="8" t="inlineStr">
        <is>
          <t>D06</t>
        </is>
      </c>
      <c r="B73" s="8" t="inlineStr">
        <is>
          <t>I07</t>
        </is>
      </c>
      <c r="C73" s="8" t="inlineStr">
        <is>
          <t>Practical Capability</t>
        </is>
      </c>
      <c r="D73" s="8" t="inlineStr">
        <is>
          <t>Students can act in real or simulated contexts beyond content generation</t>
        </is>
      </c>
      <c r="E73" s="8" t="inlineStr">
        <is>
          <t>Anchor 0–5 from domain-specific maturity anchor using direct sampled practice/work evidence; do not infer maturity from policy statements alone.</t>
        </is>
      </c>
      <c r="F73" s="8" t="inlineStr">
        <is>
          <t>0–5: 0 absent; 1 isolated/person-dependent; 2 repeatable in limited areas; 3 institutionally structured; 4 broad/cross-functional and consistently operating; 5 continuously improved/scaled.</t>
        </is>
      </c>
      <c r="G73" s="8" t="inlineStr">
        <is>
          <t>Use outcome only when a legitimate measurable result exists; otherwise N/A.</t>
        </is>
      </c>
      <c r="H73" s="8" t="inlineStr">
        <is>
          <t>Only genuine mandate/context inapplicability with documented assessor approval; missing evidence is never N/A.</t>
        </is>
      </c>
      <c r="I73" s="8" t="inlineStr">
        <is>
          <t>—</t>
        </is>
      </c>
      <c r="J73" s="8" t="inlineStr">
        <is>
          <t>E0=0.20; E1=0.40; E2=0.65; E3=0.85; E4=1.00, subject to corroboration/independence adjustment. Report separately.</t>
        </is>
      </c>
      <c r="K73" s="8" t="inlineStr">
        <is>
          <t>No score uplift from claims alone; lock denominator/exclusions before results; sample verification; cross-check with adjacent domains; high scores require corroboration.</t>
        </is>
      </c>
      <c r="L73" s="8" t="inlineStr">
        <is>
          <t>Use primary-owner rule; shared evidence may validate multiple metrics but the same activity cannot be scored twice across domains.</t>
        </is>
      </c>
      <c r="M73" s="8" t="inlineStr">
        <is>
          <t>100*((0.45*M)+(0.30*I)+(0.25*O))/5 when O exists; otherwise 100*((0.60*M)+(0.40*I))/5.</t>
        </is>
      </c>
      <c r="N73" s="8" t="inlineStr">
        <is>
          <t>D06 methodology/data owner</t>
        </is>
      </c>
      <c r="O73" s="8" t="inlineStr">
        <is>
          <t>PROVISIONAL—pilot validation required</t>
        </is>
      </c>
    </row>
    <row r="74">
      <c r="A74" s="8" t="inlineStr">
        <is>
          <t>D06</t>
        </is>
      </c>
      <c r="B74" s="8" t="inlineStr">
        <is>
          <t>I08</t>
        </is>
      </c>
      <c r="C74" s="8" t="inlineStr">
        <is>
          <t>Career Adaptability</t>
        </is>
      </c>
      <c r="D74" s="8" t="inlineStr">
        <is>
          <t>Students can interpret changing work requirements and update capabilities</t>
        </is>
      </c>
      <c r="E74" s="8" t="inlineStr">
        <is>
          <t>Anchor 0–5 from domain-specific maturity anchor using direct sampled practice/work evidence; do not infer maturity from policy statements alone.</t>
        </is>
      </c>
      <c r="F74" s="8" t="inlineStr">
        <is>
          <t>0–5: 0 absent; 1 isolated/person-dependent; 2 repeatable in limited areas; 3 institutionally structured; 4 broad/cross-functional and consistently operating; 5 continuously improved/scaled.</t>
        </is>
      </c>
      <c r="G74" s="8" t="inlineStr">
        <is>
          <t>Use outcome only when a legitimate measurable result exists; otherwise N/A.</t>
        </is>
      </c>
      <c r="H74" s="8" t="inlineStr">
        <is>
          <t>Only genuine mandate/context inapplicability with documented assessor approval; missing evidence is never N/A.</t>
        </is>
      </c>
      <c r="I74" s="8" t="inlineStr">
        <is>
          <t>—</t>
        </is>
      </c>
      <c r="J74" s="8" t="inlineStr">
        <is>
          <t>E0=0.20; E1=0.40; E2=0.65; E3=0.85; E4=1.00, subject to corroboration/independence adjustment. Report separately.</t>
        </is>
      </c>
      <c r="K74" s="8" t="inlineStr">
        <is>
          <t>No score uplift from claims alone; lock denominator/exclusions before results; sample verification; cross-check with adjacent domains; high scores require corroboration.</t>
        </is>
      </c>
      <c r="L74" s="8" t="inlineStr">
        <is>
          <t>Use primary-owner rule; shared evidence may validate multiple metrics but the same activity cannot be scored twice across domains.</t>
        </is>
      </c>
      <c r="M74" s="8" t="inlineStr">
        <is>
          <t>100*((0.45*M)+(0.30*I)+(0.25*O))/5 when O exists; otherwise 100*((0.60*M)+(0.40*I))/5.</t>
        </is>
      </c>
      <c r="N74" s="8" t="inlineStr">
        <is>
          <t>D06 methodology/data owner</t>
        </is>
      </c>
      <c r="O74" s="8" t="inlineStr">
        <is>
          <t>PROVISIONAL—pilot validation required</t>
        </is>
      </c>
    </row>
    <row r="75">
      <c r="A75" s="8" t="inlineStr">
        <is>
          <t>D06</t>
        </is>
      </c>
      <c r="B75" s="8" t="inlineStr">
        <is>
          <t>I09</t>
        </is>
      </c>
      <c r="C75" s="8" t="inlineStr">
        <is>
          <t>Portfolio &amp; Capability Signalling</t>
        </is>
      </c>
      <c r="D75" s="8" t="inlineStr">
        <is>
          <t>Students can show credible evidence of what they can do</t>
        </is>
      </c>
      <c r="E75" s="8" t="inlineStr">
        <is>
          <t>Anchor 0–5 from domain-specific maturity anchor using direct sampled practice/work evidence; do not infer maturity from policy statements alone.</t>
        </is>
      </c>
      <c r="F75" s="8" t="inlineStr">
        <is>
          <t>0–5: 0 absent; 1 isolated/person-dependent; 2 repeatable in limited areas; 3 institutionally structured; 4 broad/cross-functional and consistently operating; 5 continuously improved/scaled.</t>
        </is>
      </c>
      <c r="G75" s="8" t="inlineStr">
        <is>
          <t>Use outcome only when a legitimate measurable result exists; otherwise N/A.</t>
        </is>
      </c>
      <c r="H75" s="8" t="inlineStr">
        <is>
          <t>Only genuine mandate/context inapplicability with documented assessor approval; missing evidence is never N/A.</t>
        </is>
      </c>
      <c r="I75" s="8" t="inlineStr">
        <is>
          <t>—</t>
        </is>
      </c>
      <c r="J75" s="8" t="inlineStr">
        <is>
          <t>E0=0.20; E1=0.40; E2=0.65; E3=0.85; E4=1.00, subject to corroboration/independence adjustment. Report separately.</t>
        </is>
      </c>
      <c r="K75" s="8" t="inlineStr">
        <is>
          <t>No score uplift from claims alone; lock denominator/exclusions before results; sample verification; cross-check with adjacent domains; high scores require corroboration.</t>
        </is>
      </c>
      <c r="L75" s="8" t="inlineStr">
        <is>
          <t>Use primary-owner rule; shared evidence may validate multiple metrics but the same activity cannot be scored twice across domains.</t>
        </is>
      </c>
      <c r="M75" s="8" t="inlineStr">
        <is>
          <t>100*((0.45*M)+(0.30*I)+(0.25*O))/5 when O exists; otherwise 100*((0.60*M)+(0.40*I))/5.</t>
        </is>
      </c>
      <c r="N75" s="8" t="inlineStr">
        <is>
          <t>D06 methodology/data owner</t>
        </is>
      </c>
      <c r="O75" s="8" t="inlineStr">
        <is>
          <t>PROVISIONAL—pilot validation required</t>
        </is>
      </c>
    </row>
    <row r="76">
      <c r="A76" s="8" t="inlineStr">
        <is>
          <t>D06</t>
        </is>
      </c>
      <c r="B76" s="8" t="inlineStr">
        <is>
          <t>I10</t>
        </is>
      </c>
      <c r="C76" s="8" t="inlineStr">
        <is>
          <t>Problem Solving &amp; Transfer</t>
        </is>
      </c>
      <c r="D76" s="8" t="inlineStr">
        <is>
          <t>Students apply learning to unfamiliar/ambiguous problems</t>
        </is>
      </c>
      <c r="E76" s="8" t="inlineStr">
        <is>
          <t>Anchor 0–5 from domain-specific maturity anchor using direct sampled practice/work evidence; do not infer maturity from policy statements alone.</t>
        </is>
      </c>
      <c r="F76" s="8" t="inlineStr">
        <is>
          <t>0–5: 0 absent; 1 isolated/person-dependent; 2 repeatable in limited areas; 3 institutionally structured; 4 broad/cross-functional and consistently operating; 5 continuously improved/scaled.</t>
        </is>
      </c>
      <c r="G76" s="8" t="inlineStr">
        <is>
          <t>Use outcome only when a legitimate measurable result exists; otherwise N/A.</t>
        </is>
      </c>
      <c r="H76" s="8" t="inlineStr">
        <is>
          <t>Only genuine mandate/context inapplicability with documented assessor approval; missing evidence is never N/A.</t>
        </is>
      </c>
      <c r="I76" s="8" t="inlineStr">
        <is>
          <t>—</t>
        </is>
      </c>
      <c r="J76" s="8" t="inlineStr">
        <is>
          <t>E0=0.20; E1=0.40; E2=0.65; E3=0.85; E4=1.00, subject to corroboration/independence adjustment. Report separately.</t>
        </is>
      </c>
      <c r="K76" s="8" t="inlineStr">
        <is>
          <t>No score uplift from claims alone; lock denominator/exclusions before results; sample verification; cross-check with adjacent domains; high scores require corroboration.</t>
        </is>
      </c>
      <c r="L76" s="8" t="inlineStr">
        <is>
          <t>Use primary-owner rule; shared evidence may validate multiple metrics but the same activity cannot be scored twice across domains.</t>
        </is>
      </c>
      <c r="M76" s="8" t="inlineStr">
        <is>
          <t>100*((0.45*M)+(0.30*I)+(0.25*O))/5 when O exists; otherwise 100*((0.60*M)+(0.40*I))/5.</t>
        </is>
      </c>
      <c r="N76" s="8" t="inlineStr">
        <is>
          <t>D06 methodology/data owner</t>
        </is>
      </c>
      <c r="O76" s="8" t="inlineStr">
        <is>
          <t>PROVISIONAL—pilot validation required</t>
        </is>
      </c>
    </row>
    <row r="77">
      <c r="A77" s="8" t="inlineStr">
        <is>
          <t>D06</t>
        </is>
      </c>
      <c r="B77" s="8" t="inlineStr">
        <is>
          <t>I11</t>
        </is>
      </c>
      <c r="C77" s="8" t="inlineStr">
        <is>
          <t>Creator &amp; Entrepreneurial Agency</t>
        </is>
      </c>
      <c r="D77" s="8" t="inlineStr">
        <is>
          <t>Students use AI to create, prototype, innovate or build value</t>
        </is>
      </c>
      <c r="E77" s="8" t="inlineStr">
        <is>
          <t>Anchor 0–5 from domain-specific maturity anchor using direct sampled practice/work evidence; do not infer maturity from policy statements alone.</t>
        </is>
      </c>
      <c r="F77" s="8" t="inlineStr">
        <is>
          <t>0–5: 0 absent; 1 isolated/person-dependent; 2 repeatable in limited areas; 3 institutionally structured; 4 broad/cross-functional and consistently operating; 5 continuously improved/scaled.</t>
        </is>
      </c>
      <c r="G77" s="8" t="inlineStr">
        <is>
          <t>Use outcome only when a legitimate measurable result exists; otherwise N/A.</t>
        </is>
      </c>
      <c r="H77" s="8" t="inlineStr">
        <is>
          <t>Only genuine mandate/context inapplicability with documented assessor approval; missing evidence is never N/A.</t>
        </is>
      </c>
      <c r="I77" s="8" t="inlineStr">
        <is>
          <t>—</t>
        </is>
      </c>
      <c r="J77" s="8" t="inlineStr">
        <is>
          <t>E0=0.20; E1=0.40; E2=0.65; E3=0.85; E4=1.00, subject to corroboration/independence adjustment. Report separately.</t>
        </is>
      </c>
      <c r="K77" s="8" t="inlineStr">
        <is>
          <t>No score uplift from claims alone; lock denominator/exclusions before results; sample verification; cross-check with adjacent domains; high scores require corroboration.</t>
        </is>
      </c>
      <c r="L77" s="8" t="inlineStr">
        <is>
          <t>Use primary-owner rule; shared evidence may validate multiple metrics but the same activity cannot be scored twice across domains.</t>
        </is>
      </c>
      <c r="M77" s="8" t="inlineStr">
        <is>
          <t>100*((0.45*M)+(0.30*I)+(0.25*O))/5 when O exists; otherwise 100*((0.60*M)+(0.40*I))/5.</t>
        </is>
      </c>
      <c r="N77" s="8" t="inlineStr">
        <is>
          <t>D06 methodology/data owner</t>
        </is>
      </c>
      <c r="O77" s="8" t="inlineStr">
        <is>
          <t>PROVISIONAL—pilot validation required</t>
        </is>
      </c>
    </row>
    <row r="78">
      <c r="A78" s="8" t="inlineStr">
        <is>
          <t>D06</t>
        </is>
      </c>
      <c r="B78" s="8" t="inlineStr">
        <is>
          <t>I12</t>
        </is>
      </c>
      <c r="C78" s="8" t="inlineStr">
        <is>
          <t>Digital Citizenship &amp; Responsible Use</t>
        </is>
      </c>
      <c r="D78" s="8" t="inlineStr">
        <is>
          <t>Students understand privacy, IP, bias, integrity and social consequences</t>
        </is>
      </c>
      <c r="E78" s="8" t="inlineStr">
        <is>
          <t>Anchor 0–5 from domain-specific maturity anchor using direct sampled practice/work evidence; do not infer maturity from policy statements alone.</t>
        </is>
      </c>
      <c r="F78" s="8" t="inlineStr">
        <is>
          <t>0–5: 0 absent; 1 isolated/person-dependent; 2 repeatable in limited areas; 3 institutionally structured; 4 broad/cross-functional and consistently operating; 5 continuously improved/scaled.</t>
        </is>
      </c>
      <c r="G78" s="8" t="inlineStr">
        <is>
          <t>Use outcome only when a legitimate measurable result exists; otherwise N/A.</t>
        </is>
      </c>
      <c r="H78" s="8" t="inlineStr">
        <is>
          <t>Only genuine mandate/context inapplicability with documented assessor approval; missing evidence is never N/A.</t>
        </is>
      </c>
      <c r="I78" s="8" t="inlineStr">
        <is>
          <t>—</t>
        </is>
      </c>
      <c r="J78" s="8" t="inlineStr">
        <is>
          <t>E0=0.20; E1=0.40; E2=0.65; E3=0.85; E4=1.00, subject to corroboration/independence adjustment. Report separately.</t>
        </is>
      </c>
      <c r="K78" s="8" t="inlineStr">
        <is>
          <t>No score uplift from claims alone; lock denominator/exclusions before results; sample verification; cross-check with adjacent domains; high scores require corroboration.</t>
        </is>
      </c>
      <c r="L78" s="8" t="inlineStr">
        <is>
          <t>Use primary-owner rule; shared evidence may validate multiple metrics but the same activity cannot be scored twice across domains.</t>
        </is>
      </c>
      <c r="M78" s="8" t="inlineStr">
        <is>
          <t>100*((0.45*M)+(0.30*I)+(0.25*O))/5 when O exists; otherwise 100*((0.60*M)+(0.40*I))/5.</t>
        </is>
      </c>
      <c r="N78" s="8" t="inlineStr">
        <is>
          <t>D06 methodology/data owner</t>
        </is>
      </c>
      <c r="O78" s="8" t="inlineStr">
        <is>
          <t>PROVISIONAL—pilot validation required</t>
        </is>
      </c>
    </row>
    <row r="79">
      <c r="A79" s="8" t="inlineStr">
        <is>
          <t>D06</t>
        </is>
      </c>
      <c r="B79" s="8" t="inlineStr">
        <is>
          <t>I13</t>
        </is>
      </c>
      <c r="C79" s="8" t="inlineStr">
        <is>
          <t>Equitable AI Access</t>
        </is>
      </c>
      <c r="D79" s="8" t="inlineStr">
        <is>
          <t>Institution identifies and mitigates unequal access/capability barriers</t>
        </is>
      </c>
      <c r="E79" s="8" t="inlineStr">
        <is>
          <t>Anchor 0–5 from domain-specific maturity anchor using direct sampled practice/work evidence; do not infer maturity from policy statements alone.</t>
        </is>
      </c>
      <c r="F79" s="8" t="inlineStr">
        <is>
          <t>0–5: 0 absent; 1 isolated/person-dependent; 2 repeatable in limited areas; 3 institutionally structured; 4 broad/cross-functional and consistently operating; 5 continuously improved/scaled.</t>
        </is>
      </c>
      <c r="G79" s="8" t="inlineStr">
        <is>
          <t>Use outcome only when a legitimate measurable result exists; otherwise N/A.</t>
        </is>
      </c>
      <c r="H79" s="8" t="inlineStr">
        <is>
          <t>Only genuine mandate/context inapplicability with documented assessor approval; missing evidence is never N/A.</t>
        </is>
      </c>
      <c r="I79" s="8" t="inlineStr">
        <is>
          <t>—</t>
        </is>
      </c>
      <c r="J79" s="8" t="inlineStr">
        <is>
          <t>E0=0.20; E1=0.40; E2=0.65; E3=0.85; E4=1.00, subject to corroboration/independence adjustment. Report separately.</t>
        </is>
      </c>
      <c r="K79" s="8" t="inlineStr">
        <is>
          <t>No score uplift from claims alone; lock denominator/exclusions before results; sample verification; cross-check with adjacent domains; high scores require corroboration.</t>
        </is>
      </c>
      <c r="L79" s="8" t="inlineStr">
        <is>
          <t>Use primary-owner rule; shared evidence may validate multiple metrics but the same activity cannot be scored twice across domains.</t>
        </is>
      </c>
      <c r="M79" s="8" t="inlineStr">
        <is>
          <t>100*((0.45*M)+(0.30*I)+(0.25*O))/5 when O exists; otherwise 100*((0.60*M)+(0.40*I))/5.</t>
        </is>
      </c>
      <c r="N79" s="8" t="inlineStr">
        <is>
          <t>D06 methodology/data owner</t>
        </is>
      </c>
      <c r="O79" s="8" t="inlineStr">
        <is>
          <t>PROVISIONAL—pilot validation required</t>
        </is>
      </c>
    </row>
    <row r="80">
      <c r="A80" s="8" t="inlineStr">
        <is>
          <t>D06</t>
        </is>
      </c>
      <c r="B80" s="8" t="inlineStr">
        <is>
          <t>I14</t>
        </is>
      </c>
      <c r="C80" s="8" t="inlineStr">
        <is>
          <t>Student Voice &amp; Feedback Loop</t>
        </is>
      </c>
      <c r="D80" s="8" t="inlineStr">
        <is>
          <t>Student experience informs AI-era curriculum and capability design</t>
        </is>
      </c>
      <c r="E80" s="8" t="inlineStr">
        <is>
          <t>Anchor 0–5 from domain-specific maturity anchor using direct sampled practice/work evidence; do not infer maturity from policy statements alone.</t>
        </is>
      </c>
      <c r="F80" s="8" t="inlineStr">
        <is>
          <t>0–5: 0 absent; 1 isolated/person-dependent; 2 repeatable in limited areas; 3 institutionally structured; 4 broad/cross-functional and consistently operating; 5 continuously improved/scaled.</t>
        </is>
      </c>
      <c r="G80" s="8" t="inlineStr">
        <is>
          <t>Use outcome only when a legitimate measurable result exists; otherwise N/A.</t>
        </is>
      </c>
      <c r="H80" s="8" t="inlineStr">
        <is>
          <t>Only genuine mandate/context inapplicability with documented assessor approval; missing evidence is never N/A.</t>
        </is>
      </c>
      <c r="I80" s="8" t="inlineStr">
        <is>
          <t>—</t>
        </is>
      </c>
      <c r="J80" s="8" t="inlineStr">
        <is>
          <t>E0=0.20; E1=0.40; E2=0.65; E3=0.85; E4=1.00, subject to corroboration/independence adjustment. Report separately.</t>
        </is>
      </c>
      <c r="K80" s="8" t="inlineStr">
        <is>
          <t>No score uplift from claims alone; lock denominator/exclusions before results; sample verification; cross-check with adjacent domains; high scores require corroboration.</t>
        </is>
      </c>
      <c r="L80" s="8" t="inlineStr">
        <is>
          <t>Use primary-owner rule; shared evidence may validate multiple metrics but the same activity cannot be scored twice across domains.</t>
        </is>
      </c>
      <c r="M80" s="8" t="inlineStr">
        <is>
          <t>100*((0.45*M)+(0.30*I)+(0.25*O))/5 when O exists; otherwise 100*((0.60*M)+(0.40*I))/5.</t>
        </is>
      </c>
      <c r="N80" s="8" t="inlineStr">
        <is>
          <t>D06 methodology/data owner</t>
        </is>
      </c>
      <c r="O80" s="8" t="inlineStr">
        <is>
          <t>PROVISIONAL—pilot validation required</t>
        </is>
      </c>
    </row>
    <row r="81">
      <c r="A81" s="8" t="inlineStr">
        <is>
          <t>D07</t>
        </is>
      </c>
      <c r="B81" s="8" t="inlineStr">
        <is>
          <t>I01</t>
        </is>
      </c>
      <c r="C81" s="8" t="inlineStr">
        <is>
          <t>Assessment Design Maturity</t>
        </is>
      </c>
      <c r="D81" s="8" t="inlineStr">
        <is>
          <t>Whether assessment is deliberately designed around intended capabilities rather than answer production.</t>
        </is>
      </c>
      <c r="E81" s="8" t="inlineStr">
        <is>
          <t>Anchor 0–5 from domain-specific maturity anchor using direct sampled practice/work evidence; do not infer maturity from policy statements alone.</t>
        </is>
      </c>
      <c r="F81" s="8" t="inlineStr">
        <is>
          <t>0–5: 0 absent; 1 isolated/person-dependent; 2 repeatable in limited areas; 3 institutionally structured; 4 broad/cross-functional and consistently operating; 5 continuously improved/scaled.</t>
        </is>
      </c>
      <c r="G81" s="8" t="inlineStr">
        <is>
          <t>Use outcome only when a legitimate measurable result exists; otherwise N/A.</t>
        </is>
      </c>
      <c r="H81" s="8" t="inlineStr">
        <is>
          <t>Only genuine mandate/context inapplicability with documented assessor approval; missing evidence is never N/A.</t>
        </is>
      </c>
      <c r="I81" s="8" t="inlineStr">
        <is>
          <t>—</t>
        </is>
      </c>
      <c r="J81" s="8" t="inlineStr">
        <is>
          <t>E0=0.20; E1=0.40; E2=0.65; E3=0.85; E4=1.00, subject to corroboration/independence adjustment. Report separately.</t>
        </is>
      </c>
      <c r="K81" s="8" t="inlineStr">
        <is>
          <t>No score uplift from claims alone; lock denominator/exclusions before results; sample verification; cross-check with adjacent domains; high scores require corroboration.</t>
        </is>
      </c>
      <c r="L81" s="8" t="inlineStr">
        <is>
          <t>Use primary-owner rule; shared evidence may validate multiple metrics but the same activity cannot be scored twice across domains.</t>
        </is>
      </c>
      <c r="M81" s="8" t="inlineStr">
        <is>
          <t>100*((0.45*M)+(0.30*I)+(0.25*O))/5 when O exists; otherwise 100*((0.60*M)+(0.40*I))/5.</t>
        </is>
      </c>
      <c r="N81" s="8" t="inlineStr">
        <is>
          <t>D07 methodology/data owner</t>
        </is>
      </c>
      <c r="O81" s="8" t="inlineStr">
        <is>
          <t>PROVISIONAL—pilot validation required</t>
        </is>
      </c>
    </row>
    <row r="82">
      <c r="A82" s="8" t="inlineStr">
        <is>
          <t>D07</t>
        </is>
      </c>
      <c r="B82" s="8" t="inlineStr">
        <is>
          <t>I02</t>
        </is>
      </c>
      <c r="C82" s="8" t="inlineStr">
        <is>
          <t>Cognitive Demonstration Depth</t>
        </is>
      </c>
      <c r="D82" s="8" t="inlineStr">
        <is>
          <t>Extent to which students must demonstrate reasoning, judgement, interpretation and problem-solving.</t>
        </is>
      </c>
      <c r="E82" s="8" t="inlineStr">
        <is>
          <t>Anchor 0–5 from domain-specific maturity anchor using direct sampled practice/work evidence; do not infer maturity from policy statements alone.</t>
        </is>
      </c>
      <c r="F82" s="8" t="inlineStr">
        <is>
          <t>0–5: 0 absent; 1 isolated/person-dependent; 2 repeatable in limited areas; 3 institutionally structured; 4 broad/cross-functional and consistently operating; 5 continuously improved/scaled.</t>
        </is>
      </c>
      <c r="G82" s="8" t="inlineStr">
        <is>
          <t>Use outcome only when a legitimate measurable result exists; otherwise N/A.</t>
        </is>
      </c>
      <c r="H82" s="8" t="inlineStr">
        <is>
          <t>Only genuine mandate/context inapplicability with documented assessor approval; missing evidence is never N/A.</t>
        </is>
      </c>
      <c r="I82" s="8" t="inlineStr">
        <is>
          <t>—</t>
        </is>
      </c>
      <c r="J82" s="8" t="inlineStr">
        <is>
          <t>E0=0.20; E1=0.40; E2=0.65; E3=0.85; E4=1.00, subject to corroboration/independence adjustment. Report separately.</t>
        </is>
      </c>
      <c r="K82" s="8" t="inlineStr">
        <is>
          <t>No score uplift from claims alone; lock denominator/exclusions before results; sample verification; cross-check with adjacent domains; high scores require corroboration.</t>
        </is>
      </c>
      <c r="L82" s="8" t="inlineStr">
        <is>
          <t>Use primary-owner rule; shared evidence may validate multiple metrics but the same activity cannot be scored twice across domains.</t>
        </is>
      </c>
      <c r="M82" s="8" t="inlineStr">
        <is>
          <t>100*((0.45*M)+(0.30*I)+(0.25*O))/5 when O exists; otherwise 100*((0.60*M)+(0.40*I))/5.</t>
        </is>
      </c>
      <c r="N82" s="8" t="inlineStr">
        <is>
          <t>D07 methodology/data owner</t>
        </is>
      </c>
      <c r="O82" s="8" t="inlineStr">
        <is>
          <t>PROVISIONAL—pilot validation required</t>
        </is>
      </c>
    </row>
    <row r="83">
      <c r="A83" s="8" t="inlineStr">
        <is>
          <t>D07</t>
        </is>
      </c>
      <c r="B83" s="8" t="inlineStr">
        <is>
          <t>I03</t>
        </is>
      </c>
      <c r="C83" s="8" t="inlineStr">
        <is>
          <t>Authenticity of Demonstration</t>
        </is>
      </c>
      <c r="D83" s="8" t="inlineStr">
        <is>
          <t>Use of real, unfamiliar, contextual and practice-linked tasks.</t>
        </is>
      </c>
      <c r="E83" s="8" t="inlineStr">
        <is>
          <t>Anchor 0–5 from domain-specific maturity anchor using direct sampled practice/work evidence; do not infer maturity from policy statements alone.</t>
        </is>
      </c>
      <c r="F83" s="8" t="inlineStr">
        <is>
          <t>0–5: 0 absent; 1 isolated/person-dependent; 2 repeatable in limited areas; 3 institutionally structured; 4 broad/cross-functional and consistently operating; 5 continuously improved/scaled.</t>
        </is>
      </c>
      <c r="G83" s="8" t="inlineStr">
        <is>
          <t>Use outcome only when a legitimate measurable result exists; otherwise N/A.</t>
        </is>
      </c>
      <c r="H83" s="8" t="inlineStr">
        <is>
          <t>Only genuine mandate/context inapplicability with documented assessor approval; missing evidence is never N/A.</t>
        </is>
      </c>
      <c r="I83" s="8" t="inlineStr">
        <is>
          <t>—</t>
        </is>
      </c>
      <c r="J83" s="8" t="inlineStr">
        <is>
          <t>E0=0.20; E1=0.40; E2=0.65; E3=0.85; E4=1.00, subject to corroboration/independence adjustment. Report separately.</t>
        </is>
      </c>
      <c r="K83" s="8" t="inlineStr">
        <is>
          <t>No score uplift from claims alone; lock denominator/exclusions before results; sample verification; cross-check with adjacent domains; high scores require corroboration.</t>
        </is>
      </c>
      <c r="L83" s="8" t="inlineStr">
        <is>
          <t>Use primary-owner rule; shared evidence may validate multiple metrics but the same activity cannot be scored twice across domains.</t>
        </is>
      </c>
      <c r="M83" s="8" t="inlineStr">
        <is>
          <t>100*((0.45*M)+(0.30*I)+(0.25*O))/5 when O exists; otherwise 100*((0.60*M)+(0.40*I))/5.</t>
        </is>
      </c>
      <c r="N83" s="8" t="inlineStr">
        <is>
          <t>D07 methodology/data owner</t>
        </is>
      </c>
      <c r="O83" s="8" t="inlineStr">
        <is>
          <t>PROVISIONAL—pilot validation required</t>
        </is>
      </c>
    </row>
    <row r="84">
      <c r="A84" s="8" t="inlineStr">
        <is>
          <t>D07</t>
        </is>
      </c>
      <c r="B84" s="8" t="inlineStr">
        <is>
          <t>I04</t>
        </is>
      </c>
      <c r="C84" s="8" t="inlineStr">
        <is>
          <t>AI-Aware Assessment Maturity</t>
        </is>
      </c>
      <c r="D84" s="8" t="inlineStr">
        <is>
          <t>Extent to which assessment design responds intelligently to generative AI availability.</t>
        </is>
      </c>
      <c r="E84" s="8" t="inlineStr">
        <is>
          <t>Anchor 0–5 from domain-specific maturity anchor using direct sampled practice/work evidence; do not infer maturity from policy statements alone.</t>
        </is>
      </c>
      <c r="F84" s="8" t="inlineStr">
        <is>
          <t>0–5: 0 absent; 1 isolated/person-dependent; 2 repeatable in limited areas; 3 institutionally structured; 4 broad/cross-functional and consistently operating; 5 continuously improved/scaled.</t>
        </is>
      </c>
      <c r="G84" s="8" t="inlineStr">
        <is>
          <t>Use outcome only when a legitimate measurable result exists; otherwise N/A.</t>
        </is>
      </c>
      <c r="H84" s="8" t="inlineStr">
        <is>
          <t>Only genuine mandate/context inapplicability with documented assessor approval; missing evidence is never N/A.</t>
        </is>
      </c>
      <c r="I84" s="8" t="inlineStr">
        <is>
          <t>—</t>
        </is>
      </c>
      <c r="J84" s="8" t="inlineStr">
        <is>
          <t>E0=0.20; E1=0.40; E2=0.65; E3=0.85; E4=1.00, subject to corroboration/independence adjustment. Report separately.</t>
        </is>
      </c>
      <c r="K84" s="8" t="inlineStr">
        <is>
          <t>No score uplift from claims alone; lock denominator/exclusions before results; sample verification; cross-check with adjacent domains; high scores require corroboration.</t>
        </is>
      </c>
      <c r="L84" s="8" t="inlineStr">
        <is>
          <t>Use primary-owner rule; shared evidence may validate multiple metrics but the same activity cannot be scored twice across domains.</t>
        </is>
      </c>
      <c r="M84" s="8" t="inlineStr">
        <is>
          <t>100*((0.45*M)+(0.30*I)+(0.25*O))/5 when O exists; otherwise 100*((0.60*M)+(0.40*I))/5.</t>
        </is>
      </c>
      <c r="N84" s="8" t="inlineStr">
        <is>
          <t>D07 methodology/data owner</t>
        </is>
      </c>
      <c r="O84" s="8" t="inlineStr">
        <is>
          <t>PROVISIONAL—pilot validation required</t>
        </is>
      </c>
    </row>
    <row r="85">
      <c r="A85" s="8" t="inlineStr">
        <is>
          <t>D07</t>
        </is>
      </c>
      <c r="B85" s="8" t="inlineStr">
        <is>
          <t>I05</t>
        </is>
      </c>
      <c r="C85" s="8" t="inlineStr">
        <is>
          <t>Verification &amp; Defence</t>
        </is>
      </c>
      <c r="D85" s="8" t="inlineStr">
        <is>
          <t>Ability of students to explain, defend and interrogate their own work.</t>
        </is>
      </c>
      <c r="E85" s="8" t="inlineStr">
        <is>
          <t>Anchor 0–5 from domain-specific maturity anchor using direct sampled practice/work evidence; do not infer maturity from policy statements alone.</t>
        </is>
      </c>
      <c r="F85" s="8" t="inlineStr">
        <is>
          <t>0–5: 0 absent; 1 isolated/person-dependent; 2 repeatable in limited areas; 3 institutionally structured; 4 broad/cross-functional and consistently operating; 5 continuously improved/scaled.</t>
        </is>
      </c>
      <c r="G85" s="8" t="inlineStr">
        <is>
          <t>Use outcome only when a legitimate measurable result exists; otherwise N/A.</t>
        </is>
      </c>
      <c r="H85" s="8" t="inlineStr">
        <is>
          <t>Only genuine mandate/context inapplicability with documented assessor approval; missing evidence is never N/A.</t>
        </is>
      </c>
      <c r="I85" s="8" t="inlineStr">
        <is>
          <t>—</t>
        </is>
      </c>
      <c r="J85" s="8" t="inlineStr">
        <is>
          <t>E0=0.20; E1=0.40; E2=0.65; E3=0.85; E4=1.00, subject to corroboration/independence adjustment. Report separately.</t>
        </is>
      </c>
      <c r="K85" s="8" t="inlineStr">
        <is>
          <t>No score uplift from claims alone; lock denominator/exclusions before results; sample verification; cross-check with adjacent domains; high scores require corroboration.</t>
        </is>
      </c>
      <c r="L85" s="8" t="inlineStr">
        <is>
          <t>Use primary-owner rule; shared evidence may validate multiple metrics but the same activity cannot be scored twice across domains.</t>
        </is>
      </c>
      <c r="M85" s="8" t="inlineStr">
        <is>
          <t>100*((0.45*M)+(0.30*I)+(0.25*O))/5 when O exists; otherwise 100*((0.60*M)+(0.40*I))/5.</t>
        </is>
      </c>
      <c r="N85" s="8" t="inlineStr">
        <is>
          <t>D07 methodology/data owner</t>
        </is>
      </c>
      <c r="O85" s="8" t="inlineStr">
        <is>
          <t>PROVISIONAL—pilot validation required</t>
        </is>
      </c>
    </row>
    <row r="86">
      <c r="A86" s="8" t="inlineStr">
        <is>
          <t>D07</t>
        </is>
      </c>
      <c r="B86" s="8" t="inlineStr">
        <is>
          <t>I06</t>
        </is>
      </c>
      <c r="C86" s="8" t="inlineStr">
        <is>
          <t>Feedback Intelligence</t>
        </is>
      </c>
      <c r="D86" s="8" t="inlineStr">
        <is>
          <t>Use of feedback to improve capability rather than merely correct answers.</t>
        </is>
      </c>
      <c r="E86" s="8" t="inlineStr">
        <is>
          <t>Anchor 0–5 from domain-specific maturity anchor using direct sampled practice/work evidence; do not infer maturity from policy statements alone.</t>
        </is>
      </c>
      <c r="F86" s="8" t="inlineStr">
        <is>
          <t>0–5: 0 absent; 1 isolated/person-dependent; 2 repeatable in limited areas; 3 institutionally structured; 4 broad/cross-functional and consistently operating; 5 continuously improved/scaled.</t>
        </is>
      </c>
      <c r="G86" s="8" t="inlineStr">
        <is>
          <t>Use outcome only when a legitimate measurable result exists; otherwise N/A.</t>
        </is>
      </c>
      <c r="H86" s="8" t="inlineStr">
        <is>
          <t>Only genuine mandate/context inapplicability with documented assessor approval; missing evidence is never N/A.</t>
        </is>
      </c>
      <c r="I86" s="8" t="inlineStr">
        <is>
          <t>—</t>
        </is>
      </c>
      <c r="J86" s="8" t="inlineStr">
        <is>
          <t>E0=0.20; E1=0.40; E2=0.65; E3=0.85; E4=1.00, subject to corroboration/independence adjustment. Report separately.</t>
        </is>
      </c>
      <c r="K86" s="8" t="inlineStr">
        <is>
          <t>No score uplift from claims alone; lock denominator/exclusions before results; sample verification; cross-check with adjacent domains; high scores require corroboration.</t>
        </is>
      </c>
      <c r="L86" s="8" t="inlineStr">
        <is>
          <t>Use primary-owner rule; shared evidence may validate multiple metrics but the same activity cannot be scored twice across domains.</t>
        </is>
      </c>
      <c r="M86" s="8" t="inlineStr">
        <is>
          <t>100*((0.45*M)+(0.30*I)+(0.25*O))/5 when O exists; otherwise 100*((0.60*M)+(0.40*I))/5.</t>
        </is>
      </c>
      <c r="N86" s="8" t="inlineStr">
        <is>
          <t>D07 methodology/data owner</t>
        </is>
      </c>
      <c r="O86" s="8" t="inlineStr">
        <is>
          <t>PROVISIONAL—pilot validation required</t>
        </is>
      </c>
    </row>
    <row r="87">
      <c r="A87" s="8" t="inlineStr">
        <is>
          <t>D07</t>
        </is>
      </c>
      <c r="B87" s="8" t="inlineStr">
        <is>
          <t>I07</t>
        </is>
      </c>
      <c r="C87" s="8" t="inlineStr">
        <is>
          <t>Evidence of Learning</t>
        </is>
      </c>
      <c r="D87" s="8" t="inlineStr">
        <is>
          <t>Quality of institutional evidence showing that intended learning actually occurred.</t>
        </is>
      </c>
      <c r="E87" s="8" t="inlineStr">
        <is>
          <t>Anchor 0–5 from domain-specific maturity anchor using direct sampled practice/work evidence; do not infer maturity from policy statements alone.</t>
        </is>
      </c>
      <c r="F87" s="8" t="inlineStr">
        <is>
          <t>0–5: 0 absent; 1 isolated/person-dependent; 2 repeatable in limited areas; 3 institutionally structured; 4 broad/cross-functional and consistently operating; 5 continuously improved/scaled.</t>
        </is>
      </c>
      <c r="G87" s="8" t="inlineStr">
        <is>
          <t>Use outcome only when a legitimate measurable result exists; otherwise N/A.</t>
        </is>
      </c>
      <c r="H87" s="8" t="inlineStr">
        <is>
          <t>Only genuine mandate/context inapplicability with documented assessor approval; missing evidence is never N/A.</t>
        </is>
      </c>
      <c r="I87" s="8" t="inlineStr">
        <is>
          <t>—</t>
        </is>
      </c>
      <c r="J87" s="8" t="inlineStr">
        <is>
          <t>E0=0.20; E1=0.40; E2=0.65; E3=0.85; E4=1.00, subject to corroboration/independence adjustment. Report separately.</t>
        </is>
      </c>
      <c r="K87" s="8" t="inlineStr">
        <is>
          <t>No score uplift from claims alone; lock denominator/exclusions before results; sample verification; cross-check with adjacent domains; high scores require corroboration.</t>
        </is>
      </c>
      <c r="L87" s="8" t="inlineStr">
        <is>
          <t>Use primary-owner rule; shared evidence may validate multiple metrics but the same activity cannot be scored twice across domains.</t>
        </is>
      </c>
      <c r="M87" s="8" t="inlineStr">
        <is>
          <t>100*((0.45*M)+(0.30*I)+(0.25*O))/5 when O exists; otherwise 100*((0.60*M)+(0.40*I))/5.</t>
        </is>
      </c>
      <c r="N87" s="8" t="inlineStr">
        <is>
          <t>D07 methodology/data owner</t>
        </is>
      </c>
      <c r="O87" s="8" t="inlineStr">
        <is>
          <t>PROVISIONAL—pilot validation required</t>
        </is>
      </c>
    </row>
    <row r="88">
      <c r="A88" s="8" t="inlineStr">
        <is>
          <t>D07</t>
        </is>
      </c>
      <c r="B88" s="8" t="inlineStr">
        <is>
          <t>I08</t>
        </is>
      </c>
      <c r="C88" s="8" t="inlineStr">
        <is>
          <t>Capability Outcome Measurement</t>
        </is>
      </c>
      <c r="D88" s="8" t="inlineStr">
        <is>
          <t>Extent to which learning outcomes are measured with meaningful evidence.</t>
        </is>
      </c>
      <c r="E88" s="8" t="inlineStr">
        <is>
          <t>Anchor 0–5 from domain-specific maturity anchor using direct sampled practice/work evidence; do not infer maturity from policy statements alone.</t>
        </is>
      </c>
      <c r="F88" s="8" t="inlineStr">
        <is>
          <t>0–5: 0 absent; 1 isolated/person-dependent; 2 repeatable in limited areas; 3 institutionally structured; 4 broad/cross-functional and consistently operating; 5 continuously improved/scaled.</t>
        </is>
      </c>
      <c r="G88" s="8" t="inlineStr">
        <is>
          <t>Use outcome only when a legitimate measurable result exists; otherwise N/A.</t>
        </is>
      </c>
      <c r="H88" s="8" t="inlineStr">
        <is>
          <t>Only genuine mandate/context inapplicability with documented assessor approval; missing evidence is never N/A.</t>
        </is>
      </c>
      <c r="I88" s="8" t="inlineStr">
        <is>
          <t>—</t>
        </is>
      </c>
      <c r="J88" s="8" t="inlineStr">
        <is>
          <t>E0=0.20; E1=0.40; E2=0.65; E3=0.85; E4=1.00, subject to corroboration/independence adjustment. Report separately.</t>
        </is>
      </c>
      <c r="K88" s="8" t="inlineStr">
        <is>
          <t>No score uplift from claims alone; lock denominator/exclusions before results; sample verification; cross-check with adjacent domains; high scores require corroboration.</t>
        </is>
      </c>
      <c r="L88" s="8" t="inlineStr">
        <is>
          <t>Use primary-owner rule; shared evidence may validate multiple metrics but the same activity cannot be scored twice across domains.</t>
        </is>
      </c>
      <c r="M88" s="8" t="inlineStr">
        <is>
          <t>100*((0.45*M)+(0.30*I)+(0.25*O))/5 when O exists; otherwise 100*((0.60*M)+(0.40*I))/5.</t>
        </is>
      </c>
      <c r="N88" s="8" t="inlineStr">
        <is>
          <t>D07 methodology/data owner</t>
        </is>
      </c>
      <c r="O88" s="8" t="inlineStr">
        <is>
          <t>PROVISIONAL—pilot validation required</t>
        </is>
      </c>
    </row>
    <row r="89">
      <c r="A89" s="8" t="inlineStr">
        <is>
          <t>D07</t>
        </is>
      </c>
      <c r="B89" s="8" t="inlineStr">
        <is>
          <t>I09</t>
        </is>
      </c>
      <c r="C89" s="8" t="inlineStr">
        <is>
          <t>Assessment Equity &amp; Access</t>
        </is>
      </c>
      <c r="D89" s="8" t="inlineStr">
        <is>
          <t>Ability to assess capability fairly across diverse student contexts and access conditions.</t>
        </is>
      </c>
      <c r="E89" s="8" t="inlineStr">
        <is>
          <t>Anchor 0–5 from domain-specific maturity anchor using direct sampled practice/work evidence; do not infer maturity from policy statements alone.</t>
        </is>
      </c>
      <c r="F89" s="8" t="inlineStr">
        <is>
          <t>0–5: 0 absent; 1 isolated/person-dependent; 2 repeatable in limited areas; 3 institutionally structured; 4 broad/cross-functional and consistently operating; 5 continuously improved/scaled.</t>
        </is>
      </c>
      <c r="G89" s="8" t="inlineStr">
        <is>
          <t>Use outcome only when a legitimate measurable result exists; otherwise N/A.</t>
        </is>
      </c>
      <c r="H89" s="8" t="inlineStr">
        <is>
          <t>Only genuine mandate/context inapplicability with documented assessor approval; missing evidence is never N/A.</t>
        </is>
      </c>
      <c r="I89" s="8" t="inlineStr">
        <is>
          <t>—</t>
        </is>
      </c>
      <c r="J89" s="8" t="inlineStr">
        <is>
          <t>E0=0.20; E1=0.40; E2=0.65; E3=0.85; E4=1.00, subject to corroboration/independence adjustment. Report separately.</t>
        </is>
      </c>
      <c r="K89" s="8" t="inlineStr">
        <is>
          <t>No score uplift from claims alone; lock denominator/exclusions before results; sample verification; cross-check with adjacent domains; high scores require corroboration.</t>
        </is>
      </c>
      <c r="L89" s="8" t="inlineStr">
        <is>
          <t>Use primary-owner rule; shared evidence may validate multiple metrics but the same activity cannot be scored twice across domains.</t>
        </is>
      </c>
      <c r="M89" s="8" t="inlineStr">
        <is>
          <t>100*((0.45*M)+(0.30*I)+(0.25*O))/5 when O exists; otherwise 100*((0.60*M)+(0.40*I))/5.</t>
        </is>
      </c>
      <c r="N89" s="8" t="inlineStr">
        <is>
          <t>D07 methodology/data owner</t>
        </is>
      </c>
      <c r="O89" s="8" t="inlineStr">
        <is>
          <t>PROVISIONAL—pilot validation required</t>
        </is>
      </c>
    </row>
    <row r="90">
      <c r="A90" s="8" t="inlineStr">
        <is>
          <t>D07</t>
        </is>
      </c>
      <c r="B90" s="8" t="inlineStr">
        <is>
          <t>I10</t>
        </is>
      </c>
      <c r="C90" s="8" t="inlineStr">
        <is>
          <t>Assessment Governance</t>
        </is>
      </c>
      <c r="D90" s="8" t="inlineStr">
        <is>
          <t>Institutional oversight of assessment quality, integrity and consistency.</t>
        </is>
      </c>
      <c r="E90" s="8" t="inlineStr">
        <is>
          <t>Anchor 0–5 from domain-specific maturity anchor using direct sampled practice/work evidence; do not infer maturity from policy statements alone.</t>
        </is>
      </c>
      <c r="F90" s="8" t="inlineStr">
        <is>
          <t>0–5: 0 absent; 1 isolated/person-dependent; 2 repeatable in limited areas; 3 institutionally structured; 4 broad/cross-functional and consistently operating; 5 continuously improved/scaled.</t>
        </is>
      </c>
      <c r="G90" s="8" t="inlineStr">
        <is>
          <t>Use outcome only when a legitimate measurable result exists; otherwise N/A.</t>
        </is>
      </c>
      <c r="H90" s="8" t="inlineStr">
        <is>
          <t>Only genuine mandate/context inapplicability with documented assessor approval; missing evidence is never N/A.</t>
        </is>
      </c>
      <c r="I90" s="8" t="inlineStr">
        <is>
          <t>—</t>
        </is>
      </c>
      <c r="J90" s="8" t="inlineStr">
        <is>
          <t>E0=0.20; E1=0.40; E2=0.65; E3=0.85; E4=1.00, subject to corroboration/independence adjustment. Report separately.</t>
        </is>
      </c>
      <c r="K90" s="8" t="inlineStr">
        <is>
          <t>No score uplift from claims alone; lock denominator/exclusions before results; sample verification; cross-check with adjacent domains; high scores require corroboration.</t>
        </is>
      </c>
      <c r="L90" s="8" t="inlineStr">
        <is>
          <t>Use primary-owner rule; shared evidence may validate multiple metrics but the same activity cannot be scored twice across domains.</t>
        </is>
      </c>
      <c r="M90" s="8" t="inlineStr">
        <is>
          <t>100*((0.45*M)+(0.30*I)+(0.25*O))/5 when O exists; otherwise 100*((0.60*M)+(0.40*I))/5.</t>
        </is>
      </c>
      <c r="N90" s="8" t="inlineStr">
        <is>
          <t>D07 methodology/data owner</t>
        </is>
      </c>
      <c r="O90" s="8" t="inlineStr">
        <is>
          <t>PROVISIONAL—pilot validation required</t>
        </is>
      </c>
    </row>
    <row r="91">
      <c r="A91" s="8" t="inlineStr">
        <is>
          <t>D07</t>
        </is>
      </c>
      <c r="B91" s="8" t="inlineStr">
        <is>
          <t>I11</t>
        </is>
      </c>
      <c r="C91" s="8" t="inlineStr">
        <is>
          <t>Assessment Innovation</t>
        </is>
      </c>
      <c r="D91" s="8" t="inlineStr">
        <is>
          <t>Ability to experiment with and evaluate new assessment models.</t>
        </is>
      </c>
      <c r="E91" s="8" t="inlineStr">
        <is>
          <t>Anchor 0–5 from domain-specific maturity anchor using direct sampled practice/work evidence; do not infer maturity from policy statements alone.</t>
        </is>
      </c>
      <c r="F91" s="8" t="inlineStr">
        <is>
          <t>0–5: 0 absent; 1 isolated/person-dependent; 2 repeatable in limited areas; 3 institutionally structured; 4 broad/cross-functional and consistently operating; 5 continuously improved/scaled.</t>
        </is>
      </c>
      <c r="G91" s="8" t="inlineStr">
        <is>
          <t>Use outcome only when a legitimate measurable result exists; otherwise N/A.</t>
        </is>
      </c>
      <c r="H91" s="8" t="inlineStr">
        <is>
          <t>Only genuine mandate/context inapplicability with documented assessor approval; missing evidence is never N/A.</t>
        </is>
      </c>
      <c r="I91" s="8" t="inlineStr">
        <is>
          <t>—</t>
        </is>
      </c>
      <c r="J91" s="8" t="inlineStr">
        <is>
          <t>E0=0.20; E1=0.40; E2=0.65; E3=0.85; E4=1.00, subject to corroboration/independence adjustment. Report separately.</t>
        </is>
      </c>
      <c r="K91" s="8" t="inlineStr">
        <is>
          <t>No score uplift from claims alone; lock denominator/exclusions before results; sample verification; cross-check with adjacent domains; high scores require corroboration.</t>
        </is>
      </c>
      <c r="L91" s="8" t="inlineStr">
        <is>
          <t>Use primary-owner rule; shared evidence may validate multiple metrics but the same activity cannot be scored twice across domains.</t>
        </is>
      </c>
      <c r="M91" s="8" t="inlineStr">
        <is>
          <t>100*((0.45*M)+(0.30*I)+(0.25*O))/5 when O exists; otherwise 100*((0.60*M)+(0.40*I))/5.</t>
        </is>
      </c>
      <c r="N91" s="8" t="inlineStr">
        <is>
          <t>D07 methodology/data owner</t>
        </is>
      </c>
      <c r="O91" s="8" t="inlineStr">
        <is>
          <t>PROVISIONAL—pilot validation required</t>
        </is>
      </c>
    </row>
    <row r="92">
      <c r="A92" s="8" t="inlineStr">
        <is>
          <t>D07</t>
        </is>
      </c>
      <c r="B92" s="8" t="inlineStr">
        <is>
          <t>I12</t>
        </is>
      </c>
      <c r="C92" s="8" t="inlineStr">
        <is>
          <t>Learning Evidence Analytics</t>
        </is>
      </c>
      <c r="D92" s="8" t="inlineStr">
        <is>
          <t>Use of data to identify capability gaps and improve learning design.</t>
        </is>
      </c>
      <c r="E92" s="8" t="inlineStr">
        <is>
          <t>Anchor 0–5 from domain-specific maturity anchor using direct sampled practice/work evidence; do not infer maturity from policy statements alone.</t>
        </is>
      </c>
      <c r="F92" s="8" t="inlineStr">
        <is>
          <t>0–5: 0 absent; 1 isolated/person-dependent; 2 repeatable in limited areas; 3 institutionally structured; 4 broad/cross-functional and consistently operating; 5 continuously improved/scaled.</t>
        </is>
      </c>
      <c r="G92" s="8" t="inlineStr">
        <is>
          <t>Use outcome only when a legitimate measurable result exists; otherwise N/A.</t>
        </is>
      </c>
      <c r="H92" s="8" t="inlineStr">
        <is>
          <t>Only genuine mandate/context inapplicability with documented assessor approval; missing evidence is never N/A.</t>
        </is>
      </c>
      <c r="I92" s="8" t="inlineStr">
        <is>
          <t>—</t>
        </is>
      </c>
      <c r="J92" s="8" t="inlineStr">
        <is>
          <t>E0=0.20; E1=0.40; E2=0.65; E3=0.85; E4=1.00, subject to corroboration/independence adjustment. Report separately.</t>
        </is>
      </c>
      <c r="K92" s="8" t="inlineStr">
        <is>
          <t>No score uplift from claims alone; lock denominator/exclusions before results; sample verification; cross-check with adjacent domains; high scores require corroboration.</t>
        </is>
      </c>
      <c r="L92" s="8" t="inlineStr">
        <is>
          <t>Use primary-owner rule; shared evidence may validate multiple metrics but the same activity cannot be scored twice across domains.</t>
        </is>
      </c>
      <c r="M92" s="8" t="inlineStr">
        <is>
          <t>100*((0.45*M)+(0.30*I)+(0.25*O))/5 when O exists; otherwise 100*((0.60*M)+(0.40*I))/5.</t>
        </is>
      </c>
      <c r="N92" s="8" t="inlineStr">
        <is>
          <t>D07 methodology/data owner</t>
        </is>
      </c>
      <c r="O92" s="8" t="inlineStr">
        <is>
          <t>PROVISIONAL—pilot validation required</t>
        </is>
      </c>
    </row>
    <row r="93">
      <c r="A93" s="8" t="inlineStr">
        <is>
          <t>D08</t>
        </is>
      </c>
      <c r="B93" s="8" t="inlineStr">
        <is>
          <t>I01</t>
        </is>
      </c>
      <c r="C93" s="8" t="inlineStr">
        <is>
          <t>Digital Environment Readiness</t>
        </is>
      </c>
      <c r="D93" s="8" t="inlineStr">
        <is>
          <t>Suitability of the institutional digital environment for emerging academic and administrative needs.</t>
        </is>
      </c>
      <c r="E93" s="8" t="inlineStr">
        <is>
          <t>Anchor 0–5 from domain-specific maturity anchor using direct sampled practice/work evidence; do not infer maturity from policy statements alone.</t>
        </is>
      </c>
      <c r="F93" s="8" t="inlineStr">
        <is>
          <t>0–5: 0 absent; 1 isolated/person-dependent; 2 repeatable in limited areas; 3 institutionally structured; 4 broad/cross-functional and consistently operating; 5 continuously improved/scaled.</t>
        </is>
      </c>
      <c r="G93" s="8" t="inlineStr">
        <is>
          <t>Use outcome only when a legitimate measurable result exists; otherwise N/A.</t>
        </is>
      </c>
      <c r="H93" s="8" t="inlineStr">
        <is>
          <t>Only genuine mandate/context inapplicability with documented assessor approval; missing evidence is never N/A.</t>
        </is>
      </c>
      <c r="I93" s="8" t="inlineStr">
        <is>
          <t>—</t>
        </is>
      </c>
      <c r="J93" s="8" t="inlineStr">
        <is>
          <t>E0=0.20; E1=0.40; E2=0.65; E3=0.85; E4=1.00, subject to corroboration/independence adjustment. Report separately.</t>
        </is>
      </c>
      <c r="K93" s="8" t="inlineStr">
        <is>
          <t>No score uplift from claims alone; lock denominator/exclusions before results; sample verification; cross-check with adjacent domains; high scores require corroboration.</t>
        </is>
      </c>
      <c r="L93" s="8" t="inlineStr">
        <is>
          <t>Use primary-owner rule; shared evidence may validate multiple metrics but the same activity cannot be scored twice across domains.</t>
        </is>
      </c>
      <c r="M93" s="8" t="inlineStr">
        <is>
          <t>100*((0.45*M)+(0.30*I)+(0.25*O))/5 when O exists; otherwise 100*((0.60*M)+(0.40*I))/5.</t>
        </is>
      </c>
      <c r="N93" s="8" t="inlineStr">
        <is>
          <t>D08 methodology/data owner</t>
        </is>
      </c>
      <c r="O93" s="8" t="inlineStr">
        <is>
          <t>PROVISIONAL—pilot validation required</t>
        </is>
      </c>
    </row>
    <row r="94">
      <c r="A94" s="8" t="inlineStr">
        <is>
          <t>D08</t>
        </is>
      </c>
      <c r="B94" s="8" t="inlineStr">
        <is>
          <t>I02</t>
        </is>
      </c>
      <c r="C94" s="8" t="inlineStr">
        <is>
          <t>Institutional Data Architecture</t>
        </is>
      </c>
      <c r="D94" s="8" t="inlineStr">
        <is>
          <t>Degree to which important institutional data are structured, connected and usable.</t>
        </is>
      </c>
      <c r="E94" s="8" t="inlineStr">
        <is>
          <t>Anchor 0–5 from domain-specific maturity anchor using direct sampled practice/work evidence; do not infer maturity from policy statements alone.</t>
        </is>
      </c>
      <c r="F94" s="8" t="inlineStr">
        <is>
          <t>0–5: 0 absent; 1 isolated/person-dependent; 2 repeatable in limited areas; 3 institutionally structured; 4 broad/cross-functional and consistently operating; 5 continuously improved/scaled.</t>
        </is>
      </c>
      <c r="G94" s="8" t="inlineStr">
        <is>
          <t>Use outcome only when a legitimate measurable result exists; otherwise N/A.</t>
        </is>
      </c>
      <c r="H94" s="8" t="inlineStr">
        <is>
          <t>Only genuine mandate/context inapplicability with documented assessor approval; missing evidence is never N/A.</t>
        </is>
      </c>
      <c r="I94" s="8" t="inlineStr">
        <is>
          <t>—</t>
        </is>
      </c>
      <c r="J94" s="8" t="inlineStr">
        <is>
          <t>E0=0.20; E1=0.40; E2=0.65; E3=0.85; E4=1.00, subject to corroboration/independence adjustment. Report separately.</t>
        </is>
      </c>
      <c r="K94" s="8" t="inlineStr">
        <is>
          <t>No score uplift from claims alone; lock denominator/exclusions before results; sample verification; cross-check with adjacent domains; high scores require corroboration.</t>
        </is>
      </c>
      <c r="L94" s="8" t="inlineStr">
        <is>
          <t>Use primary-owner rule; shared evidence may validate multiple metrics but the same activity cannot be scored twice across domains.</t>
        </is>
      </c>
      <c r="M94" s="8" t="inlineStr">
        <is>
          <t>100*((0.45*M)+(0.30*I)+(0.25*O))/5 when O exists; otherwise 100*((0.60*M)+(0.40*I))/5.</t>
        </is>
      </c>
      <c r="N94" s="8" t="inlineStr">
        <is>
          <t>D08 methodology/data owner</t>
        </is>
      </c>
      <c r="O94" s="8" t="inlineStr">
        <is>
          <t>PROVISIONAL—pilot validation required</t>
        </is>
      </c>
    </row>
    <row r="95">
      <c r="A95" s="8" t="inlineStr">
        <is>
          <t>D08</t>
        </is>
      </c>
      <c r="B95" s="8" t="inlineStr">
        <is>
          <t>I03</t>
        </is>
      </c>
      <c r="C95" s="8" t="inlineStr">
        <is>
          <t>Data Quality &amp; Integrity</t>
        </is>
      </c>
      <c r="D95" s="8" t="inlineStr">
        <is>
          <t>Reliability, completeness, consistency and stewardship of institutional data.</t>
        </is>
      </c>
      <c r="E95" s="8" t="inlineStr">
        <is>
          <t>Anchor 0–5 from domain-specific maturity anchor using direct sampled practice/work evidence; do not infer maturity from policy statements alone.</t>
        </is>
      </c>
      <c r="F95" s="8" t="inlineStr">
        <is>
          <t>0–5: 0 absent; 1 isolated/person-dependent; 2 repeatable in limited areas; 3 institutionally structured; 4 broad/cross-functional and consistently operating; 5 continuously improved/scaled.</t>
        </is>
      </c>
      <c r="G95" s="8" t="inlineStr">
        <is>
          <t>Use outcome only when a legitimate measurable result exists; otherwise N/A.</t>
        </is>
      </c>
      <c r="H95" s="8" t="inlineStr">
        <is>
          <t>Only genuine mandate/context inapplicability with documented assessor approval; missing evidence is never N/A.</t>
        </is>
      </c>
      <c r="I95" s="8" t="inlineStr">
        <is>
          <t>—</t>
        </is>
      </c>
      <c r="J95" s="8" t="inlineStr">
        <is>
          <t>E0=0.20; E1=0.40; E2=0.65; E3=0.85; E4=1.00, subject to corroboration/independence adjustment. Report separately.</t>
        </is>
      </c>
      <c r="K95" s="8" t="inlineStr">
        <is>
          <t>No score uplift from claims alone; lock denominator/exclusions before results; sample verification; cross-check with adjacent domains; high scores require corroboration.</t>
        </is>
      </c>
      <c r="L95" s="8" t="inlineStr">
        <is>
          <t>Use primary-owner rule; shared evidence may validate multiple metrics but the same activity cannot be scored twice across domains.</t>
        </is>
      </c>
      <c r="M95" s="8" t="inlineStr">
        <is>
          <t>100*((0.45*M)+(0.30*I)+(0.25*O))/5 when O exists; otherwise 100*((0.60*M)+(0.40*I))/5.</t>
        </is>
      </c>
      <c r="N95" s="8" t="inlineStr">
        <is>
          <t>D08 methodology/data owner</t>
        </is>
      </c>
      <c r="O95" s="8" t="inlineStr">
        <is>
          <t>PROVISIONAL—pilot validation required</t>
        </is>
      </c>
    </row>
    <row r="96">
      <c r="A96" s="8" t="inlineStr">
        <is>
          <t>D08</t>
        </is>
      </c>
      <c r="B96" s="8" t="inlineStr">
        <is>
          <t>I04</t>
        </is>
      </c>
      <c r="C96" s="8" t="inlineStr">
        <is>
          <t>System Interoperability</t>
        </is>
      </c>
      <c r="D96" s="8" t="inlineStr">
        <is>
          <t>Ability of institutional systems to exchange and use information coherently.</t>
        </is>
      </c>
      <c r="E96" s="8" t="inlineStr">
        <is>
          <t>Anchor 0–5 from domain-specific maturity anchor using direct sampled practice/work evidence; do not infer maturity from policy statements alone.</t>
        </is>
      </c>
      <c r="F96" s="8" t="inlineStr">
        <is>
          <t>0–5: 0 absent; 1 isolated/person-dependent; 2 repeatable in limited areas; 3 institutionally structured; 4 broad/cross-functional and consistently operating; 5 continuously improved/scaled.</t>
        </is>
      </c>
      <c r="G96" s="8" t="inlineStr">
        <is>
          <t>Use outcome only when a legitimate measurable result exists; otherwise N/A.</t>
        </is>
      </c>
      <c r="H96" s="8" t="inlineStr">
        <is>
          <t>Only genuine mandate/context inapplicability with documented assessor approval; missing evidence is never N/A.</t>
        </is>
      </c>
      <c r="I96" s="8" t="inlineStr">
        <is>
          <t>—</t>
        </is>
      </c>
      <c r="J96" s="8" t="inlineStr">
        <is>
          <t>E0=0.20; E1=0.40; E2=0.65; E3=0.85; E4=1.00, subject to corroboration/independence adjustment. Report separately.</t>
        </is>
      </c>
      <c r="K96" s="8" t="inlineStr">
        <is>
          <t>No score uplift from claims alone; lock denominator/exclusions before results; sample verification; cross-check with adjacent domains; high scores require corroboration.</t>
        </is>
      </c>
      <c r="L96" s="8" t="inlineStr">
        <is>
          <t>Use primary-owner rule; shared evidence may validate multiple metrics but the same activity cannot be scored twice across domains.</t>
        </is>
      </c>
      <c r="M96" s="8" t="inlineStr">
        <is>
          <t>100*((0.45*M)+(0.30*I)+(0.25*O))/5 when O exists; otherwise 100*((0.60*M)+(0.40*I))/5.</t>
        </is>
      </c>
      <c r="N96" s="8" t="inlineStr">
        <is>
          <t>D08 methodology/data owner</t>
        </is>
      </c>
      <c r="O96" s="8" t="inlineStr">
        <is>
          <t>PROVISIONAL—pilot validation required</t>
        </is>
      </c>
    </row>
    <row r="97">
      <c r="A97" s="8" t="inlineStr">
        <is>
          <t>D08</t>
        </is>
      </c>
      <c r="B97" s="8" t="inlineStr">
        <is>
          <t>I05</t>
        </is>
      </c>
      <c r="C97" s="8" t="inlineStr">
        <is>
          <t>Decision Intelligence</t>
        </is>
      </c>
      <c r="D97" s="8" t="inlineStr">
        <is>
          <t>Use of institutional data and analytics in leadership and operational decisions.</t>
        </is>
      </c>
      <c r="E97" s="8" t="inlineStr">
        <is>
          <t>Anchor 0–5 from domain-specific maturity anchor using direct sampled practice/work evidence; do not infer maturity from policy statements alone.</t>
        </is>
      </c>
      <c r="F97" s="8" t="inlineStr">
        <is>
          <t>0–5: 0 absent; 1 isolated/person-dependent; 2 repeatable in limited areas; 3 institutionally structured; 4 broad/cross-functional and consistently operating; 5 continuously improved/scaled.</t>
        </is>
      </c>
      <c r="G97" s="8" t="inlineStr">
        <is>
          <t>Use outcome only when a legitimate measurable result exists; otherwise N/A.</t>
        </is>
      </c>
      <c r="H97" s="8" t="inlineStr">
        <is>
          <t>Only genuine mandate/context inapplicability with documented assessor approval; missing evidence is never N/A.</t>
        </is>
      </c>
      <c r="I97" s="8" t="inlineStr">
        <is>
          <t>—</t>
        </is>
      </c>
      <c r="J97" s="8" t="inlineStr">
        <is>
          <t>E0=0.20; E1=0.40; E2=0.65; E3=0.85; E4=1.00, subject to corroboration/independence adjustment. Report separately.</t>
        </is>
      </c>
      <c r="K97" s="8" t="inlineStr">
        <is>
          <t>No score uplift from claims alone; lock denominator/exclusions before results; sample verification; cross-check with adjacent domains; high scores require corroboration.</t>
        </is>
      </c>
      <c r="L97" s="8" t="inlineStr">
        <is>
          <t>Use primary-owner rule; shared evidence may validate multiple metrics but the same activity cannot be scored twice across domains.</t>
        </is>
      </c>
      <c r="M97" s="8" t="inlineStr">
        <is>
          <t>100*((0.45*M)+(0.30*I)+(0.25*O))/5 when O exists; otherwise 100*((0.60*M)+(0.40*I))/5.</t>
        </is>
      </c>
      <c r="N97" s="8" t="inlineStr">
        <is>
          <t>D08 methodology/data owner</t>
        </is>
      </c>
      <c r="O97" s="8" t="inlineStr">
        <is>
          <t>PROVISIONAL—pilot validation required</t>
        </is>
      </c>
    </row>
    <row r="98">
      <c r="A98" s="8" t="inlineStr">
        <is>
          <t>D08</t>
        </is>
      </c>
      <c r="B98" s="8" t="inlineStr">
        <is>
          <t>I06</t>
        </is>
      </c>
      <c r="C98" s="8" t="inlineStr">
        <is>
          <t>AI Enablement Readiness</t>
        </is>
      </c>
      <c r="D98" s="8" t="inlineStr">
        <is>
          <t>Whether infrastructure and data can responsibly support AI-enabled activity.</t>
        </is>
      </c>
      <c r="E98" s="8" t="inlineStr">
        <is>
          <t>Anchor 0–5 from domain-specific maturity anchor using direct sampled practice/work evidence; do not infer maturity from policy statements alone.</t>
        </is>
      </c>
      <c r="F98" s="8" t="inlineStr">
        <is>
          <t>0–5: 0 absent; 1 isolated/person-dependent; 2 repeatable in limited areas; 3 institutionally structured; 4 broad/cross-functional and consistently operating; 5 continuously improved/scaled.</t>
        </is>
      </c>
      <c r="G98" s="8" t="inlineStr">
        <is>
          <t>Use outcome only when a legitimate measurable result exists; otherwise N/A.</t>
        </is>
      </c>
      <c r="H98" s="8" t="inlineStr">
        <is>
          <t>Only genuine mandate/context inapplicability with documented assessor approval; missing evidence is never N/A.</t>
        </is>
      </c>
      <c r="I98" s="8" t="inlineStr">
        <is>
          <t>—</t>
        </is>
      </c>
      <c r="J98" s="8" t="inlineStr">
        <is>
          <t>E0=0.20; E1=0.40; E2=0.65; E3=0.85; E4=1.00, subject to corroboration/independence adjustment. Report separately.</t>
        </is>
      </c>
      <c r="K98" s="8" t="inlineStr">
        <is>
          <t>No score uplift from claims alone; lock denominator/exclusions before results; sample verification; cross-check with adjacent domains; high scores require corroboration.</t>
        </is>
      </c>
      <c r="L98" s="8" t="inlineStr">
        <is>
          <t>Use primary-owner rule; shared evidence may validate multiple metrics but the same activity cannot be scored twice across domains.</t>
        </is>
      </c>
      <c r="M98" s="8" t="inlineStr">
        <is>
          <t>100*((0.45*M)+(0.30*I)+(0.25*O))/5 when O exists; otherwise 100*((0.60*M)+(0.40*I))/5.</t>
        </is>
      </c>
      <c r="N98" s="8" t="inlineStr">
        <is>
          <t>D08 methodology/data owner</t>
        </is>
      </c>
      <c r="O98" s="8" t="inlineStr">
        <is>
          <t>PROVISIONAL—pilot validation required</t>
        </is>
      </c>
    </row>
    <row r="99">
      <c r="A99" s="8" t="inlineStr">
        <is>
          <t>D08</t>
        </is>
      </c>
      <c r="B99" s="8" t="inlineStr">
        <is>
          <t>I07</t>
        </is>
      </c>
      <c r="C99" s="8" t="inlineStr">
        <is>
          <t>Cyber &amp; Information Security</t>
        </is>
      </c>
      <c r="D99" s="8" t="inlineStr">
        <is>
          <t>Protection of institutional information, systems and users.</t>
        </is>
      </c>
      <c r="E99" s="8" t="inlineStr">
        <is>
          <t>Anchor 0–5 from domain-specific maturity anchor using direct sampled practice/work evidence; do not infer maturity from policy statements alone.</t>
        </is>
      </c>
      <c r="F99" s="8" t="inlineStr">
        <is>
          <t>0–5: 0 absent; 1 isolated/person-dependent; 2 repeatable in limited areas; 3 institutionally structured; 4 broad/cross-functional and consistently operating; 5 continuously improved/scaled.</t>
        </is>
      </c>
      <c r="G99" s="8" t="inlineStr">
        <is>
          <t>Use outcome only when a legitimate measurable result exists; otherwise N/A.</t>
        </is>
      </c>
      <c r="H99" s="8" t="inlineStr">
        <is>
          <t>Only genuine mandate/context inapplicability with documented assessor approval; missing evidence is never N/A.</t>
        </is>
      </c>
      <c r="I99" s="8" t="inlineStr">
        <is>
          <t>—</t>
        </is>
      </c>
      <c r="J99" s="8" t="inlineStr">
        <is>
          <t>E0=0.20; E1=0.40; E2=0.65; E3=0.85; E4=1.00, subject to corroboration/independence adjustment. Report separately.</t>
        </is>
      </c>
      <c r="K99" s="8" t="inlineStr">
        <is>
          <t>No score uplift from claims alone; lock denominator/exclusions before results; sample verification; cross-check with adjacent domains; high scores require corroboration.</t>
        </is>
      </c>
      <c r="L99" s="8" t="inlineStr">
        <is>
          <t>Use primary-owner rule; shared evidence may validate multiple metrics but the same activity cannot be scored twice across domains.</t>
        </is>
      </c>
      <c r="M99" s="8" t="inlineStr">
        <is>
          <t>100*((0.45*M)+(0.30*I)+(0.25*O))/5 when O exists; otherwise 100*((0.60*M)+(0.40*I))/5.</t>
        </is>
      </c>
      <c r="N99" s="8" t="inlineStr">
        <is>
          <t>D08 methodology/data owner</t>
        </is>
      </c>
      <c r="O99" s="8" t="inlineStr">
        <is>
          <t>PROVISIONAL—pilot validation required</t>
        </is>
      </c>
    </row>
    <row r="100">
      <c r="A100" s="8" t="inlineStr">
        <is>
          <t>D08</t>
        </is>
      </c>
      <c r="B100" s="8" t="inlineStr">
        <is>
          <t>I08</t>
        </is>
      </c>
      <c r="C100" s="8" t="inlineStr">
        <is>
          <t>Data Privacy Readiness</t>
        </is>
      </c>
      <c r="D100" s="8" t="inlineStr">
        <is>
          <t>Controls governing sensitive student, faculty and research information.</t>
        </is>
      </c>
      <c r="E100" s="8" t="inlineStr">
        <is>
          <t>Anchor 0–5 from domain-specific maturity anchor using direct sampled practice/work evidence; do not infer maturity from policy statements alone.</t>
        </is>
      </c>
      <c r="F100" s="8" t="inlineStr">
        <is>
          <t>0–5: 0 absent; 1 isolated/person-dependent; 2 repeatable in limited areas; 3 institutionally structured; 4 broad/cross-functional and consistently operating; 5 continuously improved/scaled.</t>
        </is>
      </c>
      <c r="G100" s="8" t="inlineStr">
        <is>
          <t>Use outcome only when a legitimate measurable result exists; otherwise N/A.</t>
        </is>
      </c>
      <c r="H100" s="8" t="inlineStr">
        <is>
          <t>Only genuine mandate/context inapplicability with documented assessor approval; missing evidence is never N/A.</t>
        </is>
      </c>
      <c r="I100" s="8" t="inlineStr">
        <is>
          <t>—</t>
        </is>
      </c>
      <c r="J100" s="8" t="inlineStr">
        <is>
          <t>E0=0.20; E1=0.40; E2=0.65; E3=0.85; E4=1.00, subject to corroboration/independence adjustment. Report separately.</t>
        </is>
      </c>
      <c r="K100" s="8" t="inlineStr">
        <is>
          <t>No score uplift from claims alone; lock denominator/exclusions before results; sample verification; cross-check with adjacent domains; high scores require corroboration.</t>
        </is>
      </c>
      <c r="L100" s="8" t="inlineStr">
        <is>
          <t>Use primary-owner rule; shared evidence may validate multiple metrics but the same activity cannot be scored twice across domains.</t>
        </is>
      </c>
      <c r="M100" s="8" t="inlineStr">
        <is>
          <t>100*((0.45*M)+(0.30*I)+(0.25*O))/5 when O exists; otherwise 100*((0.60*M)+(0.40*I))/5.</t>
        </is>
      </c>
      <c r="N100" s="8" t="inlineStr">
        <is>
          <t>D08 methodology/data owner</t>
        </is>
      </c>
      <c r="O100" s="8" t="inlineStr">
        <is>
          <t>PROVISIONAL—pilot validation required</t>
        </is>
      </c>
    </row>
    <row r="101">
      <c r="A101" s="8" t="inlineStr">
        <is>
          <t>D08</t>
        </is>
      </c>
      <c r="B101" s="8" t="inlineStr">
        <is>
          <t>I09</t>
        </is>
      </c>
      <c r="C101" s="8" t="inlineStr">
        <is>
          <t>Digital Equity &amp; Access</t>
        </is>
      </c>
      <c r="D101" s="8" t="inlineStr">
        <is>
          <t>Ability to provide appropriate digital/AI access across student groups.</t>
        </is>
      </c>
      <c r="E101" s="8" t="inlineStr">
        <is>
          <t>Anchor 0–5 from domain-specific maturity anchor using direct sampled practice/work evidence; do not infer maturity from policy statements alone.</t>
        </is>
      </c>
      <c r="F101" s="8" t="inlineStr">
        <is>
          <t>0–5: 0 absent; 1 isolated/person-dependent; 2 repeatable in limited areas; 3 institutionally structured; 4 broad/cross-functional and consistently operating; 5 continuously improved/scaled.</t>
        </is>
      </c>
      <c r="G101" s="8" t="inlineStr">
        <is>
          <t>Use outcome only when a legitimate measurable result exists; otherwise N/A.</t>
        </is>
      </c>
      <c r="H101" s="8" t="inlineStr">
        <is>
          <t>Only genuine mandate/context inapplicability with documented assessor approval; missing evidence is never N/A.</t>
        </is>
      </c>
      <c r="I101" s="8" t="inlineStr">
        <is>
          <t>—</t>
        </is>
      </c>
      <c r="J101" s="8" t="inlineStr">
        <is>
          <t>E0=0.20; E1=0.40; E2=0.65; E3=0.85; E4=1.00, subject to corroboration/independence adjustment. Report separately.</t>
        </is>
      </c>
      <c r="K101" s="8" t="inlineStr">
        <is>
          <t>No score uplift from claims alone; lock denominator/exclusions before results; sample verification; cross-check with adjacent domains; high scores require corroboration.</t>
        </is>
      </c>
      <c r="L101" s="8" t="inlineStr">
        <is>
          <t>Use primary-owner rule; shared evidence may validate multiple metrics but the same activity cannot be scored twice across domains.</t>
        </is>
      </c>
      <c r="M101" s="8" t="inlineStr">
        <is>
          <t>100*((0.45*M)+(0.30*I)+(0.25*O))/5 when O exists; otherwise 100*((0.60*M)+(0.40*I))/5.</t>
        </is>
      </c>
      <c r="N101" s="8" t="inlineStr">
        <is>
          <t>D08 methodology/data owner</t>
        </is>
      </c>
      <c r="O101" s="8" t="inlineStr">
        <is>
          <t>PROVISIONAL—pilot validation required</t>
        </is>
      </c>
    </row>
    <row r="102">
      <c r="A102" s="8" t="inlineStr">
        <is>
          <t>D08</t>
        </is>
      </c>
      <c r="B102" s="8" t="inlineStr">
        <is>
          <t>I10</t>
        </is>
      </c>
      <c r="C102" s="8" t="inlineStr">
        <is>
          <t>Technology Decision Governance</t>
        </is>
      </c>
      <c r="D102" s="8" t="inlineStr">
        <is>
          <t>How technology choices are evaluated, prioritised and governed.</t>
        </is>
      </c>
      <c r="E102" s="8" t="inlineStr">
        <is>
          <t>Anchor 0–5 from domain-specific maturity anchor using direct sampled practice/work evidence; do not infer maturity from policy statements alone.</t>
        </is>
      </c>
      <c r="F102" s="8" t="inlineStr">
        <is>
          <t>0–5: 0 absent; 1 isolated/person-dependent; 2 repeatable in limited areas; 3 institutionally structured; 4 broad/cross-functional and consistently operating; 5 continuously improved/scaled.</t>
        </is>
      </c>
      <c r="G102" s="8" t="inlineStr">
        <is>
          <t>Use outcome only when a legitimate measurable result exists; otherwise N/A.</t>
        </is>
      </c>
      <c r="H102" s="8" t="inlineStr">
        <is>
          <t>Only genuine mandate/context inapplicability with documented assessor approval; missing evidence is never N/A.</t>
        </is>
      </c>
      <c r="I102" s="8" t="inlineStr">
        <is>
          <t>—</t>
        </is>
      </c>
      <c r="J102" s="8" t="inlineStr">
        <is>
          <t>E0=0.20; E1=0.40; E2=0.65; E3=0.85; E4=1.00, subject to corroboration/independence adjustment. Report separately.</t>
        </is>
      </c>
      <c r="K102" s="8" t="inlineStr">
        <is>
          <t>No score uplift from claims alone; lock denominator/exclusions before results; sample verification; cross-check with adjacent domains; high scores require corroboration.</t>
        </is>
      </c>
      <c r="L102" s="8" t="inlineStr">
        <is>
          <t>Use primary-owner rule; shared evidence may validate multiple metrics but the same activity cannot be scored twice across domains.</t>
        </is>
      </c>
      <c r="M102" s="8" t="inlineStr">
        <is>
          <t>100*((0.45*M)+(0.30*I)+(0.25*O))/5 when O exists; otherwise 100*((0.60*M)+(0.40*I))/5.</t>
        </is>
      </c>
      <c r="N102" s="8" t="inlineStr">
        <is>
          <t>D08 methodology/data owner</t>
        </is>
      </c>
      <c r="O102" s="8" t="inlineStr">
        <is>
          <t>PROVISIONAL—pilot validation required</t>
        </is>
      </c>
    </row>
    <row r="103">
      <c r="A103" s="8" t="inlineStr">
        <is>
          <t>D08</t>
        </is>
      </c>
      <c r="B103" s="8" t="inlineStr">
        <is>
          <t>I11</t>
        </is>
      </c>
      <c r="C103" s="8" t="inlineStr">
        <is>
          <t>Digital Process Maturity</t>
        </is>
      </c>
      <c r="D103" s="8" t="inlineStr">
        <is>
          <t>Extent to which institutional workflows are digitally enabled and intelligently designed.</t>
        </is>
      </c>
      <c r="E103" s="8" t="inlineStr">
        <is>
          <t>Anchor 0–5 from domain-specific maturity anchor using direct sampled practice/work evidence; do not infer maturity from policy statements alone.</t>
        </is>
      </c>
      <c r="F103" s="8" t="inlineStr">
        <is>
          <t>0–5: 0 absent; 1 isolated/person-dependent; 2 repeatable in limited areas; 3 institutionally structured; 4 broad/cross-functional and consistently operating; 5 continuously improved/scaled.</t>
        </is>
      </c>
      <c r="G103" s="8" t="inlineStr">
        <is>
          <t>Use outcome only when a legitimate measurable result exists; otherwise N/A.</t>
        </is>
      </c>
      <c r="H103" s="8" t="inlineStr">
        <is>
          <t>Only genuine mandate/context inapplicability with documented assessor approval; missing evidence is never N/A.</t>
        </is>
      </c>
      <c r="I103" s="8" t="inlineStr">
        <is>
          <t>—</t>
        </is>
      </c>
      <c r="J103" s="8" t="inlineStr">
        <is>
          <t>E0=0.20; E1=0.40; E2=0.65; E3=0.85; E4=1.00, subject to corroboration/independence adjustment. Report separately.</t>
        </is>
      </c>
      <c r="K103" s="8" t="inlineStr">
        <is>
          <t>No score uplift from claims alone; lock denominator/exclusions before results; sample verification; cross-check with adjacent domains; high scores require corroboration.</t>
        </is>
      </c>
      <c r="L103" s="8" t="inlineStr">
        <is>
          <t>Use primary-owner rule; shared evidence may validate multiple metrics but the same activity cannot be scored twice across domains.</t>
        </is>
      </c>
      <c r="M103" s="8" t="inlineStr">
        <is>
          <t>100*((0.45*M)+(0.30*I)+(0.25*O))/5 when O exists; otherwise 100*((0.60*M)+(0.40*I))/5.</t>
        </is>
      </c>
      <c r="N103" s="8" t="inlineStr">
        <is>
          <t>D08 methodology/data owner</t>
        </is>
      </c>
      <c r="O103" s="8" t="inlineStr">
        <is>
          <t>PROVISIONAL—pilot validation required</t>
        </is>
      </c>
    </row>
    <row r="104">
      <c r="A104" s="8" t="inlineStr">
        <is>
          <t>D08</t>
        </is>
      </c>
      <c r="B104" s="8" t="inlineStr">
        <is>
          <t>I12</t>
        </is>
      </c>
      <c r="C104" s="8" t="inlineStr">
        <is>
          <t>Institutional Intelligence Capability</t>
        </is>
      </c>
      <c r="D104" s="8" t="inlineStr">
        <is>
          <t>Ability to turn fragmented data into actionable institutional understanding.</t>
        </is>
      </c>
      <c r="E104" s="8" t="inlineStr">
        <is>
          <t>Anchor 0–5 from domain-specific maturity anchor using direct sampled practice/work evidence; do not infer maturity from policy statements alone.</t>
        </is>
      </c>
      <c r="F104" s="8" t="inlineStr">
        <is>
          <t>0–5: 0 absent; 1 isolated/person-dependent; 2 repeatable in limited areas; 3 institutionally structured; 4 broad/cross-functional and consistently operating; 5 continuously improved/scaled.</t>
        </is>
      </c>
      <c r="G104" s="8" t="inlineStr">
        <is>
          <t>Use outcome only when a legitimate measurable result exists; otherwise N/A.</t>
        </is>
      </c>
      <c r="H104" s="8" t="inlineStr">
        <is>
          <t>Only genuine mandate/context inapplicability with documented assessor approval; missing evidence is never N/A.</t>
        </is>
      </c>
      <c r="I104" s="8" t="inlineStr">
        <is>
          <t>—</t>
        </is>
      </c>
      <c r="J104" s="8" t="inlineStr">
        <is>
          <t>E0=0.20; E1=0.40; E2=0.65; E3=0.85; E4=1.00, subject to corroboration/independence adjustment. Report separately.</t>
        </is>
      </c>
      <c r="K104" s="8" t="inlineStr">
        <is>
          <t>No score uplift from claims alone; lock denominator/exclusions before results; sample verification; cross-check with adjacent domains; high scores require corroboration.</t>
        </is>
      </c>
      <c r="L104" s="8" t="inlineStr">
        <is>
          <t>Use primary-owner rule; shared evidence may validate multiple metrics but the same activity cannot be scored twice across domains.</t>
        </is>
      </c>
      <c r="M104" s="8" t="inlineStr">
        <is>
          <t>100*((0.45*M)+(0.30*I)+(0.25*O))/5 when O exists; otherwise 100*((0.60*M)+(0.40*I))/5.</t>
        </is>
      </c>
      <c r="N104" s="8" t="inlineStr">
        <is>
          <t>D08 methodology/data owner</t>
        </is>
      </c>
      <c r="O104" s="8" t="inlineStr">
        <is>
          <t>PROVISIONAL—pilot validation required</t>
        </is>
      </c>
    </row>
    <row r="105">
      <c r="A105" s="8" t="inlineStr">
        <is>
          <t>D09</t>
        </is>
      </c>
      <c r="B105" s="8" t="inlineStr">
        <is>
          <t>I01</t>
        </is>
      </c>
      <c r="C105" s="8" t="inlineStr">
        <is>
          <t>Employer Demand Sensing</t>
        </is>
      </c>
      <c r="D105" s="8" t="inlineStr">
        <is>
          <t>How systematically the institution understands changing employer and sector capability needs.</t>
        </is>
      </c>
      <c r="E105" s="8" t="inlineStr">
        <is>
          <t>Anchor 0–5 from domain-specific maturity anchor using direct sampled practice/work evidence; do not infer maturity from policy statements alone.</t>
        </is>
      </c>
      <c r="F105" s="8" t="inlineStr">
        <is>
          <t>0–5: 0 absent; 1 isolated/person-dependent; 2 repeatable in limited areas; 3 institutionally structured; 4 broad/cross-functional and consistently operating; 5 continuously improved/scaled.</t>
        </is>
      </c>
      <c r="G105" s="8" t="inlineStr">
        <is>
          <t>Use outcome only when a legitimate measurable result exists; otherwise N/A.</t>
        </is>
      </c>
      <c r="H105" s="8" t="inlineStr">
        <is>
          <t>Only genuine mandate/context inapplicability with documented assessor approval; missing evidence is never N/A.</t>
        </is>
      </c>
      <c r="I105" s="8" t="inlineStr">
        <is>
          <t>—</t>
        </is>
      </c>
      <c r="J105" s="8" t="inlineStr">
        <is>
          <t>E0=0.20; E1=0.40; E2=0.65; E3=0.85; E4=1.00, subject to corroboration/independence adjustment. Report separately.</t>
        </is>
      </c>
      <c r="K105" s="8" t="inlineStr">
        <is>
          <t>No score uplift from claims alone; lock denominator/exclusions before results; sample verification; cross-check with adjacent domains; high scores require corroboration.</t>
        </is>
      </c>
      <c r="L105" s="8" t="inlineStr">
        <is>
          <t>Use primary-owner rule; shared evidence may validate multiple metrics but the same activity cannot be scored twice across domains.</t>
        </is>
      </c>
      <c r="M105" s="8" t="inlineStr">
        <is>
          <t>100*((0.45*M)+(0.30*I)+(0.25*O))/5 when O exists; otherwise 100*((0.60*M)+(0.40*I))/5.</t>
        </is>
      </c>
      <c r="N105" s="8" t="inlineStr">
        <is>
          <t>D09 methodology/data owner</t>
        </is>
      </c>
      <c r="O105" s="8" t="inlineStr">
        <is>
          <t>PROVISIONAL—pilot validation required</t>
        </is>
      </c>
    </row>
    <row r="106">
      <c r="A106" s="8" t="inlineStr">
        <is>
          <t>D09</t>
        </is>
      </c>
      <c r="B106" s="8" t="inlineStr">
        <is>
          <t>I02</t>
        </is>
      </c>
      <c r="C106" s="8" t="inlineStr">
        <is>
          <t>Employability Capability Architecture</t>
        </is>
      </c>
      <c r="D106" s="8" t="inlineStr">
        <is>
          <t>Clarity of capabilities graduates are expected to possess beyond credentials.</t>
        </is>
      </c>
      <c r="E106" s="8" t="inlineStr">
        <is>
          <t>Anchor 0–5 from domain-specific maturity anchor using direct sampled practice/work evidence; do not infer maturity from policy statements alone.</t>
        </is>
      </c>
      <c r="F106" s="8" t="inlineStr">
        <is>
          <t>0–5: 0 absent; 1 isolated/person-dependent; 2 repeatable in limited areas; 3 institutionally structured; 4 broad/cross-functional and consistently operating; 5 continuously improved/scaled.</t>
        </is>
      </c>
      <c r="G106" s="8" t="inlineStr">
        <is>
          <t>Use outcome only when a legitimate measurable result exists; otherwise N/A.</t>
        </is>
      </c>
      <c r="H106" s="8" t="inlineStr">
        <is>
          <t>Only genuine mandate/context inapplicability with documented assessor approval; missing evidence is never N/A.</t>
        </is>
      </c>
      <c r="I106" s="8" t="inlineStr">
        <is>
          <t>—</t>
        </is>
      </c>
      <c r="J106" s="8" t="inlineStr">
        <is>
          <t>E0=0.20; E1=0.40; E2=0.65; E3=0.85; E4=1.00, subject to corroboration/independence adjustment. Report separately.</t>
        </is>
      </c>
      <c r="K106" s="8" t="inlineStr">
        <is>
          <t>No score uplift from claims alone; lock denominator/exclusions before results; sample verification; cross-check with adjacent domains; high scores require corroboration.</t>
        </is>
      </c>
      <c r="L106" s="8" t="inlineStr">
        <is>
          <t>Use primary-owner rule; shared evidence may validate multiple metrics but the same activity cannot be scored twice across domains.</t>
        </is>
      </c>
      <c r="M106" s="8" t="inlineStr">
        <is>
          <t>100*((0.45*M)+(0.30*I)+(0.25*O))/5 when O exists; otherwise 100*((0.60*M)+(0.40*I))/5.</t>
        </is>
      </c>
      <c r="N106" s="8" t="inlineStr">
        <is>
          <t>D09 methodology/data owner</t>
        </is>
      </c>
      <c r="O106" s="8" t="inlineStr">
        <is>
          <t>PROVISIONAL—pilot validation required</t>
        </is>
      </c>
    </row>
    <row r="107">
      <c r="A107" s="8" t="inlineStr">
        <is>
          <t>D09</t>
        </is>
      </c>
      <c r="B107" s="8" t="inlineStr">
        <is>
          <t>I03</t>
        </is>
      </c>
      <c r="C107" s="8" t="inlineStr">
        <is>
          <t>Industry-Validated Curriculum</t>
        </is>
      </c>
      <c r="D107" s="8" t="inlineStr">
        <is>
          <t>Depth of meaningful industry/professional input into programme design.</t>
        </is>
      </c>
      <c r="E107" s="8" t="inlineStr">
        <is>
          <t>Anchor 0–5 from domain-specific maturity anchor using direct sampled practice/work evidence; do not infer maturity from policy statements alone.</t>
        </is>
      </c>
      <c r="F107" s="8" t="inlineStr">
        <is>
          <t>0–5: 0 absent; 1 isolated/person-dependent; 2 repeatable in limited areas; 3 institutionally structured; 4 broad/cross-functional and consistently operating; 5 continuously improved/scaled.</t>
        </is>
      </c>
      <c r="G107" s="8" t="inlineStr">
        <is>
          <t>Use outcome only when a legitimate measurable result exists; otherwise N/A.</t>
        </is>
      </c>
      <c r="H107" s="8" t="inlineStr">
        <is>
          <t>Only genuine mandate/context inapplicability with documented assessor approval; missing evidence is never N/A.</t>
        </is>
      </c>
      <c r="I107" s="8" t="inlineStr">
        <is>
          <t>—</t>
        </is>
      </c>
      <c r="J107" s="8" t="inlineStr">
        <is>
          <t>E0=0.20; E1=0.40; E2=0.65; E3=0.85; E4=1.00, subject to corroboration/independence adjustment. Report separately.</t>
        </is>
      </c>
      <c r="K107" s="8" t="inlineStr">
        <is>
          <t>No score uplift from claims alone; lock denominator/exclusions before results; sample verification; cross-check with adjacent domains; high scores require corroboration.</t>
        </is>
      </c>
      <c r="L107" s="8" t="inlineStr">
        <is>
          <t>Use primary-owner rule; shared evidence may validate multiple metrics but the same activity cannot be scored twice across domains.</t>
        </is>
      </c>
      <c r="M107" s="8" t="inlineStr">
        <is>
          <t>100*((0.45*M)+(0.30*I)+(0.25*O))/5 when O exists; otherwise 100*((0.60*M)+(0.40*I))/5.</t>
        </is>
      </c>
      <c r="N107" s="8" t="inlineStr">
        <is>
          <t>D09 methodology/data owner</t>
        </is>
      </c>
      <c r="O107" s="8" t="inlineStr">
        <is>
          <t>PROVISIONAL—pilot validation required</t>
        </is>
      </c>
    </row>
    <row r="108">
      <c r="A108" s="8" t="inlineStr">
        <is>
          <t>D09</t>
        </is>
      </c>
      <c r="B108" s="8" t="inlineStr">
        <is>
          <t>I04</t>
        </is>
      </c>
      <c r="C108" s="8" t="inlineStr">
        <is>
          <t>Practice-Based Learning</t>
        </is>
      </c>
      <c r="D108" s="8" t="inlineStr">
        <is>
          <t>Extent of authentic projects, internships, field exposure and live problem-solving.</t>
        </is>
      </c>
      <c r="E108" s="8" t="inlineStr">
        <is>
          <t>Anchor 0–5 from domain-specific maturity anchor using direct sampled practice/work evidence; do not infer maturity from policy statements alone.</t>
        </is>
      </c>
      <c r="F108" s="8" t="inlineStr">
        <is>
          <t>0–5: 0 absent; 1 isolated/person-dependent; 2 repeatable in limited areas; 3 institutionally structured; 4 broad/cross-functional and consistently operating; 5 continuously improved/scaled.</t>
        </is>
      </c>
      <c r="G108" s="8" t="inlineStr">
        <is>
          <t>Use outcome only when a legitimate measurable result exists; otherwise N/A.</t>
        </is>
      </c>
      <c r="H108" s="8" t="inlineStr">
        <is>
          <t>Only genuine mandate/context inapplicability with documented assessor approval; missing evidence is never N/A.</t>
        </is>
      </c>
      <c r="I108" s="8" t="inlineStr">
        <is>
          <t>—</t>
        </is>
      </c>
      <c r="J108" s="8" t="inlineStr">
        <is>
          <t>E0=0.20; E1=0.40; E2=0.65; E3=0.85; E4=1.00, subject to corroboration/independence adjustment. Report separately.</t>
        </is>
      </c>
      <c r="K108" s="8" t="inlineStr">
        <is>
          <t>No score uplift from claims alone; lock denominator/exclusions before results; sample verification; cross-check with adjacent domains; high scores require corroboration.</t>
        </is>
      </c>
      <c r="L108" s="8" t="inlineStr">
        <is>
          <t>Use primary-owner rule; shared evidence may validate multiple metrics but the same activity cannot be scored twice across domains.</t>
        </is>
      </c>
      <c r="M108" s="8" t="inlineStr">
        <is>
          <t>100*((0.45*M)+(0.30*I)+(0.25*O))/5 when O exists; otherwise 100*((0.60*M)+(0.40*I))/5.</t>
        </is>
      </c>
      <c r="N108" s="8" t="inlineStr">
        <is>
          <t>D09 methodology/data owner</t>
        </is>
      </c>
      <c r="O108" s="8" t="inlineStr">
        <is>
          <t>PROVISIONAL—pilot validation required</t>
        </is>
      </c>
    </row>
    <row r="109">
      <c r="A109" s="8" t="inlineStr">
        <is>
          <t>D09</t>
        </is>
      </c>
      <c r="B109" s="8" t="inlineStr">
        <is>
          <t>I05</t>
        </is>
      </c>
      <c r="C109" s="8" t="inlineStr">
        <is>
          <t>Recruiter Confidence</t>
        </is>
      </c>
      <c r="D109" s="8" t="inlineStr">
        <is>
          <t>Strength and quality of recurring employer relationships.</t>
        </is>
      </c>
      <c r="E109" s="8" t="inlineStr">
        <is>
          <t>Anchor 0–5 from domain-specific maturity anchor using direct sampled practice/work evidence; do not infer maturity from policy statements alone.</t>
        </is>
      </c>
      <c r="F109" s="8" t="inlineStr">
        <is>
          <t>0–5: 0 absent; 1 isolated/person-dependent; 2 repeatable in limited areas; 3 institutionally structured; 4 broad/cross-functional and consistently operating; 5 continuously improved/scaled.</t>
        </is>
      </c>
      <c r="G109" s="8" t="inlineStr">
        <is>
          <t>Use outcome only when a legitimate measurable result exists; otherwise N/A.</t>
        </is>
      </c>
      <c r="H109" s="8" t="inlineStr">
        <is>
          <t>Only genuine mandate/context inapplicability with documented assessor approval; missing evidence is never N/A.</t>
        </is>
      </c>
      <c r="I109" s="8" t="inlineStr">
        <is>
          <t>—</t>
        </is>
      </c>
      <c r="J109" s="8" t="inlineStr">
        <is>
          <t>E0=0.20; E1=0.40; E2=0.65; E3=0.85; E4=1.00, subject to corroboration/independence adjustment. Report separately.</t>
        </is>
      </c>
      <c r="K109" s="8" t="inlineStr">
        <is>
          <t>No score uplift from claims alone; lock denominator/exclusions before results; sample verification; cross-check with adjacent domains; high scores require corroboration.</t>
        </is>
      </c>
      <c r="L109" s="8" t="inlineStr">
        <is>
          <t>Use primary-owner rule; shared evidence may validate multiple metrics but the same activity cannot be scored twice across domains.</t>
        </is>
      </c>
      <c r="M109" s="8" t="inlineStr">
        <is>
          <t>100*((0.45*M)+(0.30*I)+(0.25*O))/5 when O exists; otherwise 100*((0.60*M)+(0.40*I))/5.</t>
        </is>
      </c>
      <c r="N109" s="8" t="inlineStr">
        <is>
          <t>D09 methodology/data owner</t>
        </is>
      </c>
      <c r="O109" s="8" t="inlineStr">
        <is>
          <t>PROVISIONAL—pilot validation required</t>
        </is>
      </c>
    </row>
    <row r="110">
      <c r="A110" s="8" t="inlineStr">
        <is>
          <t>D09</t>
        </is>
      </c>
      <c r="B110" s="8" t="inlineStr">
        <is>
          <t>I06</t>
        </is>
      </c>
      <c r="C110" s="8" t="inlineStr">
        <is>
          <t>Placement Outcome Quality</t>
        </is>
      </c>
      <c r="D110" s="8" t="inlineStr">
        <is>
          <t>Quality, relevance and transparency of employment outcomes.</t>
        </is>
      </c>
      <c r="E110" s="8" t="inlineStr">
        <is>
          <t>Anchor 0–5 from domain-specific maturity anchor using direct sampled practice/work evidence; do not infer maturity from policy statements alone.</t>
        </is>
      </c>
      <c r="F110" s="8" t="inlineStr">
        <is>
          <t>0–5: 0 absent; 1 isolated/person-dependent; 2 repeatable in limited areas; 3 institutionally structured; 4 broad/cross-functional and consistently operating; 5 continuously improved/scaled.</t>
        </is>
      </c>
      <c r="G110" s="8" t="inlineStr">
        <is>
          <t>Use outcome only when a legitimate measurable result exists; otherwise N/A.</t>
        </is>
      </c>
      <c r="H110" s="8" t="inlineStr">
        <is>
          <t>Only genuine mandate/context inapplicability with documented assessor approval; missing evidence is never N/A.</t>
        </is>
      </c>
      <c r="I110" s="8" t="inlineStr">
        <is>
          <t>—</t>
        </is>
      </c>
      <c r="J110" s="8" t="inlineStr">
        <is>
          <t>E0=0.20; E1=0.40; E2=0.65; E3=0.85; E4=1.00, subject to corroboration/independence adjustment. Report separately.</t>
        </is>
      </c>
      <c r="K110" s="8" t="inlineStr">
        <is>
          <t>No score uplift from claims alone; lock denominator/exclusions before results; sample verification; cross-check with adjacent domains; high scores require corroboration.</t>
        </is>
      </c>
      <c r="L110" s="8" t="inlineStr">
        <is>
          <t>Use primary-owner rule; shared evidence may validate multiple metrics but the same activity cannot be scored twice across domains.</t>
        </is>
      </c>
      <c r="M110" s="8" t="inlineStr">
        <is>
          <t>100*((0.45*M)+(0.30*I)+(0.25*O))/5 when O exists; otherwise 100*((0.60*M)+(0.40*I))/5.</t>
        </is>
      </c>
      <c r="N110" s="8" t="inlineStr">
        <is>
          <t>D09 methodology/data owner</t>
        </is>
      </c>
      <c r="O110" s="8" t="inlineStr">
        <is>
          <t>PROVISIONAL—pilot validation required</t>
        </is>
      </c>
    </row>
    <row r="111">
      <c r="A111" s="8" t="inlineStr">
        <is>
          <t>D09</t>
        </is>
      </c>
      <c r="B111" s="8" t="inlineStr">
        <is>
          <t>I07</t>
        </is>
      </c>
      <c r="C111" s="8" t="inlineStr">
        <is>
          <t>Career Adaptability</t>
        </is>
      </c>
      <c r="D111" s="8" t="inlineStr">
        <is>
          <t>Preparation for changing roles, sectors and skill requirements.</t>
        </is>
      </c>
      <c r="E111" s="8" t="inlineStr">
        <is>
          <t>Anchor 0–5 from domain-specific maturity anchor using direct sampled practice/work evidence; do not infer maturity from policy statements alone.</t>
        </is>
      </c>
      <c r="F111" s="8" t="inlineStr">
        <is>
          <t>0–5: 0 absent; 1 isolated/person-dependent; 2 repeatable in limited areas; 3 institutionally structured; 4 broad/cross-functional and consistently operating; 5 continuously improved/scaled.</t>
        </is>
      </c>
      <c r="G111" s="8" t="inlineStr">
        <is>
          <t>Use outcome only when a legitimate measurable result exists; otherwise N/A.</t>
        </is>
      </c>
      <c r="H111" s="8" t="inlineStr">
        <is>
          <t>Only genuine mandate/context inapplicability with documented assessor approval; missing evidence is never N/A.</t>
        </is>
      </c>
      <c r="I111" s="8" t="inlineStr">
        <is>
          <t>—</t>
        </is>
      </c>
      <c r="J111" s="8" t="inlineStr">
        <is>
          <t>E0=0.20; E1=0.40; E2=0.65; E3=0.85; E4=1.00, subject to corroboration/independence adjustment. Report separately.</t>
        </is>
      </c>
      <c r="K111" s="8" t="inlineStr">
        <is>
          <t>No score uplift from claims alone; lock denominator/exclusions before results; sample verification; cross-check with adjacent domains; high scores require corroboration.</t>
        </is>
      </c>
      <c r="L111" s="8" t="inlineStr">
        <is>
          <t>Use primary-owner rule; shared evidence may validate multiple metrics but the same activity cannot be scored twice across domains.</t>
        </is>
      </c>
      <c r="M111" s="8" t="inlineStr">
        <is>
          <t>100*((0.45*M)+(0.30*I)+(0.25*O))/5 when O exists; otherwise 100*((0.60*M)+(0.40*I))/5.</t>
        </is>
      </c>
      <c r="N111" s="8" t="inlineStr">
        <is>
          <t>D09 methodology/data owner</t>
        </is>
      </c>
      <c r="O111" s="8" t="inlineStr">
        <is>
          <t>PROVISIONAL—pilot validation required</t>
        </is>
      </c>
    </row>
    <row r="112">
      <c r="A112" s="8" t="inlineStr">
        <is>
          <t>D09</t>
        </is>
      </c>
      <c r="B112" s="8" t="inlineStr">
        <is>
          <t>I08</t>
        </is>
      </c>
      <c r="C112" s="8" t="inlineStr">
        <is>
          <t>AI-Era Employability Readiness</t>
        </is>
      </c>
      <c r="D112" s="8" t="inlineStr">
        <is>
          <t>Preparation for AI-augmented and AI-disrupted work.</t>
        </is>
      </c>
      <c r="E112" s="8" t="inlineStr">
        <is>
          <t>Anchor 0–5 from domain-specific maturity anchor using direct sampled practice/work evidence; do not infer maturity from policy statements alone.</t>
        </is>
      </c>
      <c r="F112" s="8" t="inlineStr">
        <is>
          <t>0–5: 0 absent; 1 isolated/person-dependent; 2 repeatable in limited areas; 3 institutionally structured; 4 broad/cross-functional and consistently operating; 5 continuously improved/scaled.</t>
        </is>
      </c>
      <c r="G112" s="8" t="inlineStr">
        <is>
          <t>Use outcome only when a legitimate measurable result exists; otherwise N/A.</t>
        </is>
      </c>
      <c r="H112" s="8" t="inlineStr">
        <is>
          <t>Only genuine mandate/context inapplicability with documented assessor approval; missing evidence is never N/A.</t>
        </is>
      </c>
      <c r="I112" s="8" t="inlineStr">
        <is>
          <t>—</t>
        </is>
      </c>
      <c r="J112" s="8" t="inlineStr">
        <is>
          <t>E0=0.20; E1=0.40; E2=0.65; E3=0.85; E4=1.00, subject to corroboration/independence adjustment. Report separately.</t>
        </is>
      </c>
      <c r="K112" s="8" t="inlineStr">
        <is>
          <t>No score uplift from claims alone; lock denominator/exclusions before results; sample verification; cross-check with adjacent domains; high scores require corroboration.</t>
        </is>
      </c>
      <c r="L112" s="8" t="inlineStr">
        <is>
          <t>Use primary-owner rule; shared evidence may validate multiple metrics but the same activity cannot be scored twice across domains.</t>
        </is>
      </c>
      <c r="M112" s="8" t="inlineStr">
        <is>
          <t>100*((0.45*M)+(0.30*I)+(0.25*O))/5 when O exists; otherwise 100*((0.60*M)+(0.40*I))/5.</t>
        </is>
      </c>
      <c r="N112" s="8" t="inlineStr">
        <is>
          <t>D09 methodology/data owner</t>
        </is>
      </c>
      <c r="O112" s="8" t="inlineStr">
        <is>
          <t>PROVISIONAL—pilot validation required</t>
        </is>
      </c>
    </row>
    <row r="113">
      <c r="A113" s="8" t="inlineStr">
        <is>
          <t>D09</t>
        </is>
      </c>
      <c r="B113" s="8" t="inlineStr">
        <is>
          <t>I09</t>
        </is>
      </c>
      <c r="C113" s="8" t="inlineStr">
        <is>
          <t>Capability Signalling</t>
        </is>
      </c>
      <c r="D113" s="8" t="inlineStr">
        <is>
          <t>Student ability to demonstrate capability through portfolios, projects and evidence.</t>
        </is>
      </c>
      <c r="E113" s="8" t="inlineStr">
        <is>
          <t>Anchor 0–5 from domain-specific maturity anchor using direct sampled practice/work evidence; do not infer maturity from policy statements alone.</t>
        </is>
      </c>
      <c r="F113" s="8" t="inlineStr">
        <is>
          <t>0–5: 0 absent; 1 isolated/person-dependent; 2 repeatable in limited areas; 3 institutionally structured; 4 broad/cross-functional and consistently operating; 5 continuously improved/scaled.</t>
        </is>
      </c>
      <c r="G113" s="8" t="inlineStr">
        <is>
          <t>Use outcome only when a legitimate measurable result exists; otherwise N/A.</t>
        </is>
      </c>
      <c r="H113" s="8" t="inlineStr">
        <is>
          <t>Only genuine mandate/context inapplicability with documented assessor approval; missing evidence is never N/A.</t>
        </is>
      </c>
      <c r="I113" s="8" t="inlineStr">
        <is>
          <t>—</t>
        </is>
      </c>
      <c r="J113" s="8" t="inlineStr">
        <is>
          <t>E0=0.20; E1=0.40; E2=0.65; E3=0.85; E4=1.00, subject to corroboration/independence adjustment. Report separately.</t>
        </is>
      </c>
      <c r="K113" s="8" t="inlineStr">
        <is>
          <t>No score uplift from claims alone; lock denominator/exclusions before results; sample verification; cross-check with adjacent domains; high scores require corroboration.</t>
        </is>
      </c>
      <c r="L113" s="8" t="inlineStr">
        <is>
          <t>Use primary-owner rule; shared evidence may validate multiple metrics but the same activity cannot be scored twice across domains.</t>
        </is>
      </c>
      <c r="M113" s="8" t="inlineStr">
        <is>
          <t>100*((0.45*M)+(0.30*I)+(0.25*O))/5 when O exists; otherwise 100*((0.60*M)+(0.40*I))/5.</t>
        </is>
      </c>
      <c r="N113" s="8" t="inlineStr">
        <is>
          <t>D09 methodology/data owner</t>
        </is>
      </c>
      <c r="O113" s="8" t="inlineStr">
        <is>
          <t>PROVISIONAL—pilot validation required</t>
        </is>
      </c>
    </row>
    <row r="114">
      <c r="A114" s="8" t="inlineStr">
        <is>
          <t>D09</t>
        </is>
      </c>
      <c r="B114" s="8" t="inlineStr">
        <is>
          <t>I10</t>
        </is>
      </c>
      <c r="C114" s="8" t="inlineStr">
        <is>
          <t>Industry Co-Creation</t>
        </is>
      </c>
      <c r="D114" s="8" t="inlineStr">
        <is>
          <t>Extent to which industry participates in learning, projects, mentoring and innovation.</t>
        </is>
      </c>
      <c r="E114" s="8" t="inlineStr">
        <is>
          <t>Anchor 0–5 from domain-specific maturity anchor using direct sampled practice/work evidence; do not infer maturity from policy statements alone.</t>
        </is>
      </c>
      <c r="F114" s="8" t="inlineStr">
        <is>
          <t>0–5: 0 absent; 1 isolated/person-dependent; 2 repeatable in limited areas; 3 institutionally structured; 4 broad/cross-functional and consistently operating; 5 continuously improved/scaled.</t>
        </is>
      </c>
      <c r="G114" s="8" t="inlineStr">
        <is>
          <t>Use outcome only when a legitimate measurable result exists; otherwise N/A.</t>
        </is>
      </c>
      <c r="H114" s="8" t="inlineStr">
        <is>
          <t>Only genuine mandate/context inapplicability with documented assessor approval; missing evidence is never N/A.</t>
        </is>
      </c>
      <c r="I114" s="8" t="inlineStr">
        <is>
          <t>—</t>
        </is>
      </c>
      <c r="J114" s="8" t="inlineStr">
        <is>
          <t>E0=0.20; E1=0.40; E2=0.65; E3=0.85; E4=1.00, subject to corroboration/independence adjustment. Report separately.</t>
        </is>
      </c>
      <c r="K114" s="8" t="inlineStr">
        <is>
          <t>No score uplift from claims alone; lock denominator/exclusions before results; sample verification; cross-check with adjacent domains; high scores require corroboration.</t>
        </is>
      </c>
      <c r="L114" s="8" t="inlineStr">
        <is>
          <t>Use primary-owner rule; shared evidence may validate multiple metrics but the same activity cannot be scored twice across domains.</t>
        </is>
      </c>
      <c r="M114" s="8" t="inlineStr">
        <is>
          <t>100*((0.45*M)+(0.30*I)+(0.25*O))/5 when O exists; otherwise 100*((0.60*M)+(0.40*I))/5.</t>
        </is>
      </c>
      <c r="N114" s="8" t="inlineStr">
        <is>
          <t>D09 methodology/data owner</t>
        </is>
      </c>
      <c r="O114" s="8" t="inlineStr">
        <is>
          <t>PROVISIONAL—pilot validation required</t>
        </is>
      </c>
    </row>
    <row r="115">
      <c r="A115" s="8" t="inlineStr">
        <is>
          <t>D09</t>
        </is>
      </c>
      <c r="B115" s="8" t="inlineStr">
        <is>
          <t>I11</t>
        </is>
      </c>
      <c r="C115" s="8" t="inlineStr">
        <is>
          <t>Regional/Economic Relevance</t>
        </is>
      </c>
      <c r="D115" s="8" t="inlineStr">
        <is>
          <t>Alignment with the economic and social context in which the institution operates.</t>
        </is>
      </c>
      <c r="E115" s="8" t="inlineStr">
        <is>
          <t>Anchor 0–5 from domain-specific maturity anchor using direct sampled practice/work evidence; do not infer maturity from policy statements alone.</t>
        </is>
      </c>
      <c r="F115" s="8" t="inlineStr">
        <is>
          <t>0–5: 0 absent; 1 isolated/person-dependent; 2 repeatable in limited areas; 3 institutionally structured; 4 broad/cross-functional and consistently operating; 5 continuously improved/scaled.</t>
        </is>
      </c>
      <c r="G115" s="8" t="inlineStr">
        <is>
          <t>Use outcome only when a legitimate measurable result exists; otherwise N/A.</t>
        </is>
      </c>
      <c r="H115" s="8" t="inlineStr">
        <is>
          <t>Only genuine mandate/context inapplicability with documented assessor approval; missing evidence is never N/A.</t>
        </is>
      </c>
      <c r="I115" s="8" t="inlineStr">
        <is>
          <t>—</t>
        </is>
      </c>
      <c r="J115" s="8" t="inlineStr">
        <is>
          <t>E0=0.20; E1=0.40; E2=0.65; E3=0.85; E4=1.00, subject to corroboration/independence adjustment. Report separately.</t>
        </is>
      </c>
      <c r="K115" s="8" t="inlineStr">
        <is>
          <t>No score uplift from claims alone; lock denominator/exclusions before results; sample verification; cross-check with adjacent domains; high scores require corroboration.</t>
        </is>
      </c>
      <c r="L115" s="8" t="inlineStr">
        <is>
          <t>Use primary-owner rule; shared evidence may validate multiple metrics but the same activity cannot be scored twice across domains.</t>
        </is>
      </c>
      <c r="M115" s="8" t="inlineStr">
        <is>
          <t>100*((0.45*M)+(0.30*I)+(0.25*O))/5 when O exists; otherwise 100*((0.60*M)+(0.40*I))/5.</t>
        </is>
      </c>
      <c r="N115" s="8" t="inlineStr">
        <is>
          <t>D09 methodology/data owner</t>
        </is>
      </c>
      <c r="O115" s="8" t="inlineStr">
        <is>
          <t>PROVISIONAL—pilot validation required</t>
        </is>
      </c>
    </row>
    <row r="116">
      <c r="A116" s="8" t="inlineStr">
        <is>
          <t>D09</t>
        </is>
      </c>
      <c r="B116" s="8" t="inlineStr">
        <is>
          <t>I12</t>
        </is>
      </c>
      <c r="C116" s="8" t="inlineStr">
        <is>
          <t>Alumni Career Intelligence</t>
        </is>
      </c>
      <c r="D116" s="8" t="inlineStr">
        <is>
          <t>Use of alumni trajectories to understand and improve graduate outcomes.</t>
        </is>
      </c>
      <c r="E116" s="8" t="inlineStr">
        <is>
          <t>Anchor 0–5 from domain-specific maturity anchor using direct sampled practice/work evidence; do not infer maturity from policy statements alone.</t>
        </is>
      </c>
      <c r="F116" s="8" t="inlineStr">
        <is>
          <t>0–5: 0 absent; 1 isolated/person-dependent; 2 repeatable in limited areas; 3 institutionally structured; 4 broad/cross-functional and consistently operating; 5 continuously improved/scaled.</t>
        </is>
      </c>
      <c r="G116" s="8" t="inlineStr">
        <is>
          <t>Use outcome only when a legitimate measurable result exists; otherwise N/A.</t>
        </is>
      </c>
      <c r="H116" s="8" t="inlineStr">
        <is>
          <t>Only genuine mandate/context inapplicability with documented assessor approval; missing evidence is never N/A.</t>
        </is>
      </c>
      <c r="I116" s="8" t="inlineStr">
        <is>
          <t>—</t>
        </is>
      </c>
      <c r="J116" s="8" t="inlineStr">
        <is>
          <t>E0=0.20; E1=0.40; E2=0.65; E3=0.85; E4=1.00, subject to corroboration/independence adjustment. Report separately.</t>
        </is>
      </c>
      <c r="K116" s="8" t="inlineStr">
        <is>
          <t>No score uplift from claims alone; lock denominator/exclusions before results; sample verification; cross-check with adjacent domains; high scores require corroboration.</t>
        </is>
      </c>
      <c r="L116" s="8" t="inlineStr">
        <is>
          <t>Use primary-owner rule; shared evidence may validate multiple metrics but the same activity cannot be scored twice across domains.</t>
        </is>
      </c>
      <c r="M116" s="8" t="inlineStr">
        <is>
          <t>100*((0.45*M)+(0.30*I)+(0.25*O))/5 when O exists; otherwise 100*((0.60*M)+(0.40*I))/5.</t>
        </is>
      </c>
      <c r="N116" s="8" t="inlineStr">
        <is>
          <t>D09 methodology/data owner</t>
        </is>
      </c>
      <c r="O116" s="8" t="inlineStr">
        <is>
          <t>PROVISIONAL—pilot validation required</t>
        </is>
      </c>
    </row>
    <row r="117">
      <c r="A117" s="8" t="inlineStr">
        <is>
          <t>D10</t>
        </is>
      </c>
      <c r="B117" s="8" t="inlineStr">
        <is>
          <t>I01</t>
        </is>
      </c>
      <c r="C117" s="8" t="inlineStr">
        <is>
          <t>Research Strategy Maturity</t>
        </is>
      </c>
      <c r="D117" s="8" t="inlineStr">
        <is>
          <t>Whether research priorities are strategically defined and connected to institutional purpose and emerging needs.</t>
        </is>
      </c>
      <c r="E117" s="8" t="inlineStr">
        <is>
          <t>Anchor 0–5 from domain-specific maturity anchor using direct sampled practice/work evidence; do not infer maturity from policy statements alone.</t>
        </is>
      </c>
      <c r="F117" s="8" t="inlineStr">
        <is>
          <t>0–5: 0 absent; 1 isolated/person-dependent; 2 repeatable in limited areas; 3 institutionally structured; 4 broad/cross-functional and consistently operating; 5 continuously improved/scaled.</t>
        </is>
      </c>
      <c r="G117" s="8" t="inlineStr">
        <is>
          <t>Use outcome only when a legitimate measurable result exists; otherwise N/A.</t>
        </is>
      </c>
      <c r="H117" s="8" t="inlineStr">
        <is>
          <t>Only genuine mandate/context inapplicability with documented assessor approval; missing evidence is never N/A.</t>
        </is>
      </c>
      <c r="I117" s="8" t="inlineStr">
        <is>
          <t>—</t>
        </is>
      </c>
      <c r="J117" s="8" t="inlineStr">
        <is>
          <t>E0=0.20; E1=0.40; E2=0.65; E3=0.85; E4=1.00, subject to corroboration/independence adjustment. Report separately.</t>
        </is>
      </c>
      <c r="K117" s="8" t="inlineStr">
        <is>
          <t>No score uplift from claims alone; lock denominator/exclusions before results; sample verification; cross-check with adjacent domains; high scores require corroboration.</t>
        </is>
      </c>
      <c r="L117" s="8" t="inlineStr">
        <is>
          <t>Use primary-owner rule; shared evidence may validate multiple metrics but the same activity cannot be scored twice across domains.</t>
        </is>
      </c>
      <c r="M117" s="8" t="inlineStr">
        <is>
          <t>100*((0.45*M)+(0.30*I)+(0.25*O))/5 when O exists; otherwise 100*((0.60*M)+(0.40*I))/5.</t>
        </is>
      </c>
      <c r="N117" s="8" t="inlineStr">
        <is>
          <t>D10 methodology/data owner</t>
        </is>
      </c>
      <c r="O117" s="8" t="inlineStr">
        <is>
          <t>PROVISIONAL—pilot validation required</t>
        </is>
      </c>
    </row>
    <row r="118">
      <c r="A118" s="8" t="inlineStr">
        <is>
          <t>D10</t>
        </is>
      </c>
      <c r="B118" s="8" t="inlineStr">
        <is>
          <t>I02</t>
        </is>
      </c>
      <c r="C118" s="8" t="inlineStr">
        <is>
          <t>Research Portfolio Balance</t>
        </is>
      </c>
      <c r="D118" s="8" t="inlineStr">
        <is>
          <t>Breadth, depth, concentration and strategic coherence of the research portfolio.</t>
        </is>
      </c>
      <c r="E118" s="8" t="inlineStr">
        <is>
          <t>Anchor 0–5 from domain-specific maturity anchor using direct sampled practice/work evidence; do not infer maturity from policy statements alone.</t>
        </is>
      </c>
      <c r="F118" s="8" t="inlineStr">
        <is>
          <t>0–5: 0 absent; 1 isolated/person-dependent; 2 repeatable in limited areas; 3 institutionally structured; 4 broad/cross-functional and consistently operating; 5 continuously improved/scaled.</t>
        </is>
      </c>
      <c r="G118" s="8" t="inlineStr">
        <is>
          <t>Use outcome only when a legitimate measurable result exists; otherwise N/A.</t>
        </is>
      </c>
      <c r="H118" s="8" t="inlineStr">
        <is>
          <t>Only genuine mandate/context inapplicability with documented assessor approval; missing evidence is never N/A.</t>
        </is>
      </c>
      <c r="I118" s="8" t="inlineStr">
        <is>
          <t>—</t>
        </is>
      </c>
      <c r="J118" s="8" t="inlineStr">
        <is>
          <t>E0=0.20; E1=0.40; E2=0.65; E3=0.85; E4=1.00, subject to corroboration/independence adjustment. Report separately.</t>
        </is>
      </c>
      <c r="K118" s="8" t="inlineStr">
        <is>
          <t>No score uplift from claims alone; lock denominator/exclusions before results; sample verification; cross-check with adjacent domains; high scores require corroboration.</t>
        </is>
      </c>
      <c r="L118" s="8" t="inlineStr">
        <is>
          <t>Use primary-owner rule; shared evidence may validate multiple metrics but the same activity cannot be scored twice across domains.</t>
        </is>
      </c>
      <c r="M118" s="8" t="inlineStr">
        <is>
          <t>100*((0.45*M)+(0.30*I)+(0.25*O))/5 when O exists; otherwise 100*((0.60*M)+(0.40*I))/5.</t>
        </is>
      </c>
      <c r="N118" s="8" t="inlineStr">
        <is>
          <t>D10 methodology/data owner</t>
        </is>
      </c>
      <c r="O118" s="8" t="inlineStr">
        <is>
          <t>PROVISIONAL—pilot validation required</t>
        </is>
      </c>
    </row>
    <row r="119">
      <c r="A119" s="8" t="inlineStr">
        <is>
          <t>D10</t>
        </is>
      </c>
      <c r="B119" s="8" t="inlineStr">
        <is>
          <t>I03</t>
        </is>
      </c>
      <c r="C119" s="8" t="inlineStr">
        <is>
          <t>Interdisciplinary Research Capability</t>
        </is>
      </c>
      <c r="D119" s="8" t="inlineStr">
        <is>
          <t>Ability to bring disciplines together around meaningful questions.</t>
        </is>
      </c>
      <c r="E119" s="8" t="inlineStr">
        <is>
          <t>Anchor 0–5 from domain-specific maturity anchor using direct sampled practice/work evidence; do not infer maturity from policy statements alone.</t>
        </is>
      </c>
      <c r="F119" s="8" t="inlineStr">
        <is>
          <t>0–5: 0 absent; 1 isolated/person-dependent; 2 repeatable in limited areas; 3 institutionally structured; 4 broad/cross-functional and consistently operating; 5 continuously improved/scaled.</t>
        </is>
      </c>
      <c r="G119" s="8" t="inlineStr">
        <is>
          <t>Use outcome only when a legitimate measurable result exists; otherwise N/A.</t>
        </is>
      </c>
      <c r="H119" s="8" t="inlineStr">
        <is>
          <t>Only genuine mandate/context inapplicability with documented assessor approval; missing evidence is never N/A.</t>
        </is>
      </c>
      <c r="I119" s="8" t="inlineStr">
        <is>
          <t>—</t>
        </is>
      </c>
      <c r="J119" s="8" t="inlineStr">
        <is>
          <t>E0=0.20; E1=0.40; E2=0.65; E3=0.85; E4=1.00, subject to corroboration/independence adjustment. Report separately.</t>
        </is>
      </c>
      <c r="K119" s="8" t="inlineStr">
        <is>
          <t>No score uplift from claims alone; lock denominator/exclusions before results; sample verification; cross-check with adjacent domains; high scores require corroboration.</t>
        </is>
      </c>
      <c r="L119" s="8" t="inlineStr">
        <is>
          <t>Use primary-owner rule; shared evidence may validate multiple metrics but the same activity cannot be scored twice across domains.</t>
        </is>
      </c>
      <c r="M119" s="8" t="inlineStr">
        <is>
          <t>100*((0.45*M)+(0.30*I)+(0.25*O))/5 when O exists; otherwise 100*((0.60*M)+(0.40*I))/5.</t>
        </is>
      </c>
      <c r="N119" s="8" t="inlineStr">
        <is>
          <t>D10 methodology/data owner</t>
        </is>
      </c>
      <c r="O119" s="8" t="inlineStr">
        <is>
          <t>PROVISIONAL—pilot validation required</t>
        </is>
      </c>
    </row>
    <row r="120">
      <c r="A120" s="8" t="inlineStr">
        <is>
          <t>D10</t>
        </is>
      </c>
      <c r="B120" s="8" t="inlineStr">
        <is>
          <t>I04</t>
        </is>
      </c>
      <c r="C120" s="8" t="inlineStr">
        <is>
          <t>AI-Enabled Research Capability</t>
        </is>
      </c>
      <c r="D120" s="8" t="inlineStr">
        <is>
          <t>Responsible use of AI across discovery, analysis, experimentation and knowledge creation.</t>
        </is>
      </c>
      <c r="E120" s="8" t="inlineStr">
        <is>
          <t>Anchor 0–5 from domain-specific maturity anchor using direct sampled practice/work evidence; do not infer maturity from policy statements alone.</t>
        </is>
      </c>
      <c r="F120" s="8" t="inlineStr">
        <is>
          <t>0–5: 0 absent; 1 isolated/person-dependent; 2 repeatable in limited areas; 3 institutionally structured; 4 broad/cross-functional and consistently operating; 5 continuously improved/scaled.</t>
        </is>
      </c>
      <c r="G120" s="8" t="inlineStr">
        <is>
          <t>Use outcome only when a legitimate measurable result exists; otherwise N/A.</t>
        </is>
      </c>
      <c r="H120" s="8" t="inlineStr">
        <is>
          <t>Only genuine mandate/context inapplicability with documented assessor approval; missing evidence is never N/A.</t>
        </is>
      </c>
      <c r="I120" s="8" t="inlineStr">
        <is>
          <t>—</t>
        </is>
      </c>
      <c r="J120" s="8" t="inlineStr">
        <is>
          <t>E0=0.20; E1=0.40; E2=0.65; E3=0.85; E4=1.00, subject to corroboration/independence adjustment. Report separately.</t>
        </is>
      </c>
      <c r="K120" s="8" t="inlineStr">
        <is>
          <t>No score uplift from claims alone; lock denominator/exclusions before results; sample verification; cross-check with adjacent domains; high scores require corroboration.</t>
        </is>
      </c>
      <c r="L120" s="8" t="inlineStr">
        <is>
          <t>Use primary-owner rule; shared evidence may validate multiple metrics but the same activity cannot be scored twice across domains.</t>
        </is>
      </c>
      <c r="M120" s="8" t="inlineStr">
        <is>
          <t>100*((0.45*M)+(0.30*I)+(0.25*O))/5 when O exists; otherwise 100*((0.60*M)+(0.40*I))/5.</t>
        </is>
      </c>
      <c r="N120" s="8" t="inlineStr">
        <is>
          <t>D10 methodology/data owner</t>
        </is>
      </c>
      <c r="O120" s="8" t="inlineStr">
        <is>
          <t>PROVISIONAL—pilot validation required</t>
        </is>
      </c>
    </row>
    <row r="121">
      <c r="A121" s="8" t="inlineStr">
        <is>
          <t>D10</t>
        </is>
      </c>
      <c r="B121" s="8" t="inlineStr">
        <is>
          <t>I05</t>
        </is>
      </c>
      <c r="C121" s="8" t="inlineStr">
        <is>
          <t>Research Infrastructure Readiness</t>
        </is>
      </c>
      <c r="D121" s="8" t="inlineStr">
        <is>
          <t>Adequacy and accessibility of research infrastructure, data and tools.</t>
        </is>
      </c>
      <c r="E121" s="8" t="inlineStr">
        <is>
          <t>Anchor 0–5 from domain-specific maturity anchor using direct sampled practice/work evidence; do not infer maturity from policy statements alone.</t>
        </is>
      </c>
      <c r="F121" s="8" t="inlineStr">
        <is>
          <t>0–5: 0 absent; 1 isolated/person-dependent; 2 repeatable in limited areas; 3 institutionally structured; 4 broad/cross-functional and consistently operating; 5 continuously improved/scaled.</t>
        </is>
      </c>
      <c r="G121" s="8" t="inlineStr">
        <is>
          <t>Use outcome only when a legitimate measurable result exists; otherwise N/A.</t>
        </is>
      </c>
      <c r="H121" s="8" t="inlineStr">
        <is>
          <t>Only genuine mandate/context inapplicability with documented assessor approval; missing evidence is never N/A.</t>
        </is>
      </c>
      <c r="I121" s="8" t="inlineStr">
        <is>
          <t>—</t>
        </is>
      </c>
      <c r="J121" s="8" t="inlineStr">
        <is>
          <t>E0=0.20; E1=0.40; E2=0.65; E3=0.85; E4=1.00, subject to corroboration/independence adjustment. Report separately.</t>
        </is>
      </c>
      <c r="K121" s="8" t="inlineStr">
        <is>
          <t>No score uplift from claims alone; lock denominator/exclusions before results; sample verification; cross-check with adjacent domains; high scores require corroboration.</t>
        </is>
      </c>
      <c r="L121" s="8" t="inlineStr">
        <is>
          <t>Use primary-owner rule; shared evidence may validate multiple metrics but the same activity cannot be scored twice across domains.</t>
        </is>
      </c>
      <c r="M121" s="8" t="inlineStr">
        <is>
          <t>100*((0.45*M)+(0.30*I)+(0.25*O))/5 when O exists; otherwise 100*((0.60*M)+(0.40*I))/5.</t>
        </is>
      </c>
      <c r="N121" s="8" t="inlineStr">
        <is>
          <t>D10 methodology/data owner</t>
        </is>
      </c>
      <c r="O121" s="8" t="inlineStr">
        <is>
          <t>PROVISIONAL—pilot validation required</t>
        </is>
      </c>
    </row>
    <row r="122">
      <c r="A122" s="8" t="inlineStr">
        <is>
          <t>D10</t>
        </is>
      </c>
      <c r="B122" s="8" t="inlineStr">
        <is>
          <t>I06</t>
        </is>
      </c>
      <c r="C122" s="8" t="inlineStr">
        <is>
          <t>Researcher Capability</t>
        </is>
      </c>
      <c r="D122" s="8" t="inlineStr">
        <is>
          <t>Ability to develop and retain researchers and research-active faculty.</t>
        </is>
      </c>
      <c r="E122" s="8" t="inlineStr">
        <is>
          <t>Anchor 0–5 from domain-specific maturity anchor using direct sampled practice/work evidence; do not infer maturity from policy statements alone.</t>
        </is>
      </c>
      <c r="F122" s="8" t="inlineStr">
        <is>
          <t>0–5: 0 absent; 1 isolated/person-dependent; 2 repeatable in limited areas; 3 institutionally structured; 4 broad/cross-functional and consistently operating; 5 continuously improved/scaled.</t>
        </is>
      </c>
      <c r="G122" s="8" t="inlineStr">
        <is>
          <t>Use outcome only when a legitimate measurable result exists; otherwise N/A.</t>
        </is>
      </c>
      <c r="H122" s="8" t="inlineStr">
        <is>
          <t>Only genuine mandate/context inapplicability with documented assessor approval; missing evidence is never N/A.</t>
        </is>
      </c>
      <c r="I122" s="8" t="inlineStr">
        <is>
          <t>—</t>
        </is>
      </c>
      <c r="J122" s="8" t="inlineStr">
        <is>
          <t>E0=0.20; E1=0.40; E2=0.65; E3=0.85; E4=1.00, subject to corroboration/independence adjustment. Report separately.</t>
        </is>
      </c>
      <c r="K122" s="8" t="inlineStr">
        <is>
          <t>No score uplift from claims alone; lock denominator/exclusions before results; sample verification; cross-check with adjacent domains; high scores require corroboration.</t>
        </is>
      </c>
      <c r="L122" s="8" t="inlineStr">
        <is>
          <t>Use primary-owner rule; shared evidence may validate multiple metrics but the same activity cannot be scored twice across domains.</t>
        </is>
      </c>
      <c r="M122" s="8" t="inlineStr">
        <is>
          <t>100*((0.45*M)+(0.30*I)+(0.25*O))/5 when O exists; otherwise 100*((0.60*M)+(0.40*I))/5.</t>
        </is>
      </c>
      <c r="N122" s="8" t="inlineStr">
        <is>
          <t>D10 methodology/data owner</t>
        </is>
      </c>
      <c r="O122" s="8" t="inlineStr">
        <is>
          <t>PROVISIONAL—pilot validation required</t>
        </is>
      </c>
    </row>
    <row r="123">
      <c r="A123" s="8" t="inlineStr">
        <is>
          <t>D10</t>
        </is>
      </c>
      <c r="B123" s="8" t="inlineStr">
        <is>
          <t>I07</t>
        </is>
      </c>
      <c r="C123" s="8" t="inlineStr">
        <is>
          <t>Research Funding Capability</t>
        </is>
      </c>
      <c r="D123" s="8" t="inlineStr">
        <is>
          <t>Ability to identify, develop and secure competitive research resources.</t>
        </is>
      </c>
      <c r="E123" s="8" t="inlineStr">
        <is>
          <t>Anchor 0–5 from domain-specific maturity anchor using direct sampled practice/work evidence; do not infer maturity from policy statements alone.</t>
        </is>
      </c>
      <c r="F123" s="8" t="inlineStr">
        <is>
          <t>0–5: 0 absent; 1 isolated/person-dependent; 2 repeatable in limited areas; 3 institutionally structured; 4 broad/cross-functional and consistently operating; 5 continuously improved/scaled.</t>
        </is>
      </c>
      <c r="G123" s="8" t="inlineStr">
        <is>
          <t>Use outcome only when a legitimate measurable result exists; otherwise N/A.</t>
        </is>
      </c>
      <c r="H123" s="8" t="inlineStr">
        <is>
          <t>Only genuine mandate/context inapplicability with documented assessor approval; missing evidence is never N/A.</t>
        </is>
      </c>
      <c r="I123" s="8" t="inlineStr">
        <is>
          <t>—</t>
        </is>
      </c>
      <c r="J123" s="8" t="inlineStr">
        <is>
          <t>E0=0.20; E1=0.40; E2=0.65; E3=0.85; E4=1.00, subject to corroboration/independence adjustment. Report separately.</t>
        </is>
      </c>
      <c r="K123" s="8" t="inlineStr">
        <is>
          <t>No score uplift from claims alone; lock denominator/exclusions before results; sample verification; cross-check with adjacent domains; high scores require corroboration.</t>
        </is>
      </c>
      <c r="L123" s="8" t="inlineStr">
        <is>
          <t>Use primary-owner rule; shared evidence may validate multiple metrics but the same activity cannot be scored twice across domains.</t>
        </is>
      </c>
      <c r="M123" s="8" t="inlineStr">
        <is>
          <t>100*((0.45*M)+(0.30*I)+(0.25*O))/5 when O exists; otherwise 100*((0.60*M)+(0.40*I))/5.</t>
        </is>
      </c>
      <c r="N123" s="8" t="inlineStr">
        <is>
          <t>D10 methodology/data owner</t>
        </is>
      </c>
      <c r="O123" s="8" t="inlineStr">
        <is>
          <t>PROVISIONAL—pilot validation required</t>
        </is>
      </c>
    </row>
    <row r="124">
      <c r="A124" s="8" t="inlineStr">
        <is>
          <t>D10</t>
        </is>
      </c>
      <c r="B124" s="8" t="inlineStr">
        <is>
          <t>I08</t>
        </is>
      </c>
      <c r="C124" s="8" t="inlineStr">
        <is>
          <t>Knowledge Translation Capability</t>
        </is>
      </c>
      <c r="D124" s="8" t="inlineStr">
        <is>
          <t>Movement from research findings to application, policy, practice or public value.</t>
        </is>
      </c>
      <c r="E124" s="8" t="inlineStr">
        <is>
          <t>Anchor 0–5 from domain-specific maturity anchor using direct sampled practice/work evidence; do not infer maturity from policy statements alone.</t>
        </is>
      </c>
      <c r="F124" s="8" t="inlineStr">
        <is>
          <t>0–5: 0 absent; 1 isolated/person-dependent; 2 repeatable in limited areas; 3 institutionally structured; 4 broad/cross-functional and consistently operating; 5 continuously improved/scaled.</t>
        </is>
      </c>
      <c r="G124" s="8" t="inlineStr">
        <is>
          <t>Use outcome only when a legitimate measurable result exists; otherwise N/A.</t>
        </is>
      </c>
      <c r="H124" s="8" t="inlineStr">
        <is>
          <t>Only genuine mandate/context inapplicability with documented assessor approval; missing evidence is never N/A.</t>
        </is>
      </c>
      <c r="I124" s="8" t="inlineStr">
        <is>
          <t>—</t>
        </is>
      </c>
      <c r="J124" s="8" t="inlineStr">
        <is>
          <t>E0=0.20; E1=0.40; E2=0.65; E3=0.85; E4=1.00, subject to corroboration/independence adjustment. Report separately.</t>
        </is>
      </c>
      <c r="K124" s="8" t="inlineStr">
        <is>
          <t>No score uplift from claims alone; lock denominator/exclusions before results; sample verification; cross-check with adjacent domains; high scores require corroboration.</t>
        </is>
      </c>
      <c r="L124" s="8" t="inlineStr">
        <is>
          <t>Use primary-owner rule; shared evidence may validate multiple metrics but the same activity cannot be scored twice across domains.</t>
        </is>
      </c>
      <c r="M124" s="8" t="inlineStr">
        <is>
          <t>100*((0.45*M)+(0.30*I)+(0.25*O))/5 when O exists; otherwise 100*((0.60*M)+(0.40*I))/5.</t>
        </is>
      </c>
      <c r="N124" s="8" t="inlineStr">
        <is>
          <t>D10 methodology/data owner</t>
        </is>
      </c>
      <c r="O124" s="8" t="inlineStr">
        <is>
          <t>PROVISIONAL—pilot validation required</t>
        </is>
      </c>
    </row>
    <row r="125">
      <c r="A125" s="8" t="inlineStr">
        <is>
          <t>D10</t>
        </is>
      </c>
      <c r="B125" s="8" t="inlineStr">
        <is>
          <t>I09</t>
        </is>
      </c>
      <c r="C125" s="8" t="inlineStr">
        <is>
          <t>Industry-Linked Research</t>
        </is>
      </c>
      <c r="D125" s="8" t="inlineStr">
        <is>
          <t>Depth of meaningful research collaboration with industry and external organisations.</t>
        </is>
      </c>
      <c r="E125" s="8" t="inlineStr">
        <is>
          <t>Anchor 0–5 from domain-specific maturity anchor using direct sampled practice/work evidence; do not infer maturity from policy statements alone.</t>
        </is>
      </c>
      <c r="F125" s="8" t="inlineStr">
        <is>
          <t>0–5: 0 absent; 1 isolated/person-dependent; 2 repeatable in limited areas; 3 institutionally structured; 4 broad/cross-functional and consistently operating; 5 continuously improved/scaled.</t>
        </is>
      </c>
      <c r="G125" s="8" t="inlineStr">
        <is>
          <t>Use outcome only when a legitimate measurable result exists; otherwise N/A.</t>
        </is>
      </c>
      <c r="H125" s="8" t="inlineStr">
        <is>
          <t>Only genuine mandate/context inapplicability with documented assessor approval; missing evidence is never N/A.</t>
        </is>
      </c>
      <c r="I125" s="8" t="inlineStr">
        <is>
          <t>—</t>
        </is>
      </c>
      <c r="J125" s="8" t="inlineStr">
        <is>
          <t>E0=0.20; E1=0.40; E2=0.65; E3=0.85; E4=1.00, subject to corroboration/independence adjustment. Report separately.</t>
        </is>
      </c>
      <c r="K125" s="8" t="inlineStr">
        <is>
          <t>No score uplift from claims alone; lock denominator/exclusions before results; sample verification; cross-check with adjacent domains; high scores require corroboration.</t>
        </is>
      </c>
      <c r="L125" s="8" t="inlineStr">
        <is>
          <t>Use primary-owner rule; shared evidence may validate multiple metrics but the same activity cannot be scored twice across domains.</t>
        </is>
      </c>
      <c r="M125" s="8" t="inlineStr">
        <is>
          <t>100*((0.45*M)+(0.30*I)+(0.25*O))/5 when O exists; otherwise 100*((0.60*M)+(0.40*I))/5.</t>
        </is>
      </c>
      <c r="N125" s="8" t="inlineStr">
        <is>
          <t>D10 methodology/data owner</t>
        </is>
      </c>
      <c r="O125" s="8" t="inlineStr">
        <is>
          <t>PROVISIONAL—pilot validation required</t>
        </is>
      </c>
    </row>
    <row r="126">
      <c r="A126" s="8" t="inlineStr">
        <is>
          <t>D10</t>
        </is>
      </c>
      <c r="B126" s="8" t="inlineStr">
        <is>
          <t>I10</t>
        </is>
      </c>
      <c r="C126" s="8" t="inlineStr">
        <is>
          <t>Research-to-Innovation Pipeline</t>
        </is>
      </c>
      <c r="D126" s="8" t="inlineStr">
        <is>
          <t>Ability to move promising research toward prototypes, ventures, IP or implementation.</t>
        </is>
      </c>
      <c r="E126" s="8" t="inlineStr">
        <is>
          <t>Anchor 0–5 from domain-specific maturity anchor using direct sampled practice/work evidence; do not infer maturity from policy statements alone.</t>
        </is>
      </c>
      <c r="F126" s="8" t="inlineStr">
        <is>
          <t>0–5: 0 absent; 1 isolated/person-dependent; 2 repeatable in limited areas; 3 institutionally structured; 4 broad/cross-functional and consistently operating; 5 continuously improved/scaled.</t>
        </is>
      </c>
      <c r="G126" s="8" t="inlineStr">
        <is>
          <t>Use outcome only when a legitimate measurable result exists; otherwise N/A.</t>
        </is>
      </c>
      <c r="H126" s="8" t="inlineStr">
        <is>
          <t>Only genuine mandate/context inapplicability with documented assessor approval; missing evidence is never N/A.</t>
        </is>
      </c>
      <c r="I126" s="8" t="inlineStr">
        <is>
          <t>—</t>
        </is>
      </c>
      <c r="J126" s="8" t="inlineStr">
        <is>
          <t>E0=0.20; E1=0.40; E2=0.65; E3=0.85; E4=1.00, subject to corroboration/independence adjustment. Report separately.</t>
        </is>
      </c>
      <c r="K126" s="8" t="inlineStr">
        <is>
          <t>No score uplift from claims alone; lock denominator/exclusions before results; sample verification; cross-check with adjacent domains; high scores require corroboration.</t>
        </is>
      </c>
      <c r="L126" s="8" t="inlineStr">
        <is>
          <t>Use primary-owner rule; shared evidence may validate multiple metrics but the same activity cannot be scored twice across domains.</t>
        </is>
      </c>
      <c r="M126" s="8" t="inlineStr">
        <is>
          <t>100*((0.45*M)+(0.30*I)+(0.25*O))/5 when O exists; otherwise 100*((0.60*M)+(0.40*I))/5.</t>
        </is>
      </c>
      <c r="N126" s="8" t="inlineStr">
        <is>
          <t>D10 methodology/data owner</t>
        </is>
      </c>
      <c r="O126" s="8" t="inlineStr">
        <is>
          <t>PROVISIONAL—pilot validation required</t>
        </is>
      </c>
    </row>
    <row r="127">
      <c r="A127" s="8" t="inlineStr">
        <is>
          <t>D10</t>
        </is>
      </c>
      <c r="B127" s="8" t="inlineStr">
        <is>
          <t>I11</t>
        </is>
      </c>
      <c r="C127" s="8" t="inlineStr">
        <is>
          <t>IP &amp; Knowledge Assets</t>
        </is>
      </c>
      <c r="D127" s="8" t="inlineStr">
        <is>
          <t>Quality and strategic management of intellectual property and other knowledge assets.</t>
        </is>
      </c>
      <c r="E127" s="8" t="inlineStr">
        <is>
          <t>Anchor 0–5 from domain-specific maturity anchor using direct sampled practice/work evidence; do not infer maturity from policy statements alone.</t>
        </is>
      </c>
      <c r="F127" s="8" t="inlineStr">
        <is>
          <t>0–5: 0 absent; 1 isolated/person-dependent; 2 repeatable in limited areas; 3 institutionally structured; 4 broad/cross-functional and consistently operating; 5 continuously improved/scaled.</t>
        </is>
      </c>
      <c r="G127" s="8" t="inlineStr">
        <is>
          <t>Use outcome only when a legitimate measurable result exists; otherwise N/A.</t>
        </is>
      </c>
      <c r="H127" s="8" t="inlineStr">
        <is>
          <t>Only genuine mandate/context inapplicability with documented assessor approval; missing evidence is never N/A.</t>
        </is>
      </c>
      <c r="I127" s="8" t="inlineStr">
        <is>
          <t>—</t>
        </is>
      </c>
      <c r="J127" s="8" t="inlineStr">
        <is>
          <t>E0=0.20; E1=0.40; E2=0.65; E3=0.85; E4=1.00, subject to corroboration/independence adjustment. Report separately.</t>
        </is>
      </c>
      <c r="K127" s="8" t="inlineStr">
        <is>
          <t>No score uplift from claims alone; lock denominator/exclusions before results; sample verification; cross-check with adjacent domains; high scores require corroboration.</t>
        </is>
      </c>
      <c r="L127" s="8" t="inlineStr">
        <is>
          <t>Use primary-owner rule; shared evidence may validate multiple metrics but the same activity cannot be scored twice across domains.</t>
        </is>
      </c>
      <c r="M127" s="8" t="inlineStr">
        <is>
          <t>100*((0.45*M)+(0.30*I)+(0.25*O))/5 when O exists; otherwise 100*((0.60*M)+(0.40*I))/5.</t>
        </is>
      </c>
      <c r="N127" s="8" t="inlineStr">
        <is>
          <t>D10 methodology/data owner</t>
        </is>
      </c>
      <c r="O127" s="8" t="inlineStr">
        <is>
          <t>PROVISIONAL—pilot validation required</t>
        </is>
      </c>
    </row>
    <row r="128">
      <c r="A128" s="8" t="inlineStr">
        <is>
          <t>D10</t>
        </is>
      </c>
      <c r="B128" s="8" t="inlineStr">
        <is>
          <t>I12</t>
        </is>
      </c>
      <c r="C128" s="8" t="inlineStr">
        <is>
          <t>Research Integrity &amp; Responsible AI</t>
        </is>
      </c>
      <c r="D128" s="8" t="inlineStr">
        <is>
          <t>Integrity, reproducibility, ethics, authorship, data and responsible AI practices.</t>
        </is>
      </c>
      <c r="E128" s="8" t="inlineStr">
        <is>
          <t>Anchor 0–5 from domain-specific maturity anchor using direct sampled practice/work evidence; do not infer maturity from policy statements alone.</t>
        </is>
      </c>
      <c r="F128" s="8" t="inlineStr">
        <is>
          <t>0–5: 0 absent; 1 isolated/person-dependent; 2 repeatable in limited areas; 3 institutionally structured; 4 broad/cross-functional and consistently operating; 5 continuously improved/scaled.</t>
        </is>
      </c>
      <c r="G128" s="8" t="inlineStr">
        <is>
          <t>Use outcome only when a legitimate measurable result exists; otherwise N/A.</t>
        </is>
      </c>
      <c r="H128" s="8" t="inlineStr">
        <is>
          <t>Only genuine mandate/context inapplicability with documented assessor approval; missing evidence is never N/A.</t>
        </is>
      </c>
      <c r="I128" s="8" t="inlineStr">
        <is>
          <t>—</t>
        </is>
      </c>
      <c r="J128" s="8" t="inlineStr">
        <is>
          <t>E0=0.20; E1=0.40; E2=0.65; E3=0.85; E4=1.00, subject to corroboration/independence adjustment. Report separately.</t>
        </is>
      </c>
      <c r="K128" s="8" t="inlineStr">
        <is>
          <t>No score uplift from claims alone; lock denominator/exclusions before results; sample verification; cross-check with adjacent domains; high scores require corroboration.</t>
        </is>
      </c>
      <c r="L128" s="8" t="inlineStr">
        <is>
          <t>Use primary-owner rule; shared evidence may validate multiple metrics but the same activity cannot be scored twice across domains.</t>
        </is>
      </c>
      <c r="M128" s="8" t="inlineStr">
        <is>
          <t>100*((0.45*M)+(0.30*I)+(0.25*O))/5 when O exists; otherwise 100*((0.60*M)+(0.40*I))/5.</t>
        </is>
      </c>
      <c r="N128" s="8" t="inlineStr">
        <is>
          <t>D10 methodology/data owner</t>
        </is>
      </c>
      <c r="O128" s="8" t="inlineStr">
        <is>
          <t>PROVISIONAL—pilot validation required</t>
        </is>
      </c>
    </row>
    <row r="129">
      <c r="A129" s="8" t="inlineStr">
        <is>
          <t>D10</t>
        </is>
      </c>
      <c r="B129" s="8" t="inlineStr">
        <is>
          <t>I13</t>
        </is>
      </c>
      <c r="C129" s="8" t="inlineStr">
        <is>
          <t>Research Impact Evidence</t>
        </is>
      </c>
      <c r="D129" s="8" t="inlineStr">
        <is>
          <t>Evidence of scholarly, economic, social, technological or policy impact.</t>
        </is>
      </c>
      <c r="E129" s="8" t="inlineStr">
        <is>
          <t>Anchor 0–5 from domain-specific maturity anchor using direct sampled practice/work evidence; do not infer maturity from policy statements alone.</t>
        </is>
      </c>
      <c r="F129" s="8" t="inlineStr">
        <is>
          <t>0–5: 0 absent; 1 isolated/person-dependent; 2 repeatable in limited areas; 3 institutionally structured; 4 broad/cross-functional and consistently operating; 5 continuously improved/scaled.</t>
        </is>
      </c>
      <c r="G129" s="8" t="inlineStr">
        <is>
          <t>Use outcome only when a legitimate measurable result exists; otherwise N/A.</t>
        </is>
      </c>
      <c r="H129" s="8" t="inlineStr">
        <is>
          <t>Only genuine mandate/context inapplicability with documented assessor approval; missing evidence is never N/A.</t>
        </is>
      </c>
      <c r="I129" s="8" t="inlineStr">
        <is>
          <t>—</t>
        </is>
      </c>
      <c r="J129" s="8" t="inlineStr">
        <is>
          <t>E0=0.20; E1=0.40; E2=0.65; E3=0.85; E4=1.00, subject to corroboration/independence adjustment. Report separately.</t>
        </is>
      </c>
      <c r="K129" s="8" t="inlineStr">
        <is>
          <t>No score uplift from claims alone; lock denominator/exclusions before results; sample verification; cross-check with adjacent domains; high scores require corroboration.</t>
        </is>
      </c>
      <c r="L129" s="8" t="inlineStr">
        <is>
          <t>Use primary-owner rule; shared evidence may validate multiple metrics but the same activity cannot be scored twice across domains.</t>
        </is>
      </c>
      <c r="M129" s="8" t="inlineStr">
        <is>
          <t>100*((0.45*M)+(0.30*I)+(0.25*O))/5 when O exists; otherwise 100*((0.60*M)+(0.40*I))/5.</t>
        </is>
      </c>
      <c r="N129" s="8" t="inlineStr">
        <is>
          <t>D10 methodology/data owner</t>
        </is>
      </c>
      <c r="O129" s="8" t="inlineStr">
        <is>
          <t>PROVISIONAL—pilot validation required</t>
        </is>
      </c>
    </row>
    <row r="130">
      <c r="A130" s="8" t="inlineStr">
        <is>
          <t>D10</t>
        </is>
      </c>
      <c r="B130" s="8" t="inlineStr">
        <is>
          <t>I14</t>
        </is>
      </c>
      <c r="C130" s="8" t="inlineStr">
        <is>
          <t>Student Research Capability</t>
        </is>
      </c>
      <c r="D130" s="8" t="inlineStr">
        <is>
          <t>Extent to which students participate meaningfully in research and knowledge creation.</t>
        </is>
      </c>
      <c r="E130" s="8" t="inlineStr">
        <is>
          <t>Anchor 0–5 from domain-specific maturity anchor using direct sampled practice/work evidence; do not infer maturity from policy statements alone.</t>
        </is>
      </c>
      <c r="F130" s="8" t="inlineStr">
        <is>
          <t>0–5: 0 absent; 1 isolated/person-dependent; 2 repeatable in limited areas; 3 institutionally structured; 4 broad/cross-functional and consistently operating; 5 continuously improved/scaled.</t>
        </is>
      </c>
      <c r="G130" s="8" t="inlineStr">
        <is>
          <t>Use outcome only when a legitimate measurable result exists; otherwise N/A.</t>
        </is>
      </c>
      <c r="H130" s="8" t="inlineStr">
        <is>
          <t>Only genuine mandate/context inapplicability with documented assessor approval; missing evidence is never N/A.</t>
        </is>
      </c>
      <c r="I130" s="8" t="inlineStr">
        <is>
          <t>—</t>
        </is>
      </c>
      <c r="J130" s="8" t="inlineStr">
        <is>
          <t>E0=0.20; E1=0.40; E2=0.65; E3=0.85; E4=1.00, subject to corroboration/independence adjustment. Report separately.</t>
        </is>
      </c>
      <c r="K130" s="8" t="inlineStr">
        <is>
          <t>No score uplift from claims alone; lock denominator/exclusions before results; sample verification; cross-check with adjacent domains; high scores require corroboration.</t>
        </is>
      </c>
      <c r="L130" s="8" t="inlineStr">
        <is>
          <t>Use primary-owner rule; shared evidence may validate multiple metrics but the same activity cannot be scored twice across domains.</t>
        </is>
      </c>
      <c r="M130" s="8" t="inlineStr">
        <is>
          <t>100*((0.45*M)+(0.30*I)+(0.25*O))/5 when O exists; otherwise 100*((0.60*M)+(0.40*I))/5.</t>
        </is>
      </c>
      <c r="N130" s="8" t="inlineStr">
        <is>
          <t>D10 methodology/data owner</t>
        </is>
      </c>
      <c r="O130" s="8" t="inlineStr">
        <is>
          <t>PROVISIONAL—pilot validation required</t>
        </is>
      </c>
    </row>
    <row r="131">
      <c r="A131" s="8" t="inlineStr">
        <is>
          <t>D11</t>
        </is>
      </c>
      <c r="B131" s="8" t="inlineStr">
        <is>
          <t>I01</t>
        </is>
      </c>
      <c r="C131" s="8" t="inlineStr">
        <is>
          <t>External Change Sensing</t>
        </is>
      </c>
      <c r="D131" s="8" t="inlineStr">
        <is>
          <t>Ability to detect technological, economic, demographic, policy and learner changes.</t>
        </is>
      </c>
      <c r="E131" s="8" t="inlineStr">
        <is>
          <t>Anchor 0–5 from domain-specific maturity anchor using direct sampled practice/work evidence; do not infer maturity from policy statements alone.</t>
        </is>
      </c>
      <c r="F131" s="8" t="inlineStr">
        <is>
          <t>0–5: 0 absent; 1 isolated/person-dependent; 2 repeatable in limited areas; 3 institutionally structured; 4 broad/cross-functional and consistently operating; 5 continuously improved/scaled.</t>
        </is>
      </c>
      <c r="G131" s="8" t="inlineStr">
        <is>
          <t>Use outcome only when a legitimate measurable result exists; otherwise N/A.</t>
        </is>
      </c>
      <c r="H131" s="8" t="inlineStr">
        <is>
          <t>Only genuine mandate/context inapplicability with documented assessor approval; missing evidence is never N/A.</t>
        </is>
      </c>
      <c r="I131" s="8" t="inlineStr">
        <is>
          <t>—</t>
        </is>
      </c>
      <c r="J131" s="8" t="inlineStr">
        <is>
          <t>E0=0.20; E1=0.40; E2=0.65; E3=0.85; E4=1.00, subject to corroboration/independence adjustment. Report separately.</t>
        </is>
      </c>
      <c r="K131" s="8" t="inlineStr">
        <is>
          <t>No score uplift from claims alone; lock denominator/exclusions before results; sample verification; cross-check with adjacent domains; high scores require corroboration.</t>
        </is>
      </c>
      <c r="L131" s="8" t="inlineStr">
        <is>
          <t>Use primary-owner rule; shared evidence may validate multiple metrics but the same activity cannot be scored twice across domains.</t>
        </is>
      </c>
      <c r="M131" s="8" t="inlineStr">
        <is>
          <t>100*((0.45*M)+(0.30*I)+(0.25*O))/5 when O exists; otherwise 100*((0.60*M)+(0.40*I))/5.</t>
        </is>
      </c>
      <c r="N131" s="8" t="inlineStr">
        <is>
          <t>D11 methodology/data owner</t>
        </is>
      </c>
      <c r="O131" s="8" t="inlineStr">
        <is>
          <t>PROVISIONAL—pilot validation required</t>
        </is>
      </c>
    </row>
    <row r="132">
      <c r="A132" s="8" t="inlineStr">
        <is>
          <t>D11</t>
        </is>
      </c>
      <c r="B132" s="8" t="inlineStr">
        <is>
          <t>I02</t>
        </is>
      </c>
      <c r="C132" s="8" t="inlineStr">
        <is>
          <t>Strategic Response Agility</t>
        </is>
      </c>
      <c r="D132" s="8" t="inlineStr">
        <is>
          <t>Speed and quality with which significant changes become institutional decisions.</t>
        </is>
      </c>
      <c r="E132" s="8" t="inlineStr">
        <is>
          <t>Anchor 0–5 from domain-specific maturity anchor using direct sampled practice/work evidence; do not infer maturity from policy statements alone.</t>
        </is>
      </c>
      <c r="F132" s="8" t="inlineStr">
        <is>
          <t>0–5: 0 absent; 1 isolated/person-dependent; 2 repeatable in limited areas; 3 institutionally structured; 4 broad/cross-functional and consistently operating; 5 continuously improved/scaled.</t>
        </is>
      </c>
      <c r="G132" s="8" t="inlineStr">
        <is>
          <t>Use outcome only when a legitimate measurable result exists; otherwise N/A.</t>
        </is>
      </c>
      <c r="H132" s="8" t="inlineStr">
        <is>
          <t>Only genuine mandate/context inapplicability with documented assessor approval; missing evidence is never N/A.</t>
        </is>
      </c>
      <c r="I132" s="8" t="inlineStr">
        <is>
          <t>—</t>
        </is>
      </c>
      <c r="J132" s="8" t="inlineStr">
        <is>
          <t>E0=0.20; E1=0.40; E2=0.65; E3=0.85; E4=1.00, subject to corroboration/independence adjustment. Report separately.</t>
        </is>
      </c>
      <c r="K132" s="8" t="inlineStr">
        <is>
          <t>No score uplift from claims alone; lock denominator/exclusions before results; sample verification; cross-check with adjacent domains; high scores require corroboration.</t>
        </is>
      </c>
      <c r="L132" s="8" t="inlineStr">
        <is>
          <t>Use primary-owner rule; shared evidence may validate multiple metrics but the same activity cannot be scored twice across domains.</t>
        </is>
      </c>
      <c r="M132" s="8" t="inlineStr">
        <is>
          <t>100*((0.45*M)+(0.30*I)+(0.25*O))/5 when O exists; otherwise 100*((0.60*M)+(0.40*I))/5.</t>
        </is>
      </c>
      <c r="N132" s="8" t="inlineStr">
        <is>
          <t>D11 methodology/data owner</t>
        </is>
      </c>
      <c r="O132" s="8" t="inlineStr">
        <is>
          <t>PROVISIONAL—pilot validation required</t>
        </is>
      </c>
    </row>
    <row r="133">
      <c r="A133" s="8" t="inlineStr">
        <is>
          <t>D11</t>
        </is>
      </c>
      <c r="B133" s="8" t="inlineStr">
        <is>
          <t>I03</t>
        </is>
      </c>
      <c r="C133" s="8" t="inlineStr">
        <is>
          <t>Adaptive Decision Architecture</t>
        </is>
      </c>
      <c r="D133" s="8" t="inlineStr">
        <is>
          <t>Clarity of who can act, escalate and allocate resources when circumstances change.</t>
        </is>
      </c>
      <c r="E133" s="8" t="inlineStr">
        <is>
          <t>Anchor 0–5 from domain-specific maturity anchor using direct sampled practice/work evidence; do not infer maturity from policy statements alone.</t>
        </is>
      </c>
      <c r="F133" s="8" t="inlineStr">
        <is>
          <t>0–5: 0 absent; 1 isolated/person-dependent; 2 repeatable in limited areas; 3 institutionally structured; 4 broad/cross-functional and consistently operating; 5 continuously improved/scaled.</t>
        </is>
      </c>
      <c r="G133" s="8" t="inlineStr">
        <is>
          <t>Use outcome only when a legitimate measurable result exists; otherwise N/A.</t>
        </is>
      </c>
      <c r="H133" s="8" t="inlineStr">
        <is>
          <t>Only genuine mandate/context inapplicability with documented assessor approval; missing evidence is never N/A.</t>
        </is>
      </c>
      <c r="I133" s="8" t="inlineStr">
        <is>
          <t>—</t>
        </is>
      </c>
      <c r="J133" s="8" t="inlineStr">
        <is>
          <t>E0=0.20; E1=0.40; E2=0.65; E3=0.85; E4=1.00, subject to corroboration/independence adjustment. Report separately.</t>
        </is>
      </c>
      <c r="K133" s="8" t="inlineStr">
        <is>
          <t>No score uplift from claims alone; lock denominator/exclusions before results; sample verification; cross-check with adjacent domains; high scores require corroboration.</t>
        </is>
      </c>
      <c r="L133" s="8" t="inlineStr">
        <is>
          <t>Use primary-owner rule; shared evidence may validate multiple metrics but the same activity cannot be scored twice across domains.</t>
        </is>
      </c>
      <c r="M133" s="8" t="inlineStr">
        <is>
          <t>100*((0.45*M)+(0.30*I)+(0.25*O))/5 when O exists; otherwise 100*((0.60*M)+(0.40*I))/5.</t>
        </is>
      </c>
      <c r="N133" s="8" t="inlineStr">
        <is>
          <t>D11 methodology/data owner</t>
        </is>
      </c>
      <c r="O133" s="8" t="inlineStr">
        <is>
          <t>PROVISIONAL—pilot validation required</t>
        </is>
      </c>
    </row>
    <row r="134">
      <c r="A134" s="8" t="inlineStr">
        <is>
          <t>D11</t>
        </is>
      </c>
      <c r="B134" s="8" t="inlineStr">
        <is>
          <t>I04</t>
        </is>
      </c>
      <c r="C134" s="8" t="inlineStr">
        <is>
          <t>Resource Reallocation Agility</t>
        </is>
      </c>
      <c r="D134" s="8" t="inlineStr">
        <is>
          <t>Ability to redirect people, money, infrastructure and attention toward emerging priorities.</t>
        </is>
      </c>
      <c r="E134" s="8" t="inlineStr">
        <is>
          <t>Anchor 0–5 from domain-specific maturity anchor using direct sampled practice/work evidence; do not infer maturity from policy statements alone.</t>
        </is>
      </c>
      <c r="F134" s="8" t="inlineStr">
        <is>
          <t>0–5: 0 absent; 1 isolated/person-dependent; 2 repeatable in limited areas; 3 institutionally structured; 4 broad/cross-functional and consistently operating; 5 continuously improved/scaled.</t>
        </is>
      </c>
      <c r="G134" s="8" t="inlineStr">
        <is>
          <t>Use outcome only when a legitimate measurable result exists; otherwise N/A.</t>
        </is>
      </c>
      <c r="H134" s="8" t="inlineStr">
        <is>
          <t>Only genuine mandate/context inapplicability with documented assessor approval; missing evidence is never N/A.</t>
        </is>
      </c>
      <c r="I134" s="8" t="inlineStr">
        <is>
          <t>—</t>
        </is>
      </c>
      <c r="J134" s="8" t="inlineStr">
        <is>
          <t>E0=0.20; E1=0.40; E2=0.65; E3=0.85; E4=1.00, subject to corroboration/independence adjustment. Report separately.</t>
        </is>
      </c>
      <c r="K134" s="8" t="inlineStr">
        <is>
          <t>No score uplift from claims alone; lock denominator/exclusions before results; sample verification; cross-check with adjacent domains; high scores require corroboration.</t>
        </is>
      </c>
      <c r="L134" s="8" t="inlineStr">
        <is>
          <t>Use primary-owner rule; shared evidence may validate multiple metrics but the same activity cannot be scored twice across domains.</t>
        </is>
      </c>
      <c r="M134" s="8" t="inlineStr">
        <is>
          <t>100*((0.45*M)+(0.30*I)+(0.25*O))/5 when O exists; otherwise 100*((0.60*M)+(0.40*I))/5.</t>
        </is>
      </c>
      <c r="N134" s="8" t="inlineStr">
        <is>
          <t>D11 methodology/data owner</t>
        </is>
      </c>
      <c r="O134" s="8" t="inlineStr">
        <is>
          <t>PROVISIONAL—pilot validation required</t>
        </is>
      </c>
    </row>
    <row r="135">
      <c r="A135" s="8" t="inlineStr">
        <is>
          <t>D11</t>
        </is>
      </c>
      <c r="B135" s="8" t="inlineStr">
        <is>
          <t>I05</t>
        </is>
      </c>
      <c r="C135" s="8" t="inlineStr">
        <is>
          <t>Institutional Experimentation</t>
        </is>
      </c>
      <c r="D135" s="8" t="inlineStr">
        <is>
          <t>Ability to test new approaches without turning every experiment into a large programme.</t>
        </is>
      </c>
      <c r="E135" s="8" t="inlineStr">
        <is>
          <t>Anchor 0–5 from domain-specific maturity anchor using direct sampled practice/work evidence; do not infer maturity from policy statements alone.</t>
        </is>
      </c>
      <c r="F135" s="8" t="inlineStr">
        <is>
          <t>0–5: 0 absent; 1 isolated/person-dependent; 2 repeatable in limited areas; 3 institutionally structured; 4 broad/cross-functional and consistently operating; 5 continuously improved/scaled.</t>
        </is>
      </c>
      <c r="G135" s="8" t="inlineStr">
        <is>
          <t>Use outcome only when a legitimate measurable result exists; otherwise N/A.</t>
        </is>
      </c>
      <c r="H135" s="8" t="inlineStr">
        <is>
          <t>Only genuine mandate/context inapplicability with documented assessor approval; missing evidence is never N/A.</t>
        </is>
      </c>
      <c r="I135" s="8" t="inlineStr">
        <is>
          <t>—</t>
        </is>
      </c>
      <c r="J135" s="8" t="inlineStr">
        <is>
          <t>E0=0.20; E1=0.40; E2=0.65; E3=0.85; E4=1.00, subject to corroboration/independence adjustment. Report separately.</t>
        </is>
      </c>
      <c r="K135" s="8" t="inlineStr">
        <is>
          <t>No score uplift from claims alone; lock denominator/exclusions before results; sample verification; cross-check with adjacent domains; high scores require corroboration.</t>
        </is>
      </c>
      <c r="L135" s="8" t="inlineStr">
        <is>
          <t>Use primary-owner rule; shared evidence may validate multiple metrics but the same activity cannot be scored twice across domains.</t>
        </is>
      </c>
      <c r="M135" s="8" t="inlineStr">
        <is>
          <t>100*((0.45*M)+(0.30*I)+(0.25*O))/5 when O exists; otherwise 100*((0.60*M)+(0.40*I))/5.</t>
        </is>
      </c>
      <c r="N135" s="8" t="inlineStr">
        <is>
          <t>D11 methodology/data owner</t>
        </is>
      </c>
      <c r="O135" s="8" t="inlineStr">
        <is>
          <t>PROVISIONAL—pilot validation required</t>
        </is>
      </c>
    </row>
    <row r="136">
      <c r="A136" s="8" t="inlineStr">
        <is>
          <t>D11</t>
        </is>
      </c>
      <c r="B136" s="8" t="inlineStr">
        <is>
          <t>I06</t>
        </is>
      </c>
      <c r="C136" s="8" t="inlineStr">
        <is>
          <t>Failure-to-Learning Capability</t>
        </is>
      </c>
      <c r="D136" s="8" t="inlineStr">
        <is>
          <t>Whether unsuccessful initiatives produce institutional learning and changed practice.</t>
        </is>
      </c>
      <c r="E136" s="8" t="inlineStr">
        <is>
          <t>Anchor 0–5 from domain-specific maturity anchor using direct sampled practice/work evidence; do not infer maturity from policy statements alone.</t>
        </is>
      </c>
      <c r="F136" s="8" t="inlineStr">
        <is>
          <t>0–5: 0 absent; 1 isolated/person-dependent; 2 repeatable in limited areas; 3 institutionally structured; 4 broad/cross-functional and consistently operating; 5 continuously improved/scaled.</t>
        </is>
      </c>
      <c r="G136" s="8" t="inlineStr">
        <is>
          <t>Use outcome only when a legitimate measurable result exists; otherwise N/A.</t>
        </is>
      </c>
      <c r="H136" s="8" t="inlineStr">
        <is>
          <t>Only genuine mandate/context inapplicability with documented assessor approval; missing evidence is never N/A.</t>
        </is>
      </c>
      <c r="I136" s="8" t="inlineStr">
        <is>
          <t>—</t>
        </is>
      </c>
      <c r="J136" s="8" t="inlineStr">
        <is>
          <t>E0=0.20; E1=0.40; E2=0.65; E3=0.85; E4=1.00, subject to corroboration/independence adjustment. Report separately.</t>
        </is>
      </c>
      <c r="K136" s="8" t="inlineStr">
        <is>
          <t>No score uplift from claims alone; lock denominator/exclusions before results; sample verification; cross-check with adjacent domains; high scores require corroboration.</t>
        </is>
      </c>
      <c r="L136" s="8" t="inlineStr">
        <is>
          <t>Use primary-owner rule; shared evidence may validate multiple metrics but the same activity cannot be scored twice across domains.</t>
        </is>
      </c>
      <c r="M136" s="8" t="inlineStr">
        <is>
          <t>100*((0.45*M)+(0.30*I)+(0.25*O))/5 when O exists; otherwise 100*((0.60*M)+(0.40*I))/5.</t>
        </is>
      </c>
      <c r="N136" s="8" t="inlineStr">
        <is>
          <t>D11 methodology/data owner</t>
        </is>
      </c>
      <c r="O136" s="8" t="inlineStr">
        <is>
          <t>PROVISIONAL—pilot validation required</t>
        </is>
      </c>
    </row>
    <row r="137">
      <c r="A137" s="8" t="inlineStr">
        <is>
          <t>D11</t>
        </is>
      </c>
      <c r="B137" s="8" t="inlineStr">
        <is>
          <t>I07</t>
        </is>
      </c>
      <c r="C137" s="8" t="inlineStr">
        <is>
          <t>Change Management Capacity</t>
        </is>
      </c>
      <c r="D137" s="8" t="inlineStr">
        <is>
          <t>Ability to move people and systems through meaningful institutional change.</t>
        </is>
      </c>
      <c r="E137" s="8" t="inlineStr">
        <is>
          <t>Anchor 0–5 from domain-specific maturity anchor using direct sampled practice/work evidence; do not infer maturity from policy statements alone.</t>
        </is>
      </c>
      <c r="F137" s="8" t="inlineStr">
        <is>
          <t>0–5: 0 absent; 1 isolated/person-dependent; 2 repeatable in limited areas; 3 institutionally structured; 4 broad/cross-functional and consistently operating; 5 continuously improved/scaled.</t>
        </is>
      </c>
      <c r="G137" s="8" t="inlineStr">
        <is>
          <t>Use outcome only when a legitimate measurable result exists; otherwise N/A.</t>
        </is>
      </c>
      <c r="H137" s="8" t="inlineStr">
        <is>
          <t>Only genuine mandate/context inapplicability with documented assessor approval; missing evidence is never N/A.</t>
        </is>
      </c>
      <c r="I137" s="8" t="inlineStr">
        <is>
          <t>—</t>
        </is>
      </c>
      <c r="J137" s="8" t="inlineStr">
        <is>
          <t>E0=0.20; E1=0.40; E2=0.65; E3=0.85; E4=1.00, subject to corroboration/independence adjustment. Report separately.</t>
        </is>
      </c>
      <c r="K137" s="8" t="inlineStr">
        <is>
          <t>No score uplift from claims alone; lock denominator/exclusions before results; sample verification; cross-check with adjacent domains; high scores require corroboration.</t>
        </is>
      </c>
      <c r="L137" s="8" t="inlineStr">
        <is>
          <t>Use primary-owner rule; shared evidence may validate multiple metrics but the same activity cannot be scored twice across domains.</t>
        </is>
      </c>
      <c r="M137" s="8" t="inlineStr">
        <is>
          <t>100*((0.45*M)+(0.30*I)+(0.25*O))/5 when O exists; otherwise 100*((0.60*M)+(0.40*I))/5.</t>
        </is>
      </c>
      <c r="N137" s="8" t="inlineStr">
        <is>
          <t>D11 methodology/data owner</t>
        </is>
      </c>
      <c r="O137" s="8" t="inlineStr">
        <is>
          <t>PROVISIONAL—pilot validation required</t>
        </is>
      </c>
    </row>
    <row r="138">
      <c r="A138" s="8" t="inlineStr">
        <is>
          <t>D11</t>
        </is>
      </c>
      <c r="B138" s="8" t="inlineStr">
        <is>
          <t>I08</t>
        </is>
      </c>
      <c r="C138" s="8" t="inlineStr">
        <is>
          <t>Adaptive Leadership Alignment</t>
        </is>
      </c>
      <c r="D138" s="8" t="inlineStr">
        <is>
          <t>Extent to which leadership can align around changing priorities.</t>
        </is>
      </c>
      <c r="E138" s="8" t="inlineStr">
        <is>
          <t>Anchor 0–5 from domain-specific maturity anchor using direct sampled practice/work evidence; do not infer maturity from policy statements alone.</t>
        </is>
      </c>
      <c r="F138" s="8" t="inlineStr">
        <is>
          <t>0–5: 0 absent; 1 isolated/person-dependent; 2 repeatable in limited areas; 3 institutionally structured; 4 broad/cross-functional and consistently operating; 5 continuously improved/scaled.</t>
        </is>
      </c>
      <c r="G138" s="8" t="inlineStr">
        <is>
          <t>Use outcome only when a legitimate measurable result exists; otherwise N/A.</t>
        </is>
      </c>
      <c r="H138" s="8" t="inlineStr">
        <is>
          <t>Only genuine mandate/context inapplicability with documented assessor approval; missing evidence is never N/A.</t>
        </is>
      </c>
      <c r="I138" s="8" t="inlineStr">
        <is>
          <t>—</t>
        </is>
      </c>
      <c r="J138" s="8" t="inlineStr">
        <is>
          <t>E0=0.20; E1=0.40; E2=0.65; E3=0.85; E4=1.00, subject to corroboration/independence adjustment. Report separately.</t>
        </is>
      </c>
      <c r="K138" s="8" t="inlineStr">
        <is>
          <t>No score uplift from claims alone; lock denominator/exclusions before results; sample verification; cross-check with adjacent domains; high scores require corroboration.</t>
        </is>
      </c>
      <c r="L138" s="8" t="inlineStr">
        <is>
          <t>Use primary-owner rule; shared evidence may validate multiple metrics but the same activity cannot be scored twice across domains.</t>
        </is>
      </c>
      <c r="M138" s="8" t="inlineStr">
        <is>
          <t>100*((0.45*M)+(0.30*I)+(0.25*O))/5 when O exists; otherwise 100*((0.60*M)+(0.40*I))/5.</t>
        </is>
      </c>
      <c r="N138" s="8" t="inlineStr">
        <is>
          <t>D11 methodology/data owner</t>
        </is>
      </c>
      <c r="O138" s="8" t="inlineStr">
        <is>
          <t>PROVISIONAL—pilot validation required</t>
        </is>
      </c>
    </row>
    <row r="139">
      <c r="A139" s="8" t="inlineStr">
        <is>
          <t>D11</t>
        </is>
      </c>
      <c r="B139" s="8" t="inlineStr">
        <is>
          <t>I09</t>
        </is>
      </c>
      <c r="C139" s="8" t="inlineStr">
        <is>
          <t>Learner Signal Responsiveness</t>
        </is>
      </c>
      <c r="D139" s="8" t="inlineStr">
        <is>
          <t>Ability to detect and respond to changing student expectations and experience.</t>
        </is>
      </c>
      <c r="E139" s="8" t="inlineStr">
        <is>
          <t>Anchor 0–5 from domain-specific maturity anchor using direct sampled practice/work evidence; do not infer maturity from policy statements alone.</t>
        </is>
      </c>
      <c r="F139" s="8" t="inlineStr">
        <is>
          <t>0–5: 0 absent; 1 isolated/person-dependent; 2 repeatable in limited areas; 3 institutionally structured; 4 broad/cross-functional and consistently operating; 5 continuously improved/scaled.</t>
        </is>
      </c>
      <c r="G139" s="8" t="inlineStr">
        <is>
          <t>Use outcome only when a legitimate measurable result exists; otherwise N/A.</t>
        </is>
      </c>
      <c r="H139" s="8" t="inlineStr">
        <is>
          <t>Only genuine mandate/context inapplicability with documented assessor approval; missing evidence is never N/A.</t>
        </is>
      </c>
      <c r="I139" s="8" t="inlineStr">
        <is>
          <t>—</t>
        </is>
      </c>
      <c r="J139" s="8" t="inlineStr">
        <is>
          <t>E0=0.20; E1=0.40; E2=0.65; E3=0.85; E4=1.00, subject to corroboration/independence adjustment. Report separately.</t>
        </is>
      </c>
      <c r="K139" s="8" t="inlineStr">
        <is>
          <t>No score uplift from claims alone; lock denominator/exclusions before results; sample verification; cross-check with adjacent domains; high scores require corroboration.</t>
        </is>
      </c>
      <c r="L139" s="8" t="inlineStr">
        <is>
          <t>Use primary-owner rule; shared evidence may validate multiple metrics but the same activity cannot be scored twice across domains.</t>
        </is>
      </c>
      <c r="M139" s="8" t="inlineStr">
        <is>
          <t>100*((0.45*M)+(0.30*I)+(0.25*O))/5 when O exists; otherwise 100*((0.60*M)+(0.40*I))/5.</t>
        </is>
      </c>
      <c r="N139" s="8" t="inlineStr">
        <is>
          <t>D11 methodology/data owner</t>
        </is>
      </c>
      <c r="O139" s="8" t="inlineStr">
        <is>
          <t>PROVISIONAL—pilot validation required</t>
        </is>
      </c>
    </row>
    <row r="140">
      <c r="A140" s="8" t="inlineStr">
        <is>
          <t>D11</t>
        </is>
      </c>
      <c r="B140" s="8" t="inlineStr">
        <is>
          <t>I10</t>
        </is>
      </c>
      <c r="C140" s="8" t="inlineStr">
        <is>
          <t>Economic &amp; Workforce Responsiveness</t>
        </is>
      </c>
      <c r="D140" s="8" t="inlineStr">
        <is>
          <t>Ability to respond to changing industry and workforce conditions.</t>
        </is>
      </c>
      <c r="E140" s="8" t="inlineStr">
        <is>
          <t>Anchor 0–5 from domain-specific maturity anchor using direct sampled practice/work evidence; do not infer maturity from policy statements alone.</t>
        </is>
      </c>
      <c r="F140" s="8" t="inlineStr">
        <is>
          <t>0–5: 0 absent; 1 isolated/person-dependent; 2 repeatable in limited areas; 3 institutionally structured; 4 broad/cross-functional and consistently operating; 5 continuously improved/scaled.</t>
        </is>
      </c>
      <c r="G140" s="8" t="inlineStr">
        <is>
          <t>Use outcome only when a legitimate measurable result exists; otherwise N/A.</t>
        </is>
      </c>
      <c r="H140" s="8" t="inlineStr">
        <is>
          <t>Only genuine mandate/context inapplicability with documented assessor approval; missing evidence is never N/A.</t>
        </is>
      </c>
      <c r="I140" s="8" t="inlineStr">
        <is>
          <t>—</t>
        </is>
      </c>
      <c r="J140" s="8" t="inlineStr">
        <is>
          <t>E0=0.20; E1=0.40; E2=0.65; E3=0.85; E4=1.00, subject to corroboration/independence adjustment. Report separately.</t>
        </is>
      </c>
      <c r="K140" s="8" t="inlineStr">
        <is>
          <t>No score uplift from claims alone; lock denominator/exclusions before results; sample verification; cross-check with adjacent domains; high scores require corroboration.</t>
        </is>
      </c>
      <c r="L140" s="8" t="inlineStr">
        <is>
          <t>Use primary-owner rule; shared evidence may validate multiple metrics but the same activity cannot be scored twice across domains.</t>
        </is>
      </c>
      <c r="M140" s="8" t="inlineStr">
        <is>
          <t>100*((0.45*M)+(0.30*I)+(0.25*O))/5 when O exists; otherwise 100*((0.60*M)+(0.40*I))/5.</t>
        </is>
      </c>
      <c r="N140" s="8" t="inlineStr">
        <is>
          <t>D11 methodology/data owner</t>
        </is>
      </c>
      <c r="O140" s="8" t="inlineStr">
        <is>
          <t>PROVISIONAL—pilot validation required</t>
        </is>
      </c>
    </row>
    <row r="141">
      <c r="A141" s="8" t="inlineStr">
        <is>
          <t>D11</t>
        </is>
      </c>
      <c r="B141" s="8" t="inlineStr">
        <is>
          <t>I11</t>
        </is>
      </c>
      <c r="C141" s="8" t="inlineStr">
        <is>
          <t>Scenario Planning Capability</t>
        </is>
      </c>
      <c r="D141" s="8" t="inlineStr">
        <is>
          <t>Ability to prepare for multiple plausible futures rather than one forecast.</t>
        </is>
      </c>
      <c r="E141" s="8" t="inlineStr">
        <is>
          <t>Anchor 0–5 from domain-specific maturity anchor using direct sampled practice/work evidence; do not infer maturity from policy statements alone.</t>
        </is>
      </c>
      <c r="F141" s="8" t="inlineStr">
        <is>
          <t>0–5: 0 absent; 1 isolated/person-dependent; 2 repeatable in limited areas; 3 institutionally structured; 4 broad/cross-functional and consistently operating; 5 continuously improved/scaled.</t>
        </is>
      </c>
      <c r="G141" s="8" t="inlineStr">
        <is>
          <t>Use outcome only when a legitimate measurable result exists; otherwise N/A.</t>
        </is>
      </c>
      <c r="H141" s="8" t="inlineStr">
        <is>
          <t>Only genuine mandate/context inapplicability with documented assessor approval; missing evidence is never N/A.</t>
        </is>
      </c>
      <c r="I141" s="8" t="inlineStr">
        <is>
          <t>—</t>
        </is>
      </c>
      <c r="J141" s="8" t="inlineStr">
        <is>
          <t>E0=0.20; E1=0.40; E2=0.65; E3=0.85; E4=1.00, subject to corroboration/independence adjustment. Report separately.</t>
        </is>
      </c>
      <c r="K141" s="8" t="inlineStr">
        <is>
          <t>No score uplift from claims alone; lock denominator/exclusions before results; sample verification; cross-check with adjacent domains; high scores require corroboration.</t>
        </is>
      </c>
      <c r="L141" s="8" t="inlineStr">
        <is>
          <t>Use primary-owner rule; shared evidence may validate multiple metrics but the same activity cannot be scored twice across domains.</t>
        </is>
      </c>
      <c r="M141" s="8" t="inlineStr">
        <is>
          <t>100*((0.45*M)+(0.30*I)+(0.25*O))/5 when O exists; otherwise 100*((0.60*M)+(0.40*I))/5.</t>
        </is>
      </c>
      <c r="N141" s="8" t="inlineStr">
        <is>
          <t>D11 methodology/data owner</t>
        </is>
      </c>
      <c r="O141" s="8" t="inlineStr">
        <is>
          <t>PROVISIONAL—pilot validation required</t>
        </is>
      </c>
    </row>
    <row r="142">
      <c r="A142" s="8" t="inlineStr">
        <is>
          <t>D11</t>
        </is>
      </c>
      <c r="B142" s="8" t="inlineStr">
        <is>
          <t>I12</t>
        </is>
      </c>
      <c r="C142" s="8" t="inlineStr">
        <is>
          <t>Institutional Resilience</t>
        </is>
      </c>
      <c r="D142" s="8" t="inlineStr">
        <is>
          <t>Ability to maintain core educational quality while adapting to disruption.</t>
        </is>
      </c>
      <c r="E142" s="8" t="inlineStr">
        <is>
          <t>Anchor 0–5 from domain-specific maturity anchor using direct sampled practice/work evidence; do not infer maturity from policy statements alone.</t>
        </is>
      </c>
      <c r="F142" s="8" t="inlineStr">
        <is>
          <t>0–5: 0 absent; 1 isolated/person-dependent; 2 repeatable in limited areas; 3 institutionally structured; 4 broad/cross-functional and consistently operating; 5 continuously improved/scaled.</t>
        </is>
      </c>
      <c r="G142" s="8" t="inlineStr">
        <is>
          <t>Use outcome only when a legitimate measurable result exists; otherwise N/A.</t>
        </is>
      </c>
      <c r="H142" s="8" t="inlineStr">
        <is>
          <t>Only genuine mandate/context inapplicability with documented assessor approval; missing evidence is never N/A.</t>
        </is>
      </c>
      <c r="I142" s="8" t="inlineStr">
        <is>
          <t>—</t>
        </is>
      </c>
      <c r="J142" s="8" t="inlineStr">
        <is>
          <t>E0=0.20; E1=0.40; E2=0.65; E3=0.85; E4=1.00, subject to corroboration/independence adjustment. Report separately.</t>
        </is>
      </c>
      <c r="K142" s="8" t="inlineStr">
        <is>
          <t>No score uplift from claims alone; lock denominator/exclusions before results; sample verification; cross-check with adjacent domains; high scores require corroboration.</t>
        </is>
      </c>
      <c r="L142" s="8" t="inlineStr">
        <is>
          <t>Use primary-owner rule; shared evidence may validate multiple metrics but the same activity cannot be scored twice across domains.</t>
        </is>
      </c>
      <c r="M142" s="8" t="inlineStr">
        <is>
          <t>100*((0.45*M)+(0.30*I)+(0.25*O))/5 when O exists; otherwise 100*((0.60*M)+(0.40*I))/5.</t>
        </is>
      </c>
      <c r="N142" s="8" t="inlineStr">
        <is>
          <t>D11 methodology/data owner</t>
        </is>
      </c>
      <c r="O142" s="8" t="inlineStr">
        <is>
          <t>PROVISIONAL—pilot validation required</t>
        </is>
      </c>
    </row>
    <row r="143">
      <c r="A143" s="8" t="inlineStr">
        <is>
          <t>D11</t>
        </is>
      </c>
      <c r="B143" s="8" t="inlineStr">
        <is>
          <t>I13</t>
        </is>
      </c>
      <c r="C143" s="8" t="inlineStr">
        <is>
          <t>Institutional Learning System</t>
        </is>
      </c>
      <c r="D143" s="8" t="inlineStr">
        <is>
          <t>Ability to turn evidence, experience and external signals into repeated improvement.</t>
        </is>
      </c>
      <c r="E143" s="8" t="inlineStr">
        <is>
          <t>Anchor 0–5 from domain-specific maturity anchor using direct sampled practice/work evidence; do not infer maturity from policy statements alone.</t>
        </is>
      </c>
      <c r="F143" s="8" t="inlineStr">
        <is>
          <t>0–5: 0 absent; 1 isolated/person-dependent; 2 repeatable in limited areas; 3 institutionally structured; 4 broad/cross-functional and consistently operating; 5 continuously improved/scaled.</t>
        </is>
      </c>
      <c r="G143" s="8" t="inlineStr">
        <is>
          <t>Use outcome only when a legitimate measurable result exists; otherwise N/A.</t>
        </is>
      </c>
      <c r="H143" s="8" t="inlineStr">
        <is>
          <t>Only genuine mandate/context inapplicability with documented assessor approval; missing evidence is never N/A.</t>
        </is>
      </c>
      <c r="I143" s="8" t="inlineStr">
        <is>
          <t>—</t>
        </is>
      </c>
      <c r="J143" s="8" t="inlineStr">
        <is>
          <t>E0=0.20; E1=0.40; E2=0.65; E3=0.85; E4=1.00, subject to corroboration/independence adjustment. Report separately.</t>
        </is>
      </c>
      <c r="K143" s="8" t="inlineStr">
        <is>
          <t>No score uplift from claims alone; lock denominator/exclusions before results; sample verification; cross-check with adjacent domains; high scores require corroboration.</t>
        </is>
      </c>
      <c r="L143" s="8" t="inlineStr">
        <is>
          <t>Use primary-owner rule; shared evidence may validate multiple metrics but the same activity cannot be scored twice across domains.</t>
        </is>
      </c>
      <c r="M143" s="8" t="inlineStr">
        <is>
          <t>100*((0.45*M)+(0.30*I)+(0.25*O))/5 when O exists; otherwise 100*((0.60*M)+(0.40*I))/5.</t>
        </is>
      </c>
      <c r="N143" s="8" t="inlineStr">
        <is>
          <t>D11 methodology/data owner</t>
        </is>
      </c>
      <c r="O143" s="8" t="inlineStr">
        <is>
          <t>PROVISIONAL—pilot validation required</t>
        </is>
      </c>
    </row>
    <row r="144">
      <c r="A144" s="8" t="inlineStr">
        <is>
          <t>D11</t>
        </is>
      </c>
      <c r="B144" s="8" t="inlineStr">
        <is>
          <t>I14</t>
        </is>
      </c>
      <c r="C144" s="8" t="inlineStr">
        <is>
          <t>Future Transformation Capacity</t>
        </is>
      </c>
      <c r="D144" s="8" t="inlineStr">
        <is>
          <t>Overall ability to redesign the institution before external pressure forces change.</t>
        </is>
      </c>
      <c r="E144" s="8" t="inlineStr">
        <is>
          <t>Anchor 0–5 from domain-specific maturity anchor using direct sampled practice/work evidence; do not infer maturity from policy statements alone.</t>
        </is>
      </c>
      <c r="F144" s="8" t="inlineStr">
        <is>
          <t>0–5: 0 absent; 1 isolated/person-dependent; 2 repeatable in limited areas; 3 institutionally structured; 4 broad/cross-functional and consistently operating; 5 continuously improved/scaled.</t>
        </is>
      </c>
      <c r="G144" s="8" t="inlineStr">
        <is>
          <t>Use outcome only when a legitimate measurable result exists; otherwise N/A.</t>
        </is>
      </c>
      <c r="H144" s="8" t="inlineStr">
        <is>
          <t>Only genuine mandate/context inapplicability with documented assessor approval; missing evidence is never N/A.</t>
        </is>
      </c>
      <c r="I144" s="8" t="inlineStr">
        <is>
          <t>—</t>
        </is>
      </c>
      <c r="J144" s="8" t="inlineStr">
        <is>
          <t>E0=0.20; E1=0.40; E2=0.65; E3=0.85; E4=1.00, subject to corroboration/independence adjustment. Report separately.</t>
        </is>
      </c>
      <c r="K144" s="8" t="inlineStr">
        <is>
          <t>No score uplift from claims alone; lock denominator/exclusions before results; sample verification; cross-check with adjacent domains; high scores require corroboration.</t>
        </is>
      </c>
      <c r="L144" s="8" t="inlineStr">
        <is>
          <t>Use primary-owner rule; shared evidence may validate multiple metrics but the same activity cannot be scored twice across domains.</t>
        </is>
      </c>
      <c r="M144" s="8" t="inlineStr">
        <is>
          <t>100*((0.45*M)+(0.30*I)+(0.25*O))/5 when O exists; otherwise 100*((0.60*M)+(0.40*I))/5.</t>
        </is>
      </c>
      <c r="N144" s="8" t="inlineStr">
        <is>
          <t>D11 methodology/data owner</t>
        </is>
      </c>
      <c r="O144" s="8" t="inlineStr">
        <is>
          <t>PROVISIONAL—pilot validation required</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1.140625" customWidth="1" min="1" max="1"/>
    <col width="12.140625" customWidth="1" min="2" max="2"/>
    <col width="36.140625" customWidth="1" min="3" max="3"/>
    <col width="14.140625" customWidth="1" min="4" max="4"/>
    <col width="20.140625" customWidth="1" min="5" max="5"/>
    <col width="22.140625" customWidth="1" min="6" max="6"/>
    <col width="24.140625" customWidth="1" min="7" max="7"/>
    <col width="20.140625" customWidth="1" min="8" max="8"/>
    <col width="18.140625" customWidth="1" min="9" max="9"/>
    <col width="16.140625" customWidth="1" min="10" max="10"/>
    <col width="20.140625" customWidth="1" min="11" max="11"/>
    <col width="24.140625" customWidth="1" min="14" max="14"/>
    <col width="52.140625" customWidth="1" min="16" max="16"/>
  </cols>
  <sheetData>
    <row r="1">
      <c r="A1" s="7" t="inlineStr">
        <is>
          <t>Domain</t>
        </is>
      </c>
      <c r="B1" s="7" t="inlineStr">
        <is>
          <t>Metric ID</t>
        </is>
      </c>
      <c r="C1" s="7" t="inlineStr">
        <is>
          <t>Metric</t>
        </is>
      </c>
      <c r="D1" s="7" t="inlineStr">
        <is>
          <t>Applicable?</t>
        </is>
      </c>
      <c r="E1" s="7" t="inlineStr">
        <is>
          <t>Maturity M (0-5)</t>
        </is>
      </c>
      <c r="F1" s="7" t="inlineStr">
        <is>
          <t>Implementation I (0-5)</t>
        </is>
      </c>
      <c r="G1" s="7" t="inlineStr">
        <is>
          <t>Outcome O (0-5 or N/A)</t>
        </is>
      </c>
      <c r="H1" s="7" t="inlineStr">
        <is>
          <t>Evidence Level E0-E4</t>
        </is>
      </c>
      <c r="I1" s="7" t="inlineStr">
        <is>
          <t>Corroborated?</t>
        </is>
      </c>
      <c r="J1" s="7" t="inlineStr">
        <is>
          <t>Independent?</t>
        </is>
      </c>
      <c r="K1" s="7" t="inlineStr">
        <is>
          <t>Evidence Confidence</t>
        </is>
      </c>
      <c r="L1" s="7" t="inlineStr">
        <is>
          <t>Metric Score /100</t>
        </is>
      </c>
      <c r="M1" s="7" t="inlineStr">
        <is>
          <t>Required Maturity R</t>
        </is>
      </c>
      <c r="N1" s="7" t="inlineStr">
        <is>
          <t>Transformation Distance</t>
        </is>
      </c>
      <c r="O1" s="7" t="inlineStr">
        <is>
          <t>Validation Flag</t>
        </is>
      </c>
      <c r="P1" s="7" t="inlineStr">
        <is>
          <t>Assessor Notes</t>
        </is>
      </c>
    </row>
    <row r="2">
      <c r="A2" s="8" t="inlineStr">
        <is>
          <t>D01</t>
        </is>
      </c>
      <c r="B2" s="8" t="inlineStr">
        <is>
          <t>I01</t>
        </is>
      </c>
      <c r="C2" s="8" t="inlineStr">
        <is>
          <t>Strategic AI Integration</t>
        </is>
      </c>
      <c r="D2" s="8" t="inlineStr">
        <is>
          <t>Y</t>
        </is>
      </c>
      <c r="E2" s="6" t="n"/>
      <c r="F2" s="6" t="n"/>
      <c r="G2" s="6" t="n"/>
      <c r="H2" s="8" t="inlineStr">
        <is>
          <t>E0</t>
        </is>
      </c>
      <c r="I2" s="8" t="inlineStr">
        <is>
          <t>N</t>
        </is>
      </c>
      <c r="J2" s="8" t="inlineStr">
        <is>
          <t>N</t>
        </is>
      </c>
      <c r="K2" s="6">
        <f>IF(H2="E0",0.20,IF(H2="E1",0.40,IF(H2="E2",0.65,IF(H2="E3",0.85,IF(H2="E4",1.00,0)))))</f>
        <v/>
      </c>
      <c r="L2" s="6">
        <f>IF(D2="N","",IF(OR(E2="",F2=""),"",IF(G2="N/A",100*((0.60*E2)+(0.40*F2))/5,IF(G2="",100*((0.60*E2)+(0.40*F2))/5,100*((0.45*E2)+(0.30*F2)+(0.25*G2))/5))))</f>
        <v/>
      </c>
      <c r="M2" s="6">
        <f>IF(D2="N","",IFERROR(VLOOKUP(A2,'P0-4_Required_Maturity'!$A$2:$I$12,9,FALSE),3))</f>
        <v/>
      </c>
      <c r="N2" s="6">
        <f>IF(OR(E2="",M2=""),"",M2-E2)</f>
        <v/>
      </c>
      <c r="O2" s="6">
        <f>IF(D2="N","N/A",IF(OR(E2="",F2="",H2=""),"INCOMPLETE",IF(AND(L2&gt;=80,H2="E0"),"REVIEW",IF(AND(L2&gt;=80,OR(I2="N",J2="N")),"CORROBORATION REVIEW","OK"))))</f>
        <v/>
      </c>
      <c r="P2" s="6" t="n"/>
    </row>
    <row r="3">
      <c r="A3" s="8" t="inlineStr">
        <is>
          <t>D01</t>
        </is>
      </c>
      <c r="B3" s="8" t="inlineStr">
        <is>
          <t>I02</t>
        </is>
      </c>
      <c r="C3" s="8" t="inlineStr">
        <is>
          <t>Future Foresight Maturity</t>
        </is>
      </c>
      <c r="D3" s="8" t="inlineStr">
        <is>
          <t>Y</t>
        </is>
      </c>
      <c r="E3" s="6" t="n"/>
      <c r="F3" s="6" t="n"/>
      <c r="G3" s="6" t="n"/>
      <c r="H3" s="8" t="inlineStr">
        <is>
          <t>E0</t>
        </is>
      </c>
      <c r="I3" s="8" t="inlineStr">
        <is>
          <t>N</t>
        </is>
      </c>
      <c r="J3" s="8" t="inlineStr">
        <is>
          <t>N</t>
        </is>
      </c>
      <c r="K3" s="6">
        <f>IF(H3="E0",0.20,IF(H3="E1",0.40,IF(H3="E2",0.65,IF(H3="E3",0.85,IF(H3="E4",1.00,0)))))</f>
        <v/>
      </c>
      <c r="L3" s="6">
        <f>IF(D3="N","",IF(OR(E3="",F3=""),"",IF(G3="N/A",100*((0.60*E3)+(0.40*F3))/5,IF(G3="",100*((0.60*E3)+(0.40*F3))/5,100*((0.45*E3)+(0.30*F3)+(0.25*G3))/5))))</f>
        <v/>
      </c>
      <c r="M3" s="6">
        <f>IF(D3="N","",IFERROR(VLOOKUP(A3,'P0-4_Required_Maturity'!$A$2:$I$12,9,FALSE),3))</f>
        <v/>
      </c>
      <c r="N3" s="6">
        <f>IF(OR(E3="",M3=""),"",M3-E3)</f>
        <v/>
      </c>
      <c r="O3" s="6">
        <f>IF(D3="N","N/A",IF(OR(E3="",F3="",H3=""),"INCOMPLETE",IF(AND(L3&gt;=80,H3="E0"),"REVIEW",IF(AND(L3&gt;=80,OR(I3="N",J3="N")),"CORROBORATION REVIEW","OK"))))</f>
        <v/>
      </c>
      <c r="P3" s="6" t="n"/>
    </row>
    <row r="4">
      <c r="A4" s="8" t="inlineStr">
        <is>
          <t>D01</t>
        </is>
      </c>
      <c r="B4" s="8" t="inlineStr">
        <is>
          <t>I03</t>
        </is>
      </c>
      <c r="C4" s="8" t="inlineStr">
        <is>
          <t>Strategic Translation Rate</t>
        </is>
      </c>
      <c r="D4" s="8" t="inlineStr">
        <is>
          <t>Y</t>
        </is>
      </c>
      <c r="E4" s="6" t="n"/>
      <c r="F4" s="6" t="n"/>
      <c r="G4" s="6" t="n"/>
      <c r="H4" s="8" t="inlineStr">
        <is>
          <t>E0</t>
        </is>
      </c>
      <c r="I4" s="8" t="inlineStr">
        <is>
          <t>N</t>
        </is>
      </c>
      <c r="J4" s="8" t="inlineStr">
        <is>
          <t>N</t>
        </is>
      </c>
      <c r="K4" s="6">
        <f>IF(H4="E0",0.20,IF(H4="E1",0.40,IF(H4="E2",0.65,IF(H4="E3",0.85,IF(H4="E4",1.00,0)))))</f>
        <v/>
      </c>
      <c r="L4" s="6">
        <f>IF(D4="N","",IF(OR(E4="",F4=""),"",IF(G4="N/A",100*((0.60*E4)+(0.40*F4))/5,IF(G4="",100*((0.60*E4)+(0.40*F4))/5,100*((0.45*E4)+(0.30*F4)+(0.25*G4))/5))))</f>
        <v/>
      </c>
      <c r="M4" s="6">
        <f>IF(D4="N","",IFERROR(VLOOKUP(A4,'P0-4_Required_Maturity'!$A$2:$I$12,9,FALSE),3))</f>
        <v/>
      </c>
      <c r="N4" s="6">
        <f>IF(OR(E4="",M4=""),"",M4-E4)</f>
        <v/>
      </c>
      <c r="O4" s="6">
        <f>IF(D4="N","N/A",IF(OR(E4="",F4="",H4=""),"INCOMPLETE",IF(AND(L4&gt;=80,H4="E0"),"REVIEW",IF(AND(L4&gt;=80,OR(I4="N",J4="N")),"CORROBORATION REVIEW","OK"))))</f>
        <v/>
      </c>
      <c r="P4" s="6" t="n"/>
    </row>
    <row r="5">
      <c r="A5" s="8" t="inlineStr">
        <is>
          <t>D01</t>
        </is>
      </c>
      <c r="B5" s="8" t="inlineStr">
        <is>
          <t>I04</t>
        </is>
      </c>
      <c r="C5" s="8" t="inlineStr">
        <is>
          <t>Programme Future-Review Coverage</t>
        </is>
      </c>
      <c r="D5" s="8" t="inlineStr">
        <is>
          <t>Y</t>
        </is>
      </c>
      <c r="E5" s="6" t="n"/>
      <c r="F5" s="6" t="n"/>
      <c r="G5" s="6" t="n"/>
      <c r="H5" s="8" t="inlineStr">
        <is>
          <t>E0</t>
        </is>
      </c>
      <c r="I5" s="8" t="inlineStr">
        <is>
          <t>N</t>
        </is>
      </c>
      <c r="J5" s="8" t="inlineStr">
        <is>
          <t>N</t>
        </is>
      </c>
      <c r="K5" s="6">
        <f>IF(H5="E0",0.20,IF(H5="E1",0.40,IF(H5="E2",0.65,IF(H5="E3",0.85,IF(H5="E4",1.00,0)))))</f>
        <v/>
      </c>
      <c r="L5" s="6">
        <f>IF(D5="N","",IF(OR(E5="",F5=""),"",IF(G5="N/A",100*((0.60*E5)+(0.40*F5))/5,IF(G5="",100*((0.60*E5)+(0.40*F5))/5,100*((0.45*E5)+(0.30*F5)+(0.25*G5))/5))))</f>
        <v/>
      </c>
      <c r="M5" s="6">
        <f>IF(D5="N","",IFERROR(VLOOKUP(A5,'P0-4_Required_Maturity'!$A$2:$I$12,9,FALSE),3))</f>
        <v/>
      </c>
      <c r="N5" s="6">
        <f>IF(OR(E5="",M5=""),"",M5-E5)</f>
        <v/>
      </c>
      <c r="O5" s="6">
        <f>IF(D5="N","N/A",IF(OR(E5="",F5="",H5=""),"INCOMPLETE",IF(AND(L5&gt;=80,H5="E0"),"REVIEW",IF(AND(L5&gt;=80,OR(I5="N",J5="N")),"CORROBORATION REVIEW","OK"))))</f>
        <v/>
      </c>
      <c r="P5" s="6" t="n"/>
    </row>
    <row r="6">
      <c r="A6" s="8" t="inlineStr">
        <is>
          <t>D01</t>
        </is>
      </c>
      <c r="B6" s="8" t="inlineStr">
        <is>
          <t>I05</t>
        </is>
      </c>
      <c r="C6" s="8" t="inlineStr">
        <is>
          <t>Strategic Differentiation Clarity</t>
        </is>
      </c>
      <c r="D6" s="8" t="inlineStr">
        <is>
          <t>Y</t>
        </is>
      </c>
      <c r="E6" s="6" t="n"/>
      <c r="F6" s="6" t="n"/>
      <c r="G6" s="6" t="n"/>
      <c r="H6" s="8" t="inlineStr">
        <is>
          <t>E0</t>
        </is>
      </c>
      <c r="I6" s="8" t="inlineStr">
        <is>
          <t>N</t>
        </is>
      </c>
      <c r="J6" s="8" t="inlineStr">
        <is>
          <t>N</t>
        </is>
      </c>
      <c r="K6" s="6">
        <f>IF(H6="E0",0.20,IF(H6="E1",0.40,IF(H6="E2",0.65,IF(H6="E3",0.85,IF(H6="E4",1.00,0)))))</f>
        <v/>
      </c>
      <c r="L6" s="6">
        <f>IF(D6="N","",IF(OR(E6="",F6=""),"",IF(G6="N/A",100*((0.60*E6)+(0.40*F6))/5,IF(G6="",100*((0.60*E6)+(0.40*F6))/5,100*((0.45*E6)+(0.30*F6)+(0.25*G6))/5))))</f>
        <v/>
      </c>
      <c r="M6" s="6">
        <f>IF(D6="N","",IFERROR(VLOOKUP(A6,'P0-4_Required_Maturity'!$A$2:$I$12,9,FALSE),3))</f>
        <v/>
      </c>
      <c r="N6" s="6">
        <f>IF(OR(E6="",M6=""),"",M6-E6)</f>
        <v/>
      </c>
      <c r="O6" s="6">
        <f>IF(D6="N","N/A",IF(OR(E6="",F6="",H6=""),"INCOMPLETE",IF(AND(L6&gt;=80,H6="E0"),"REVIEW",IF(AND(L6&gt;=80,OR(I6="N",J6="N")),"CORROBORATION REVIEW","OK"))))</f>
        <v/>
      </c>
      <c r="P6" s="6" t="n"/>
    </row>
    <row r="7">
      <c r="A7" s="8" t="inlineStr">
        <is>
          <t>D01</t>
        </is>
      </c>
      <c r="B7" s="8" t="inlineStr">
        <is>
          <t>I06</t>
        </is>
      </c>
      <c r="C7" s="8" t="inlineStr">
        <is>
          <t>Foresight Response Architecture</t>
        </is>
      </c>
      <c r="D7" s="8" t="inlineStr">
        <is>
          <t>Y</t>
        </is>
      </c>
      <c r="E7" s="6" t="n"/>
      <c r="F7" s="6" t="n"/>
      <c r="G7" s="6" t="n"/>
      <c r="H7" s="8" t="inlineStr">
        <is>
          <t>E0</t>
        </is>
      </c>
      <c r="I7" s="8" t="inlineStr">
        <is>
          <t>N</t>
        </is>
      </c>
      <c r="J7" s="8" t="inlineStr">
        <is>
          <t>N</t>
        </is>
      </c>
      <c r="K7" s="6">
        <f>IF(H7="E0",0.20,IF(H7="E1",0.40,IF(H7="E2",0.65,IF(H7="E3",0.85,IF(H7="E4",1.00,0)))))</f>
        <v/>
      </c>
      <c r="L7" s="6">
        <f>IF(D7="N","",IF(OR(E7="",F7=""),"",IF(G7="N/A",100*((0.60*E7)+(0.40*F7))/5,IF(G7="",100*((0.60*E7)+(0.40*F7))/5,100*((0.45*E7)+(0.30*F7)+(0.25*G7))/5))))</f>
        <v/>
      </c>
      <c r="M7" s="6">
        <f>IF(D7="N","",IFERROR(VLOOKUP(A7,'P0-4_Required_Maturity'!$A$2:$I$12,9,FALSE),3))</f>
        <v/>
      </c>
      <c r="N7" s="6">
        <f>IF(OR(E7="",M7=""),"",M7-E7)</f>
        <v/>
      </c>
      <c r="O7" s="6">
        <f>IF(D7="N","N/A",IF(OR(E7="",F7="",H7=""),"INCOMPLETE",IF(AND(L7&gt;=80,H7="E0"),"REVIEW",IF(AND(L7&gt;=80,OR(I7="N",J7="N")),"CORROBORATION REVIEW","OK"))))</f>
        <v/>
      </c>
      <c r="P7" s="6" t="n"/>
    </row>
    <row r="8">
      <c r="A8" s="8" t="inlineStr">
        <is>
          <t>D01</t>
        </is>
      </c>
      <c r="B8" s="8" t="inlineStr">
        <is>
          <t>I07</t>
        </is>
      </c>
      <c r="C8" s="8" t="inlineStr">
        <is>
          <t>Resource Alignment</t>
        </is>
      </c>
      <c r="D8" s="8" t="inlineStr">
        <is>
          <t>Y</t>
        </is>
      </c>
      <c r="E8" s="6" t="n"/>
      <c r="F8" s="6" t="n"/>
      <c r="G8" s="6" t="n"/>
      <c r="H8" s="8" t="inlineStr">
        <is>
          <t>E0</t>
        </is>
      </c>
      <c r="I8" s="8" t="inlineStr">
        <is>
          <t>N</t>
        </is>
      </c>
      <c r="J8" s="8" t="inlineStr">
        <is>
          <t>N</t>
        </is>
      </c>
      <c r="K8" s="6">
        <f>IF(H8="E0",0.20,IF(H8="E1",0.40,IF(H8="E2",0.65,IF(H8="E3",0.85,IF(H8="E4",1.00,0)))))</f>
        <v/>
      </c>
      <c r="L8" s="6">
        <f>IF(D8="N","",IF(OR(E8="",F8=""),"",IF(G8="N/A",100*((0.60*E8)+(0.40*F8))/5,IF(G8="",100*((0.60*E8)+(0.40*F8))/5,100*((0.45*E8)+(0.30*F8)+(0.25*G8))/5))))</f>
        <v/>
      </c>
      <c r="M8" s="6">
        <f>IF(D8="N","",IFERROR(VLOOKUP(A8,'P0-4_Required_Maturity'!$A$2:$I$12,9,FALSE),3))</f>
        <v/>
      </c>
      <c r="N8" s="6">
        <f>IF(OR(E8="",M8=""),"",M8-E8)</f>
        <v/>
      </c>
      <c r="O8" s="6">
        <f>IF(D8="N","N/A",IF(OR(E8="",F8="",H8=""),"INCOMPLETE",IF(AND(L8&gt;=80,H8="E0"),"REVIEW",IF(AND(L8&gt;=80,OR(I8="N",J8="N")),"CORROBORATION REVIEW","OK"))))</f>
        <v/>
      </c>
      <c r="P8" s="6" t="n"/>
    </row>
    <row r="9">
      <c r="A9" s="8" t="inlineStr">
        <is>
          <t>D01</t>
        </is>
      </c>
      <c r="B9" s="8" t="inlineStr">
        <is>
          <t>I08</t>
        </is>
      </c>
      <c r="C9" s="8" t="inlineStr">
        <is>
          <t>Leadership Alignment</t>
        </is>
      </c>
      <c r="D9" s="8" t="inlineStr">
        <is>
          <t>Y</t>
        </is>
      </c>
      <c r="E9" s="6" t="n"/>
      <c r="F9" s="6" t="n"/>
      <c r="G9" s="6" t="n"/>
      <c r="H9" s="8" t="inlineStr">
        <is>
          <t>E0</t>
        </is>
      </c>
      <c r="I9" s="8" t="inlineStr">
        <is>
          <t>N</t>
        </is>
      </c>
      <c r="J9" s="8" t="inlineStr">
        <is>
          <t>N</t>
        </is>
      </c>
      <c r="K9" s="6">
        <f>IF(H9="E0",0.20,IF(H9="E1",0.40,IF(H9="E2",0.65,IF(H9="E3",0.85,IF(H9="E4",1.00,0)))))</f>
        <v/>
      </c>
      <c r="L9" s="6">
        <f>IF(D9="N","",IF(OR(E9="",F9=""),"",IF(G9="N/A",100*((0.60*E9)+(0.40*F9))/5,IF(G9="",100*((0.60*E9)+(0.40*F9))/5,100*((0.45*E9)+(0.30*F9)+(0.25*G9))/5))))</f>
        <v/>
      </c>
      <c r="M9" s="6">
        <f>IF(D9="N","",IFERROR(VLOOKUP(A9,'P0-4_Required_Maturity'!$A$2:$I$12,9,FALSE),3))</f>
        <v/>
      </c>
      <c r="N9" s="6">
        <f>IF(OR(E9="",M9=""),"",M9-E9)</f>
        <v/>
      </c>
      <c r="O9" s="6">
        <f>IF(D9="N","N/A",IF(OR(E9="",F9="",H9=""),"INCOMPLETE",IF(AND(L9&gt;=80,H9="E0"),"REVIEW",IF(AND(L9&gt;=80,OR(I9="N",J9="N")),"CORROBORATION REVIEW","OK"))))</f>
        <v/>
      </c>
      <c r="P9" s="6" t="n"/>
    </row>
    <row r="10">
      <c r="A10" s="8" t="inlineStr">
        <is>
          <t>D01</t>
        </is>
      </c>
      <c r="B10" s="8" t="inlineStr">
        <is>
          <t>I09</t>
        </is>
      </c>
      <c r="C10" s="8" t="inlineStr">
        <is>
          <t>Experimentation Effectiveness</t>
        </is>
      </c>
      <c r="D10" s="8" t="inlineStr">
        <is>
          <t>Y</t>
        </is>
      </c>
      <c r="E10" s="6" t="n"/>
      <c r="F10" s="6" t="n"/>
      <c r="G10" s="6" t="n"/>
      <c r="H10" s="8" t="inlineStr">
        <is>
          <t>E0</t>
        </is>
      </c>
      <c r="I10" s="8" t="inlineStr">
        <is>
          <t>N</t>
        </is>
      </c>
      <c r="J10" s="8" t="inlineStr">
        <is>
          <t>N</t>
        </is>
      </c>
      <c r="K10" s="6">
        <f>IF(H10="E0",0.20,IF(H10="E1",0.40,IF(H10="E2",0.65,IF(H10="E3",0.85,IF(H10="E4",1.00,0)))))</f>
        <v/>
      </c>
      <c r="L10" s="6">
        <f>IF(D10="N","",IF(OR(E10="",F10=""),"",IF(G10="N/A",100*((0.60*E10)+(0.40*F10))/5,IF(G10="",100*((0.60*E10)+(0.40*F10))/5,100*((0.45*E10)+(0.30*F10)+(0.25*G10))/5))))</f>
        <v/>
      </c>
      <c r="M10" s="6">
        <f>IF(D10="N","",IFERROR(VLOOKUP(A10,'P0-4_Required_Maturity'!$A$2:$I$12,9,FALSE),3))</f>
        <v/>
      </c>
      <c r="N10" s="6">
        <f>IF(OR(E10="",M10=""),"",M10-E10)</f>
        <v/>
      </c>
      <c r="O10" s="6">
        <f>IF(D10="N","N/A",IF(OR(E10="",F10="",H10=""),"INCOMPLETE",IF(AND(L10&gt;=80,H10="E0"),"REVIEW",IF(AND(L10&gt;=80,OR(I10="N",J10="N")),"CORROBORATION REVIEW","OK"))))</f>
        <v/>
      </c>
      <c r="P10" s="6" t="n"/>
    </row>
    <row r="11">
      <c r="A11" s="8" t="inlineStr">
        <is>
          <t>D01</t>
        </is>
      </c>
      <c r="B11" s="8" t="inlineStr">
        <is>
          <t>I10</t>
        </is>
      </c>
      <c r="C11" s="8" t="inlineStr">
        <is>
          <t>Strategic Learning Rate</t>
        </is>
      </c>
      <c r="D11" s="8" t="inlineStr">
        <is>
          <t>Y</t>
        </is>
      </c>
      <c r="E11" s="6" t="n"/>
      <c r="F11" s="6" t="n"/>
      <c r="G11" s="6" t="n"/>
      <c r="H11" s="8" t="inlineStr">
        <is>
          <t>E0</t>
        </is>
      </c>
      <c r="I11" s="8" t="inlineStr">
        <is>
          <t>N</t>
        </is>
      </c>
      <c r="J11" s="8" t="inlineStr">
        <is>
          <t>N</t>
        </is>
      </c>
      <c r="K11" s="6">
        <f>IF(H11="E0",0.20,IF(H11="E1",0.40,IF(H11="E2",0.65,IF(H11="E3",0.85,IF(H11="E4",1.00,0)))))</f>
        <v/>
      </c>
      <c r="L11" s="6">
        <f>IF(D11="N","",IF(OR(E11="",F11=""),"",IF(G11="N/A",100*((0.60*E11)+(0.40*F11))/5,IF(G11="",100*((0.60*E11)+(0.40*F11))/5,100*((0.45*E11)+(0.30*F11)+(0.25*G11))/5))))</f>
        <v/>
      </c>
      <c r="M11" s="6">
        <f>IF(D11="N","",IFERROR(VLOOKUP(A11,'P0-4_Required_Maturity'!$A$2:$I$12,9,FALSE),3))</f>
        <v/>
      </c>
      <c r="N11" s="6">
        <f>IF(OR(E11="",M11=""),"",M11-E11)</f>
        <v/>
      </c>
      <c r="O11" s="6">
        <f>IF(D11="N","N/A",IF(OR(E11="",F11="",H11=""),"INCOMPLETE",IF(AND(L11&gt;=80,H11="E0"),"REVIEW",IF(AND(L11&gt;=80,OR(I11="N",J11="N")),"CORROBORATION REVIEW","OK"))))</f>
        <v/>
      </c>
      <c r="P11" s="6" t="n"/>
    </row>
    <row r="12">
      <c r="A12" s="8" t="inlineStr">
        <is>
          <t>D02</t>
        </is>
      </c>
      <c r="B12" s="8" t="inlineStr">
        <is>
          <t>I01</t>
        </is>
      </c>
      <c r="C12" s="8" t="inlineStr">
        <is>
          <t>Governance Ownership</t>
        </is>
      </c>
      <c r="D12" s="8" t="inlineStr">
        <is>
          <t>Y</t>
        </is>
      </c>
      <c r="E12" s="6" t="n"/>
      <c r="F12" s="6" t="n"/>
      <c r="G12" s="6" t="n"/>
      <c r="H12" s="8" t="inlineStr">
        <is>
          <t>E0</t>
        </is>
      </c>
      <c r="I12" s="8" t="inlineStr">
        <is>
          <t>N</t>
        </is>
      </c>
      <c r="J12" s="8" t="inlineStr">
        <is>
          <t>N</t>
        </is>
      </c>
      <c r="K12" s="6">
        <f>IF(H12="E0",0.20,IF(H12="E1",0.40,IF(H12="E2",0.65,IF(H12="E3",0.85,IF(H12="E4",1.00,0)))))</f>
        <v/>
      </c>
      <c r="L12" s="6">
        <f>IF(D12="N","",IF(OR(E12="",F12=""),"",IF(G12="N/A",100*((0.60*E12)+(0.40*F12))/5,IF(G12="",100*((0.60*E12)+(0.40*F12))/5,100*((0.45*E12)+(0.30*F12)+(0.25*G12))/5))))</f>
        <v/>
      </c>
      <c r="M12" s="6">
        <f>IF(D12="N","",IFERROR(VLOOKUP(A12,'P0-4_Required_Maturity'!$A$2:$I$12,9,FALSE),3))</f>
        <v/>
      </c>
      <c r="N12" s="6">
        <f>IF(OR(E12="",M12=""),"",M12-E12)</f>
        <v/>
      </c>
      <c r="O12" s="6">
        <f>IF(D12="N","N/A",IF(OR(E12="",F12="",H12=""),"INCOMPLETE",IF(AND(L12&gt;=80,H12="E0"),"REVIEW",IF(AND(L12&gt;=80,OR(I12="N",J12="N")),"CORROBORATION REVIEW","OK"))))</f>
        <v/>
      </c>
      <c r="P12" s="6" t="n"/>
    </row>
    <row r="13">
      <c r="A13" s="8" t="inlineStr">
        <is>
          <t>D02</t>
        </is>
      </c>
      <c r="B13" s="8" t="inlineStr">
        <is>
          <t>I02</t>
        </is>
      </c>
      <c r="C13" s="8" t="inlineStr">
        <is>
          <t>Decision Architecture</t>
        </is>
      </c>
      <c r="D13" s="8" t="inlineStr">
        <is>
          <t>Y</t>
        </is>
      </c>
      <c r="E13" s="6" t="n"/>
      <c r="F13" s="6" t="n"/>
      <c r="G13" s="6" t="n"/>
      <c r="H13" s="8" t="inlineStr">
        <is>
          <t>E0</t>
        </is>
      </c>
      <c r="I13" s="8" t="inlineStr">
        <is>
          <t>N</t>
        </is>
      </c>
      <c r="J13" s="8" t="inlineStr">
        <is>
          <t>N</t>
        </is>
      </c>
      <c r="K13" s="6">
        <f>IF(H13="E0",0.20,IF(H13="E1",0.40,IF(H13="E2",0.65,IF(H13="E3",0.85,IF(H13="E4",1.00,0)))))</f>
        <v/>
      </c>
      <c r="L13" s="6">
        <f>IF(D13="N","",IF(OR(E13="",F13=""),"",IF(G13="N/A",100*((0.60*E13)+(0.40*F13))/5,IF(G13="",100*((0.60*E13)+(0.40*F13))/5,100*((0.45*E13)+(0.30*F13)+(0.25*G13))/5))))</f>
        <v/>
      </c>
      <c r="M13" s="6">
        <f>IF(D13="N","",IFERROR(VLOOKUP(A13,'P0-4_Required_Maturity'!$A$2:$I$12,9,FALSE),3))</f>
        <v/>
      </c>
      <c r="N13" s="6">
        <f>IF(OR(E13="",M13=""),"",M13-E13)</f>
        <v/>
      </c>
      <c r="O13" s="6">
        <f>IF(D13="N","N/A",IF(OR(E13="",F13="",H13=""),"INCOMPLETE",IF(AND(L13&gt;=80,H13="E0"),"REVIEW",IF(AND(L13&gt;=80,OR(I13="N",J13="N")),"CORROBORATION REVIEW","OK"))))</f>
        <v/>
      </c>
      <c r="P13" s="6" t="n"/>
    </row>
    <row r="14">
      <c r="A14" s="8" t="inlineStr">
        <is>
          <t>D02</t>
        </is>
      </c>
      <c r="B14" s="8" t="inlineStr">
        <is>
          <t>I03</t>
        </is>
      </c>
      <c r="C14" s="8" t="inlineStr">
        <is>
          <t>Responsible AI Maturity</t>
        </is>
      </c>
      <c r="D14" s="8" t="inlineStr">
        <is>
          <t>Y</t>
        </is>
      </c>
      <c r="E14" s="6" t="n"/>
      <c r="F14" s="6" t="n"/>
      <c r="G14" s="6" t="n"/>
      <c r="H14" s="8" t="inlineStr">
        <is>
          <t>E0</t>
        </is>
      </c>
      <c r="I14" s="8" t="inlineStr">
        <is>
          <t>N</t>
        </is>
      </c>
      <c r="J14" s="8" t="inlineStr">
        <is>
          <t>N</t>
        </is>
      </c>
      <c r="K14" s="6">
        <f>IF(H14="E0",0.20,IF(H14="E1",0.40,IF(H14="E2",0.65,IF(H14="E3",0.85,IF(H14="E4",1.00,0)))))</f>
        <v/>
      </c>
      <c r="L14" s="6">
        <f>IF(D14="N","",IF(OR(E14="",F14=""),"",IF(G14="N/A",100*((0.60*E14)+(0.40*F14))/5,IF(G14="",100*((0.60*E14)+(0.40*F14))/5,100*((0.45*E14)+(0.30*F14)+(0.25*G14))/5))))</f>
        <v/>
      </c>
      <c r="M14" s="6">
        <f>IF(D14="N","",IFERROR(VLOOKUP(A14,'P0-4_Required_Maturity'!$A$2:$I$12,9,FALSE),3))</f>
        <v/>
      </c>
      <c r="N14" s="6">
        <f>IF(OR(E14="",M14=""),"",M14-E14)</f>
        <v/>
      </c>
      <c r="O14" s="6">
        <f>IF(D14="N","N/A",IF(OR(E14="",F14="",H14=""),"INCOMPLETE",IF(AND(L14&gt;=80,H14="E0"),"REVIEW",IF(AND(L14&gt;=80,OR(I14="N",J14="N")),"CORROBORATION REVIEW","OK"))))</f>
        <v/>
      </c>
      <c r="P14" s="6" t="n"/>
    </row>
    <row r="15">
      <c r="A15" s="8" t="inlineStr">
        <is>
          <t>D02</t>
        </is>
      </c>
      <c r="B15" s="8" t="inlineStr">
        <is>
          <t>I04</t>
        </is>
      </c>
      <c r="C15" s="8" t="inlineStr">
        <is>
          <t>Data Governance Readiness</t>
        </is>
      </c>
      <c r="D15" s="8" t="inlineStr">
        <is>
          <t>Y</t>
        </is>
      </c>
      <c r="E15" s="6" t="n"/>
      <c r="F15" s="6" t="n"/>
      <c r="G15" s="6" t="n"/>
      <c r="H15" s="8" t="inlineStr">
        <is>
          <t>E0</t>
        </is>
      </c>
      <c r="I15" s="8" t="inlineStr">
        <is>
          <t>N</t>
        </is>
      </c>
      <c r="J15" s="8" t="inlineStr">
        <is>
          <t>N</t>
        </is>
      </c>
      <c r="K15" s="6">
        <f>IF(H15="E0",0.20,IF(H15="E1",0.40,IF(H15="E2",0.65,IF(H15="E3",0.85,IF(H15="E4",1.00,0)))))</f>
        <v/>
      </c>
      <c r="L15" s="6">
        <f>IF(D15="N","",IF(OR(E15="",F15=""),"",IF(G15="N/A",100*((0.60*E15)+(0.40*F15))/5,IF(G15="",100*((0.60*E15)+(0.40*F15))/5,100*((0.45*E15)+(0.30*F15)+(0.25*G15))/5))))</f>
        <v/>
      </c>
      <c r="M15" s="6">
        <f>IF(D15="N","",IFERROR(VLOOKUP(A15,'P0-4_Required_Maturity'!$A$2:$I$12,9,FALSE),3))</f>
        <v/>
      </c>
      <c r="N15" s="6">
        <f>IF(OR(E15="",M15=""),"",M15-E15)</f>
        <v/>
      </c>
      <c r="O15" s="6">
        <f>IF(D15="N","N/A",IF(OR(E15="",F15="",H15=""),"INCOMPLETE",IF(AND(L15&gt;=80,H15="E0"),"REVIEW",IF(AND(L15&gt;=80,OR(I15="N",J15="N")),"CORROBORATION REVIEW","OK"))))</f>
        <v/>
      </c>
      <c r="P15" s="6" t="n"/>
    </row>
    <row r="16">
      <c r="A16" s="8" t="inlineStr">
        <is>
          <t>D02</t>
        </is>
      </c>
      <c r="B16" s="8" t="inlineStr">
        <is>
          <t>I05</t>
        </is>
      </c>
      <c r="C16" s="8" t="inlineStr">
        <is>
          <t>Academic Integrity Governance</t>
        </is>
      </c>
      <c r="D16" s="8" t="inlineStr">
        <is>
          <t>Y</t>
        </is>
      </c>
      <c r="E16" s="6" t="n"/>
      <c r="F16" s="6" t="n"/>
      <c r="G16" s="6" t="n"/>
      <c r="H16" s="8" t="inlineStr">
        <is>
          <t>E0</t>
        </is>
      </c>
      <c r="I16" s="8" t="inlineStr">
        <is>
          <t>N</t>
        </is>
      </c>
      <c r="J16" s="8" t="inlineStr">
        <is>
          <t>N</t>
        </is>
      </c>
      <c r="K16" s="6">
        <f>IF(H16="E0",0.20,IF(H16="E1",0.40,IF(H16="E2",0.65,IF(H16="E3",0.85,IF(H16="E4",1.00,0)))))</f>
        <v/>
      </c>
      <c r="L16" s="6">
        <f>IF(D16="N","",IF(OR(E16="",F16=""),"",IF(G16="N/A",100*((0.60*E16)+(0.40*F16))/5,IF(G16="",100*((0.60*E16)+(0.40*F16))/5,100*((0.45*E16)+(0.30*F16)+(0.25*G16))/5))))</f>
        <v/>
      </c>
      <c r="M16" s="6">
        <f>IF(D16="N","",IFERROR(VLOOKUP(A16,'P0-4_Required_Maturity'!$A$2:$I$12,9,FALSE),3))</f>
        <v/>
      </c>
      <c r="N16" s="6">
        <f>IF(OR(E16="",M16=""),"",M16-E16)</f>
        <v/>
      </c>
      <c r="O16" s="6">
        <f>IF(D16="N","N/A",IF(OR(E16="",F16="",H16=""),"INCOMPLETE",IF(AND(L16&gt;=80,H16="E0"),"REVIEW",IF(AND(L16&gt;=80,OR(I16="N",J16="N")),"CORROBORATION REVIEW","OK"))))</f>
        <v/>
      </c>
      <c r="P16" s="6" t="n"/>
    </row>
    <row r="17">
      <c r="A17" s="8" t="inlineStr">
        <is>
          <t>D02</t>
        </is>
      </c>
      <c r="B17" s="8" t="inlineStr">
        <is>
          <t>I06</t>
        </is>
      </c>
      <c r="C17" s="8" t="inlineStr">
        <is>
          <t>Assessment Governance</t>
        </is>
      </c>
      <c r="D17" s="8" t="inlineStr">
        <is>
          <t>Y</t>
        </is>
      </c>
      <c r="E17" s="6" t="n"/>
      <c r="F17" s="6" t="n"/>
      <c r="G17" s="6" t="n"/>
      <c r="H17" s="8" t="inlineStr">
        <is>
          <t>E0</t>
        </is>
      </c>
      <c r="I17" s="8" t="inlineStr">
        <is>
          <t>N</t>
        </is>
      </c>
      <c r="J17" s="8" t="inlineStr">
        <is>
          <t>N</t>
        </is>
      </c>
      <c r="K17" s="6">
        <f>IF(H17="E0",0.20,IF(H17="E1",0.40,IF(H17="E2",0.65,IF(H17="E3",0.85,IF(H17="E4",1.00,0)))))</f>
        <v/>
      </c>
      <c r="L17" s="6">
        <f>IF(D17="N","",IF(OR(E17="",F17=""),"",IF(G17="N/A",100*((0.60*E17)+(0.40*F17))/5,IF(G17="",100*((0.60*E17)+(0.40*F17))/5,100*((0.45*E17)+(0.30*F17)+(0.25*G17))/5))))</f>
        <v/>
      </c>
      <c r="M17" s="6">
        <f>IF(D17="N","",IFERROR(VLOOKUP(A17,'P0-4_Required_Maturity'!$A$2:$I$12,9,FALSE),3))</f>
        <v/>
      </c>
      <c r="N17" s="6">
        <f>IF(OR(E17="",M17=""),"",M17-E17)</f>
        <v/>
      </c>
      <c r="O17" s="6">
        <f>IF(D17="N","N/A",IF(OR(E17="",F17="",H17=""),"INCOMPLETE",IF(AND(L17&gt;=80,H17="E0"),"REVIEW",IF(AND(L17&gt;=80,OR(I17="N",J17="N")),"CORROBORATION REVIEW","OK"))))</f>
        <v/>
      </c>
      <c r="P17" s="6" t="n"/>
    </row>
    <row r="18">
      <c r="A18" s="8" t="inlineStr">
        <is>
          <t>D02</t>
        </is>
      </c>
      <c r="B18" s="8" t="inlineStr">
        <is>
          <t>I07</t>
        </is>
      </c>
      <c r="C18" s="8" t="inlineStr">
        <is>
          <t>AI Risk Management</t>
        </is>
      </c>
      <c r="D18" s="8" t="inlineStr">
        <is>
          <t>Y</t>
        </is>
      </c>
      <c r="E18" s="6" t="n"/>
      <c r="F18" s="6" t="n"/>
      <c r="G18" s="6" t="n"/>
      <c r="H18" s="8" t="inlineStr">
        <is>
          <t>E0</t>
        </is>
      </c>
      <c r="I18" s="8" t="inlineStr">
        <is>
          <t>N</t>
        </is>
      </c>
      <c r="J18" s="8" t="inlineStr">
        <is>
          <t>N</t>
        </is>
      </c>
      <c r="K18" s="6">
        <f>IF(H18="E0",0.20,IF(H18="E1",0.40,IF(H18="E2",0.65,IF(H18="E3",0.85,IF(H18="E4",1.00,0)))))</f>
        <v/>
      </c>
      <c r="L18" s="6">
        <f>IF(D18="N","",IF(OR(E18="",F18=""),"",IF(G18="N/A",100*((0.60*E18)+(0.40*F18))/5,IF(G18="",100*((0.60*E18)+(0.40*F18))/5,100*((0.45*E18)+(0.30*F18)+(0.25*G18))/5))))</f>
        <v/>
      </c>
      <c r="M18" s="6">
        <f>IF(D18="N","",IFERROR(VLOOKUP(A18,'P0-4_Required_Maturity'!$A$2:$I$12,9,FALSE),3))</f>
        <v/>
      </c>
      <c r="N18" s="6">
        <f>IF(OR(E18="",M18=""),"",M18-E18)</f>
        <v/>
      </c>
      <c r="O18" s="6">
        <f>IF(D18="N","N/A",IF(OR(E18="",F18="",H18=""),"INCOMPLETE",IF(AND(L18&gt;=80,H18="E0"),"REVIEW",IF(AND(L18&gt;=80,OR(I18="N",J18="N")),"CORROBORATION REVIEW","OK"))))</f>
        <v/>
      </c>
      <c r="P18" s="6" t="n"/>
    </row>
    <row r="19">
      <c r="A19" s="8" t="inlineStr">
        <is>
          <t>D02</t>
        </is>
      </c>
      <c r="B19" s="8" t="inlineStr">
        <is>
          <t>I08</t>
        </is>
      </c>
      <c r="C19" s="8" t="inlineStr">
        <is>
          <t>Incident Responsiveness</t>
        </is>
      </c>
      <c r="D19" s="8" t="inlineStr">
        <is>
          <t>Y</t>
        </is>
      </c>
      <c r="E19" s="6" t="n"/>
      <c r="F19" s="6" t="n"/>
      <c r="G19" s="6" t="n"/>
      <c r="H19" s="8" t="inlineStr">
        <is>
          <t>E0</t>
        </is>
      </c>
      <c r="I19" s="8" t="inlineStr">
        <is>
          <t>N</t>
        </is>
      </c>
      <c r="J19" s="8" t="inlineStr">
        <is>
          <t>N</t>
        </is>
      </c>
      <c r="K19" s="6">
        <f>IF(H19="E0",0.20,IF(H19="E1",0.40,IF(H19="E2",0.65,IF(H19="E3",0.85,IF(H19="E4",1.00,0)))))</f>
        <v/>
      </c>
      <c r="L19" s="6">
        <f>IF(D19="N","",IF(OR(E19="",F19=""),"",IF(G19="N/A",100*((0.60*E19)+(0.40*F19))/5,IF(G19="",100*((0.60*E19)+(0.40*F19))/5,100*((0.45*E19)+(0.30*F19)+(0.25*G19))/5))))</f>
        <v/>
      </c>
      <c r="M19" s="6">
        <f>IF(D19="N","",IFERROR(VLOOKUP(A19,'P0-4_Required_Maturity'!$A$2:$I$12,9,FALSE),3))</f>
        <v/>
      </c>
      <c r="N19" s="6">
        <f>IF(OR(E19="",M19=""),"",M19-E19)</f>
        <v/>
      </c>
      <c r="O19" s="6">
        <f>IF(D19="N","N/A",IF(OR(E19="",F19="",H19=""),"INCOMPLETE",IF(AND(L19&gt;=80,H19="E0"),"REVIEW",IF(AND(L19&gt;=80,OR(I19="N",J19="N")),"CORROBORATION REVIEW","OK"))))</f>
        <v/>
      </c>
      <c r="P19" s="6" t="n"/>
    </row>
    <row r="20">
      <c r="A20" s="8" t="inlineStr">
        <is>
          <t>D02</t>
        </is>
      </c>
      <c r="B20" s="8" t="inlineStr">
        <is>
          <t>I09</t>
        </is>
      </c>
      <c r="C20" s="8" t="inlineStr">
        <is>
          <t>Human Accountability</t>
        </is>
      </c>
      <c r="D20" s="8" t="inlineStr">
        <is>
          <t>Y</t>
        </is>
      </c>
      <c r="E20" s="6" t="n"/>
      <c r="F20" s="6" t="n"/>
      <c r="G20" s="6" t="n"/>
      <c r="H20" s="8" t="inlineStr">
        <is>
          <t>E0</t>
        </is>
      </c>
      <c r="I20" s="8" t="inlineStr">
        <is>
          <t>N</t>
        </is>
      </c>
      <c r="J20" s="8" t="inlineStr">
        <is>
          <t>N</t>
        </is>
      </c>
      <c r="K20" s="6">
        <f>IF(H20="E0",0.20,IF(H20="E1",0.40,IF(H20="E2",0.65,IF(H20="E3",0.85,IF(H20="E4",1.00,0)))))</f>
        <v/>
      </c>
      <c r="L20" s="6">
        <f>IF(D20="N","",IF(OR(E20="",F20=""),"",IF(G20="N/A",100*((0.60*E20)+(0.40*F20))/5,IF(G20="",100*((0.60*E20)+(0.40*F20))/5,100*((0.45*E20)+(0.30*F20)+(0.25*G20))/5))))</f>
        <v/>
      </c>
      <c r="M20" s="6">
        <f>IF(D20="N","",IFERROR(VLOOKUP(A20,'P0-4_Required_Maturity'!$A$2:$I$12,9,FALSE),3))</f>
        <v/>
      </c>
      <c r="N20" s="6">
        <f>IF(OR(E20="",M20=""),"",M20-E20)</f>
        <v/>
      </c>
      <c r="O20" s="6">
        <f>IF(D20="N","N/A",IF(OR(E20="",F20="",H20=""),"INCOMPLETE",IF(AND(L20&gt;=80,H20="E0"),"REVIEW",IF(AND(L20&gt;=80,OR(I20="N",J20="N")),"CORROBORATION REVIEW","OK"))))</f>
        <v/>
      </c>
      <c r="P20" s="6" t="n"/>
    </row>
    <row r="21">
      <c r="A21" s="8" t="inlineStr">
        <is>
          <t>D02</t>
        </is>
      </c>
      <c r="B21" s="8" t="inlineStr">
        <is>
          <t>I10</t>
        </is>
      </c>
      <c r="C21" s="8" t="inlineStr">
        <is>
          <t>Vendor/Tool Governance</t>
        </is>
      </c>
      <c r="D21" s="8" t="inlineStr">
        <is>
          <t>Y</t>
        </is>
      </c>
      <c r="E21" s="6" t="n"/>
      <c r="F21" s="6" t="n"/>
      <c r="G21" s="6" t="n"/>
      <c r="H21" s="8" t="inlineStr">
        <is>
          <t>E0</t>
        </is>
      </c>
      <c r="I21" s="8" t="inlineStr">
        <is>
          <t>N</t>
        </is>
      </c>
      <c r="J21" s="8" t="inlineStr">
        <is>
          <t>N</t>
        </is>
      </c>
      <c r="K21" s="6">
        <f>IF(H21="E0",0.20,IF(H21="E1",0.40,IF(H21="E2",0.65,IF(H21="E3",0.85,IF(H21="E4",1.00,0)))))</f>
        <v/>
      </c>
      <c r="L21" s="6">
        <f>IF(D21="N","",IF(OR(E21="",F21=""),"",IF(G21="N/A",100*((0.60*E21)+(0.40*F21))/5,IF(G21="",100*((0.60*E21)+(0.40*F21))/5,100*((0.45*E21)+(0.30*F21)+(0.25*G21))/5))))</f>
        <v/>
      </c>
      <c r="M21" s="6">
        <f>IF(D21="N","",IFERROR(VLOOKUP(A21,'P0-4_Required_Maturity'!$A$2:$I$12,9,FALSE),3))</f>
        <v/>
      </c>
      <c r="N21" s="6">
        <f>IF(OR(E21="",M21=""),"",M21-E21)</f>
        <v/>
      </c>
      <c r="O21" s="6">
        <f>IF(D21="N","N/A",IF(OR(E21="",F21="",H21=""),"INCOMPLETE",IF(AND(L21&gt;=80,H21="E0"),"REVIEW",IF(AND(L21&gt;=80,OR(I21="N",J21="N")),"CORROBORATION REVIEW","OK"))))</f>
        <v/>
      </c>
      <c r="P21" s="6" t="n"/>
    </row>
    <row r="22">
      <c r="A22" s="8" t="inlineStr">
        <is>
          <t>D02</t>
        </is>
      </c>
      <c r="B22" s="8" t="inlineStr">
        <is>
          <t>I11</t>
        </is>
      </c>
      <c r="C22" s="8" t="inlineStr">
        <is>
          <t>IP Governance</t>
        </is>
      </c>
      <c r="D22" s="8" t="inlineStr">
        <is>
          <t>Y</t>
        </is>
      </c>
      <c r="E22" s="6" t="n"/>
      <c r="F22" s="6" t="n"/>
      <c r="G22" s="6" t="n"/>
      <c r="H22" s="8" t="inlineStr">
        <is>
          <t>E0</t>
        </is>
      </c>
      <c r="I22" s="8" t="inlineStr">
        <is>
          <t>N</t>
        </is>
      </c>
      <c r="J22" s="8" t="inlineStr">
        <is>
          <t>N</t>
        </is>
      </c>
      <c r="K22" s="6">
        <f>IF(H22="E0",0.20,IF(H22="E1",0.40,IF(H22="E2",0.65,IF(H22="E3",0.85,IF(H22="E4",1.00,0)))))</f>
        <v/>
      </c>
      <c r="L22" s="6">
        <f>IF(D22="N","",IF(OR(E22="",F22=""),"",IF(G22="N/A",100*((0.60*E22)+(0.40*F22))/5,IF(G22="",100*((0.60*E22)+(0.40*F22))/5,100*((0.45*E22)+(0.30*F22)+(0.25*G22))/5))))</f>
        <v/>
      </c>
      <c r="M22" s="6">
        <f>IF(D22="N","",IFERROR(VLOOKUP(A22,'P0-4_Required_Maturity'!$A$2:$I$12,9,FALSE),3))</f>
        <v/>
      </c>
      <c r="N22" s="6">
        <f>IF(OR(E22="",M22=""),"",M22-E22)</f>
        <v/>
      </c>
      <c r="O22" s="6">
        <f>IF(D22="N","N/A",IF(OR(E22="",F22="",H22=""),"INCOMPLETE",IF(AND(L22&gt;=80,H22="E0"),"REVIEW",IF(AND(L22&gt;=80,OR(I22="N",J22="N")),"CORROBORATION REVIEW","OK"))))</f>
        <v/>
      </c>
      <c r="P22" s="6" t="n"/>
    </row>
    <row r="23">
      <c r="A23" s="8" t="inlineStr">
        <is>
          <t>D02</t>
        </is>
      </c>
      <c r="B23" s="8" t="inlineStr">
        <is>
          <t>I12</t>
        </is>
      </c>
      <c r="C23" s="8" t="inlineStr">
        <is>
          <t>Research AI Governance</t>
        </is>
      </c>
      <c r="D23" s="8" t="inlineStr">
        <is>
          <t>Y</t>
        </is>
      </c>
      <c r="E23" s="6" t="n"/>
      <c r="F23" s="6" t="n"/>
      <c r="G23" s="6" t="n"/>
      <c r="H23" s="8" t="inlineStr">
        <is>
          <t>E0</t>
        </is>
      </c>
      <c r="I23" s="8" t="inlineStr">
        <is>
          <t>N</t>
        </is>
      </c>
      <c r="J23" s="8" t="inlineStr">
        <is>
          <t>N</t>
        </is>
      </c>
      <c r="K23" s="6">
        <f>IF(H23="E0",0.20,IF(H23="E1",0.40,IF(H23="E2",0.65,IF(H23="E3",0.85,IF(H23="E4",1.00,0)))))</f>
        <v/>
      </c>
      <c r="L23" s="6">
        <f>IF(D23="N","",IF(OR(E23="",F23=""),"",IF(G23="N/A",100*((0.60*E23)+(0.40*F23))/5,IF(G23="",100*((0.60*E23)+(0.40*F23))/5,100*((0.45*E23)+(0.30*F23)+(0.25*G23))/5))))</f>
        <v/>
      </c>
      <c r="M23" s="6">
        <f>IF(D23="N","",IFERROR(VLOOKUP(A23,'P0-4_Required_Maturity'!$A$2:$I$12,9,FALSE),3))</f>
        <v/>
      </c>
      <c r="N23" s="6">
        <f>IF(OR(E23="",M23=""),"",M23-E23)</f>
        <v/>
      </c>
      <c r="O23" s="6">
        <f>IF(D23="N","N/A",IF(OR(E23="",F23="",H23=""),"INCOMPLETE",IF(AND(L23&gt;=80,H23="E0"),"REVIEW",IF(AND(L23&gt;=80,OR(I23="N",J23="N")),"CORROBORATION REVIEW","OK"))))</f>
        <v/>
      </c>
      <c r="P23" s="6" t="n"/>
    </row>
    <row r="24">
      <c r="A24" s="8" t="inlineStr">
        <is>
          <t>D02</t>
        </is>
      </c>
      <c r="B24" s="8" t="inlineStr">
        <is>
          <t>I13</t>
        </is>
      </c>
      <c r="C24" s="8" t="inlineStr">
        <is>
          <t>Governance Review Adaptability</t>
        </is>
      </c>
      <c r="D24" s="8" t="inlineStr">
        <is>
          <t>Y</t>
        </is>
      </c>
      <c r="E24" s="6" t="n"/>
      <c r="F24" s="6" t="n"/>
      <c r="G24" s="6" t="n"/>
      <c r="H24" s="8" t="inlineStr">
        <is>
          <t>E0</t>
        </is>
      </c>
      <c r="I24" s="8" t="inlineStr">
        <is>
          <t>N</t>
        </is>
      </c>
      <c r="J24" s="8" t="inlineStr">
        <is>
          <t>N</t>
        </is>
      </c>
      <c r="K24" s="6">
        <f>IF(H24="E0",0.20,IF(H24="E1",0.40,IF(H24="E2",0.65,IF(H24="E3",0.85,IF(H24="E4",1.00,0)))))</f>
        <v/>
      </c>
      <c r="L24" s="6">
        <f>IF(D24="N","",IF(OR(E24="",F24=""),"",IF(G24="N/A",100*((0.60*E24)+(0.40*F24))/5,IF(G24="",100*((0.60*E24)+(0.40*F24))/5,100*((0.45*E24)+(0.30*F24)+(0.25*G24))/5))))</f>
        <v/>
      </c>
      <c r="M24" s="6">
        <f>IF(D24="N","",IFERROR(VLOOKUP(A24,'P0-4_Required_Maturity'!$A$2:$I$12,9,FALSE),3))</f>
        <v/>
      </c>
      <c r="N24" s="6">
        <f>IF(OR(E24="",M24=""),"",M24-E24)</f>
        <v/>
      </c>
      <c r="O24" s="6">
        <f>IF(D24="N","N/A",IF(OR(E24="",F24="",H24=""),"INCOMPLETE",IF(AND(L24&gt;=80,H24="E0"),"REVIEW",IF(AND(L24&gt;=80,OR(I24="N",J24="N")),"CORROBORATION REVIEW","OK"))))</f>
        <v/>
      </c>
      <c r="P24" s="6" t="n"/>
    </row>
    <row r="25">
      <c r="A25" s="8" t="inlineStr">
        <is>
          <t>D02</t>
        </is>
      </c>
      <c r="B25" s="8" t="inlineStr">
        <is>
          <t>I14</t>
        </is>
      </c>
      <c r="C25" s="8" t="inlineStr">
        <is>
          <t>Governance Effectiveness</t>
        </is>
      </c>
      <c r="D25" s="8" t="inlineStr">
        <is>
          <t>Y</t>
        </is>
      </c>
      <c r="E25" s="6" t="n"/>
      <c r="F25" s="6" t="n"/>
      <c r="G25" s="6" t="n"/>
      <c r="H25" s="8" t="inlineStr">
        <is>
          <t>E0</t>
        </is>
      </c>
      <c r="I25" s="8" t="inlineStr">
        <is>
          <t>N</t>
        </is>
      </c>
      <c r="J25" s="8" t="inlineStr">
        <is>
          <t>N</t>
        </is>
      </c>
      <c r="K25" s="6">
        <f>IF(H25="E0",0.20,IF(H25="E1",0.40,IF(H25="E2",0.65,IF(H25="E3",0.85,IF(H25="E4",1.00,0)))))</f>
        <v/>
      </c>
      <c r="L25" s="6">
        <f>IF(D25="N","",IF(OR(E25="",F25=""),"",IF(G25="N/A",100*((0.60*E25)+(0.40*F25))/5,IF(G25="",100*((0.60*E25)+(0.40*F25))/5,100*((0.45*E25)+(0.30*F25)+(0.25*G25))/5))))</f>
        <v/>
      </c>
      <c r="M25" s="6">
        <f>IF(D25="N","",IFERROR(VLOOKUP(A25,'P0-4_Required_Maturity'!$A$2:$I$12,9,FALSE),3))</f>
        <v/>
      </c>
      <c r="N25" s="6">
        <f>IF(OR(E25="",M25=""),"",M25-E25)</f>
        <v/>
      </c>
      <c r="O25" s="6">
        <f>IF(D25="N","N/A",IF(OR(E25="",F25="",H25=""),"INCOMPLETE",IF(AND(L25&gt;=80,H25="E0"),"REVIEW",IF(AND(L25&gt;=80,OR(I25="N",J25="N")),"CORROBORATION REVIEW","OK"))))</f>
        <v/>
      </c>
      <c r="P25" s="6" t="n"/>
    </row>
    <row r="26">
      <c r="A26" s="8" t="inlineStr">
        <is>
          <t>D03</t>
        </is>
      </c>
      <c r="B26" s="8" t="inlineStr">
        <is>
          <t>I01</t>
        </is>
      </c>
      <c r="C26" s="8" t="inlineStr">
        <is>
          <t>Foundational Knowledge Depth</t>
        </is>
      </c>
      <c r="D26" s="8" t="inlineStr">
        <is>
          <t>Y</t>
        </is>
      </c>
      <c r="E26" s="6" t="n"/>
      <c r="F26" s="6" t="n"/>
      <c r="G26" s="6" t="n"/>
      <c r="H26" s="8" t="inlineStr">
        <is>
          <t>E0</t>
        </is>
      </c>
      <c r="I26" s="8" t="inlineStr">
        <is>
          <t>N</t>
        </is>
      </c>
      <c r="J26" s="8" t="inlineStr">
        <is>
          <t>N</t>
        </is>
      </c>
      <c r="K26" s="6">
        <f>IF(H26="E0",0.20,IF(H26="E1",0.40,IF(H26="E2",0.65,IF(H26="E3",0.85,IF(H26="E4",1.00,0)))))</f>
        <v/>
      </c>
      <c r="L26" s="6">
        <f>IF(D26="N","",IF(OR(E26="",F26=""),"",IF(G26="N/A",100*((0.60*E26)+(0.40*F26))/5,IF(G26="",100*((0.60*E26)+(0.40*F26))/5,100*((0.45*E26)+(0.30*F26)+(0.25*G26))/5))))</f>
        <v/>
      </c>
      <c r="M26" s="6">
        <f>IF(D26="N","",IFERROR(VLOOKUP(A26,'P0-4_Required_Maturity'!$A$2:$I$12,9,FALSE),3))</f>
        <v/>
      </c>
      <c r="N26" s="6">
        <f>IF(OR(E26="",M26=""),"",M26-E26)</f>
        <v/>
      </c>
      <c r="O26" s="6">
        <f>IF(D26="N","N/A",IF(OR(E26="",F26="",H26=""),"INCOMPLETE",IF(AND(L26&gt;=80,H26="E0"),"REVIEW",IF(AND(L26&gt;=80,OR(I26="N",J26="N")),"CORROBORATION REVIEW","OK"))))</f>
        <v/>
      </c>
      <c r="P26" s="6" t="n"/>
    </row>
    <row r="27">
      <c r="A27" s="8" t="inlineStr">
        <is>
          <t>D03</t>
        </is>
      </c>
      <c r="B27" s="8" t="inlineStr">
        <is>
          <t>I02</t>
        </is>
      </c>
      <c r="C27" s="8" t="inlineStr">
        <is>
          <t>Critical Reasoning Development</t>
        </is>
      </c>
      <c r="D27" s="8" t="inlineStr">
        <is>
          <t>Y</t>
        </is>
      </c>
      <c r="E27" s="6" t="n"/>
      <c r="F27" s="6" t="n"/>
      <c r="G27" s="6" t="n"/>
      <c r="H27" s="8" t="inlineStr">
        <is>
          <t>E0</t>
        </is>
      </c>
      <c r="I27" s="8" t="inlineStr">
        <is>
          <t>N</t>
        </is>
      </c>
      <c r="J27" s="8" t="inlineStr">
        <is>
          <t>N</t>
        </is>
      </c>
      <c r="K27" s="6">
        <f>IF(H27="E0",0.20,IF(H27="E1",0.40,IF(H27="E2",0.65,IF(H27="E3",0.85,IF(H27="E4",1.00,0)))))</f>
        <v/>
      </c>
      <c r="L27" s="6">
        <f>IF(D27="N","",IF(OR(E27="",F27=""),"",IF(G27="N/A",100*((0.60*E27)+(0.40*F27))/5,IF(G27="",100*((0.60*E27)+(0.40*F27))/5,100*((0.45*E27)+(0.30*F27)+(0.25*G27))/5))))</f>
        <v/>
      </c>
      <c r="M27" s="6">
        <f>IF(D27="N","",IFERROR(VLOOKUP(A27,'P0-4_Required_Maturity'!$A$2:$I$12,9,FALSE),3))</f>
        <v/>
      </c>
      <c r="N27" s="6">
        <f>IF(OR(E27="",M27=""),"",M27-E27)</f>
        <v/>
      </c>
      <c r="O27" s="6">
        <f>IF(D27="N","N/A",IF(OR(E27="",F27="",H27=""),"INCOMPLETE",IF(AND(L27&gt;=80,H27="E0"),"REVIEW",IF(AND(L27&gt;=80,OR(I27="N",J27="N")),"CORROBORATION REVIEW","OK"))))</f>
        <v/>
      </c>
      <c r="P27" s="6" t="n"/>
    </row>
    <row r="28">
      <c r="A28" s="8" t="inlineStr">
        <is>
          <t>D03</t>
        </is>
      </c>
      <c r="B28" s="8" t="inlineStr">
        <is>
          <t>I03</t>
        </is>
      </c>
      <c r="C28" s="8" t="inlineStr">
        <is>
          <t>Question Formulation</t>
        </is>
      </c>
      <c r="D28" s="8" t="inlineStr">
        <is>
          <t>Y</t>
        </is>
      </c>
      <c r="E28" s="6" t="n"/>
      <c r="F28" s="6" t="n"/>
      <c r="G28" s="6" t="n"/>
      <c r="H28" s="8" t="inlineStr">
        <is>
          <t>E0</t>
        </is>
      </c>
      <c r="I28" s="8" t="inlineStr">
        <is>
          <t>N</t>
        </is>
      </c>
      <c r="J28" s="8" t="inlineStr">
        <is>
          <t>N</t>
        </is>
      </c>
      <c r="K28" s="6">
        <f>IF(H28="E0",0.20,IF(H28="E1",0.40,IF(H28="E2",0.65,IF(H28="E3",0.85,IF(H28="E4",1.00,0)))))</f>
        <v/>
      </c>
      <c r="L28" s="6">
        <f>IF(D28="N","",IF(OR(E28="",F28=""),"",IF(G28="N/A",100*((0.60*E28)+(0.40*F28))/5,IF(G28="",100*((0.60*E28)+(0.40*F28))/5,100*((0.45*E28)+(0.30*F28)+(0.25*G28))/5))))</f>
        <v/>
      </c>
      <c r="M28" s="6">
        <f>IF(D28="N","",IFERROR(VLOOKUP(A28,'P0-4_Required_Maturity'!$A$2:$I$12,9,FALSE),3))</f>
        <v/>
      </c>
      <c r="N28" s="6">
        <f>IF(OR(E28="",M28=""),"",M28-E28)</f>
        <v/>
      </c>
      <c r="O28" s="6">
        <f>IF(D28="N","N/A",IF(OR(E28="",F28="",H28=""),"INCOMPLETE",IF(AND(L28&gt;=80,H28="E0"),"REVIEW",IF(AND(L28&gt;=80,OR(I28="N",J28="N")),"CORROBORATION REVIEW","OK"))))</f>
        <v/>
      </c>
      <c r="P28" s="6" t="n"/>
    </row>
    <row r="29">
      <c r="A29" s="8" t="inlineStr">
        <is>
          <t>D03</t>
        </is>
      </c>
      <c r="B29" s="8" t="inlineStr">
        <is>
          <t>I04</t>
        </is>
      </c>
      <c r="C29" s="8" t="inlineStr">
        <is>
          <t>Analytical Reasoning</t>
        </is>
      </c>
      <c r="D29" s="8" t="inlineStr">
        <is>
          <t>Y</t>
        </is>
      </c>
      <c r="E29" s="6" t="n"/>
      <c r="F29" s="6" t="n"/>
      <c r="G29" s="6" t="n"/>
      <c r="H29" s="8" t="inlineStr">
        <is>
          <t>E0</t>
        </is>
      </c>
      <c r="I29" s="8" t="inlineStr">
        <is>
          <t>N</t>
        </is>
      </c>
      <c r="J29" s="8" t="inlineStr">
        <is>
          <t>N</t>
        </is>
      </c>
      <c r="K29" s="6">
        <f>IF(H29="E0",0.20,IF(H29="E1",0.40,IF(H29="E2",0.65,IF(H29="E3",0.85,IF(H29="E4",1.00,0)))))</f>
        <v/>
      </c>
      <c r="L29" s="6">
        <f>IF(D29="N","",IF(OR(E29="",F29=""),"",IF(G29="N/A",100*((0.60*E29)+(0.40*F29))/5,IF(G29="",100*((0.60*E29)+(0.40*F29))/5,100*((0.45*E29)+(0.30*F29)+(0.25*G29))/5))))</f>
        <v/>
      </c>
      <c r="M29" s="6">
        <f>IF(D29="N","",IFERROR(VLOOKUP(A29,'P0-4_Required_Maturity'!$A$2:$I$12,9,FALSE),3))</f>
        <v/>
      </c>
      <c r="N29" s="6">
        <f>IF(OR(E29="",M29=""),"",M29-E29)</f>
        <v/>
      </c>
      <c r="O29" s="6">
        <f>IF(D29="N","N/A",IF(OR(E29="",F29="",H29=""),"INCOMPLETE",IF(AND(L29&gt;=80,H29="E0"),"REVIEW",IF(AND(L29&gt;=80,OR(I29="N",J29="N")),"CORROBORATION REVIEW","OK"))))</f>
        <v/>
      </c>
      <c r="P29" s="6" t="n"/>
    </row>
    <row r="30">
      <c r="A30" s="8" t="inlineStr">
        <is>
          <t>D03</t>
        </is>
      </c>
      <c r="B30" s="8" t="inlineStr">
        <is>
          <t>I05</t>
        </is>
      </c>
      <c r="C30" s="8" t="inlineStr">
        <is>
          <t>Problem Formulation</t>
        </is>
      </c>
      <c r="D30" s="8" t="inlineStr">
        <is>
          <t>Y</t>
        </is>
      </c>
      <c r="E30" s="6" t="n"/>
      <c r="F30" s="6" t="n"/>
      <c r="G30" s="6" t="n"/>
      <c r="H30" s="8" t="inlineStr">
        <is>
          <t>E0</t>
        </is>
      </c>
      <c r="I30" s="8" t="inlineStr">
        <is>
          <t>N</t>
        </is>
      </c>
      <c r="J30" s="8" t="inlineStr">
        <is>
          <t>N</t>
        </is>
      </c>
      <c r="K30" s="6">
        <f>IF(H30="E0",0.20,IF(H30="E1",0.40,IF(H30="E2",0.65,IF(H30="E3",0.85,IF(H30="E4",1.00,0)))))</f>
        <v/>
      </c>
      <c r="L30" s="6">
        <f>IF(D30="N","",IF(OR(E30="",F30=""),"",IF(G30="N/A",100*((0.60*E30)+(0.40*F30))/5,IF(G30="",100*((0.60*E30)+(0.40*F30))/5,100*((0.45*E30)+(0.30*F30)+(0.25*G30))/5))))</f>
        <v/>
      </c>
      <c r="M30" s="6">
        <f>IF(D30="N","",IFERROR(VLOOKUP(A30,'P0-4_Required_Maturity'!$A$2:$I$12,9,FALSE),3))</f>
        <v/>
      </c>
      <c r="N30" s="6">
        <f>IF(OR(E30="",M30=""),"",M30-E30)</f>
        <v/>
      </c>
      <c r="O30" s="6">
        <f>IF(D30="N","N/A",IF(OR(E30="",F30="",H30=""),"INCOMPLETE",IF(AND(L30&gt;=80,H30="E0"),"REVIEW",IF(AND(L30&gt;=80,OR(I30="N",J30="N")),"CORROBORATION REVIEW","OK"))))</f>
        <v/>
      </c>
      <c r="P30" s="6" t="n"/>
    </row>
    <row r="31">
      <c r="A31" s="8" t="inlineStr">
        <is>
          <t>D03</t>
        </is>
      </c>
      <c r="B31" s="8" t="inlineStr">
        <is>
          <t>I06</t>
        </is>
      </c>
      <c r="C31" s="8" t="inlineStr">
        <is>
          <t>Creativity &amp; Originality</t>
        </is>
      </c>
      <c r="D31" s="8" t="inlineStr">
        <is>
          <t>Y</t>
        </is>
      </c>
      <c r="E31" s="6" t="n"/>
      <c r="F31" s="6" t="n"/>
      <c r="G31" s="6" t="n"/>
      <c r="H31" s="8" t="inlineStr">
        <is>
          <t>E0</t>
        </is>
      </c>
      <c r="I31" s="8" t="inlineStr">
        <is>
          <t>N</t>
        </is>
      </c>
      <c r="J31" s="8" t="inlineStr">
        <is>
          <t>N</t>
        </is>
      </c>
      <c r="K31" s="6">
        <f>IF(H31="E0",0.20,IF(H31="E1",0.40,IF(H31="E2",0.65,IF(H31="E3",0.85,IF(H31="E4",1.00,0)))))</f>
        <v/>
      </c>
      <c r="L31" s="6">
        <f>IF(D31="N","",IF(OR(E31="",F31=""),"",IF(G31="N/A",100*((0.60*E31)+(0.40*F31))/5,IF(G31="",100*((0.60*E31)+(0.40*F31))/5,100*((0.45*E31)+(0.30*F31)+(0.25*G31))/5))))</f>
        <v/>
      </c>
      <c r="M31" s="6">
        <f>IF(D31="N","",IFERROR(VLOOKUP(A31,'P0-4_Required_Maturity'!$A$2:$I$12,9,FALSE),3))</f>
        <v/>
      </c>
      <c r="N31" s="6">
        <f>IF(OR(E31="",M31=""),"",M31-E31)</f>
        <v/>
      </c>
      <c r="O31" s="6">
        <f>IF(D31="N","N/A",IF(OR(E31="",F31="",H31=""),"INCOMPLETE",IF(AND(L31&gt;=80,H31="E0"),"REVIEW",IF(AND(L31&gt;=80,OR(I31="N",J31="N")),"CORROBORATION REVIEW","OK"))))</f>
        <v/>
      </c>
      <c r="P31" s="6" t="n"/>
    </row>
    <row r="32">
      <c r="A32" s="8" t="inlineStr">
        <is>
          <t>D03</t>
        </is>
      </c>
      <c r="B32" s="8" t="inlineStr">
        <is>
          <t>I07</t>
        </is>
      </c>
      <c r="C32" s="8" t="inlineStr">
        <is>
          <t>Judgement Capability</t>
        </is>
      </c>
      <c r="D32" s="8" t="inlineStr">
        <is>
          <t>Y</t>
        </is>
      </c>
      <c r="E32" s="6" t="n"/>
      <c r="F32" s="6" t="n"/>
      <c r="G32" s="6" t="n"/>
      <c r="H32" s="8" t="inlineStr">
        <is>
          <t>E0</t>
        </is>
      </c>
      <c r="I32" s="8" t="inlineStr">
        <is>
          <t>N</t>
        </is>
      </c>
      <c r="J32" s="8" t="inlineStr">
        <is>
          <t>N</t>
        </is>
      </c>
      <c r="K32" s="6">
        <f>IF(H32="E0",0.20,IF(H32="E1",0.40,IF(H32="E2",0.65,IF(H32="E3",0.85,IF(H32="E4",1.00,0)))))</f>
        <v/>
      </c>
      <c r="L32" s="6">
        <f>IF(D32="N","",IF(OR(E32="",F32=""),"",IF(G32="N/A",100*((0.60*E32)+(0.40*F32))/5,IF(G32="",100*((0.60*E32)+(0.40*F32))/5,100*((0.45*E32)+(0.30*F32)+(0.25*G32))/5))))</f>
        <v/>
      </c>
      <c r="M32" s="6">
        <f>IF(D32="N","",IFERROR(VLOOKUP(A32,'P0-4_Required_Maturity'!$A$2:$I$12,9,FALSE),3))</f>
        <v/>
      </c>
      <c r="N32" s="6">
        <f>IF(OR(E32="",M32=""),"",M32-E32)</f>
        <v/>
      </c>
      <c r="O32" s="6">
        <f>IF(D32="N","N/A",IF(OR(E32="",F32="",H32=""),"INCOMPLETE",IF(AND(L32&gt;=80,H32="E0"),"REVIEW",IF(AND(L32&gt;=80,OR(I32="N",J32="N")),"CORROBORATION REVIEW","OK"))))</f>
        <v/>
      </c>
      <c r="P32" s="6" t="n"/>
    </row>
    <row r="33">
      <c r="A33" s="8" t="inlineStr">
        <is>
          <t>D03</t>
        </is>
      </c>
      <c r="B33" s="8" t="inlineStr">
        <is>
          <t>I08</t>
        </is>
      </c>
      <c r="C33" s="8" t="inlineStr">
        <is>
          <t>AI Verification Capability</t>
        </is>
      </c>
      <c r="D33" s="8" t="inlineStr">
        <is>
          <t>Y</t>
        </is>
      </c>
      <c r="E33" s="6" t="n"/>
      <c r="F33" s="6" t="n"/>
      <c r="G33" s="6" t="n"/>
      <c r="H33" s="8" t="inlineStr">
        <is>
          <t>E0</t>
        </is>
      </c>
      <c r="I33" s="8" t="inlineStr">
        <is>
          <t>N</t>
        </is>
      </c>
      <c r="J33" s="8" t="inlineStr">
        <is>
          <t>N</t>
        </is>
      </c>
      <c r="K33" s="6">
        <f>IF(H33="E0",0.20,IF(H33="E1",0.40,IF(H33="E2",0.65,IF(H33="E3",0.85,IF(H33="E4",1.00,0)))))</f>
        <v/>
      </c>
      <c r="L33" s="6">
        <f>IF(D33="N","",IF(OR(E33="",F33=""),"",IF(G33="N/A",100*((0.60*E33)+(0.40*F33))/5,IF(G33="",100*((0.60*E33)+(0.40*F33))/5,100*((0.45*E33)+(0.30*F33)+(0.25*G33))/5))))</f>
        <v/>
      </c>
      <c r="M33" s="6">
        <f>IF(D33="N","",IFERROR(VLOOKUP(A33,'P0-4_Required_Maturity'!$A$2:$I$12,9,FALSE),3))</f>
        <v/>
      </c>
      <c r="N33" s="6">
        <f>IF(OR(E33="",M33=""),"",M33-E33)</f>
        <v/>
      </c>
      <c r="O33" s="6">
        <f>IF(D33="N","N/A",IF(OR(E33="",F33="",H33=""),"INCOMPLETE",IF(AND(L33&gt;=80,H33="E0"),"REVIEW",IF(AND(L33&gt;=80,OR(I33="N",J33="N")),"CORROBORATION REVIEW","OK"))))</f>
        <v/>
      </c>
      <c r="P33" s="6" t="n"/>
    </row>
    <row r="34">
      <c r="A34" s="8" t="inlineStr">
        <is>
          <t>D03</t>
        </is>
      </c>
      <c r="B34" s="8" t="inlineStr">
        <is>
          <t>I09</t>
        </is>
      </c>
      <c r="C34" s="8" t="inlineStr">
        <is>
          <t>Metacognitive Capability</t>
        </is>
      </c>
      <c r="D34" s="8" t="inlineStr">
        <is>
          <t>Y</t>
        </is>
      </c>
      <c r="E34" s="6" t="n"/>
      <c r="F34" s="6" t="n"/>
      <c r="G34" s="6" t="n"/>
      <c r="H34" s="8" t="inlineStr">
        <is>
          <t>E0</t>
        </is>
      </c>
      <c r="I34" s="8" t="inlineStr">
        <is>
          <t>N</t>
        </is>
      </c>
      <c r="J34" s="8" t="inlineStr">
        <is>
          <t>N</t>
        </is>
      </c>
      <c r="K34" s="6">
        <f>IF(H34="E0",0.20,IF(H34="E1",0.40,IF(H34="E2",0.65,IF(H34="E3",0.85,IF(H34="E4",1.00,0)))))</f>
        <v/>
      </c>
      <c r="L34" s="6">
        <f>IF(D34="N","",IF(OR(E34="",F34=""),"",IF(G34="N/A",100*((0.60*E34)+(0.40*F34))/5,IF(G34="",100*((0.60*E34)+(0.40*F34))/5,100*((0.45*E34)+(0.30*F34)+(0.25*G34))/5))))</f>
        <v/>
      </c>
      <c r="M34" s="6">
        <f>IF(D34="N","",IFERROR(VLOOKUP(A34,'P0-4_Required_Maturity'!$A$2:$I$12,9,FALSE),3))</f>
        <v/>
      </c>
      <c r="N34" s="6">
        <f>IF(OR(E34="",M34=""),"",M34-E34)</f>
        <v/>
      </c>
      <c r="O34" s="6">
        <f>IF(D34="N","N/A",IF(OR(E34="",F34="",H34=""),"INCOMPLETE",IF(AND(L34&gt;=80,H34="E0"),"REVIEW",IF(AND(L34&gt;=80,OR(I34="N",J34="N")),"CORROBORATION REVIEW","OK"))))</f>
        <v/>
      </c>
      <c r="P34" s="6" t="n"/>
    </row>
    <row r="35">
      <c r="A35" s="8" t="inlineStr">
        <is>
          <t>D03</t>
        </is>
      </c>
      <c r="B35" s="8" t="inlineStr">
        <is>
          <t>I10</t>
        </is>
      </c>
      <c r="C35" s="8" t="inlineStr">
        <is>
          <t>Human-AI Collaboration</t>
        </is>
      </c>
      <c r="D35" s="8" t="inlineStr">
        <is>
          <t>Y</t>
        </is>
      </c>
      <c r="E35" s="6" t="n"/>
      <c r="F35" s="6" t="n"/>
      <c r="G35" s="6" t="n"/>
      <c r="H35" s="8" t="inlineStr">
        <is>
          <t>E0</t>
        </is>
      </c>
      <c r="I35" s="8" t="inlineStr">
        <is>
          <t>N</t>
        </is>
      </c>
      <c r="J35" s="8" t="inlineStr">
        <is>
          <t>N</t>
        </is>
      </c>
      <c r="K35" s="6">
        <f>IF(H35="E0",0.20,IF(H35="E1",0.40,IF(H35="E2",0.65,IF(H35="E3",0.85,IF(H35="E4",1.00,0)))))</f>
        <v/>
      </c>
      <c r="L35" s="6">
        <f>IF(D35="N","",IF(OR(E35="",F35=""),"",IF(G35="N/A",100*((0.60*E35)+(0.40*F35))/5,IF(G35="",100*((0.60*E35)+(0.40*F35))/5,100*((0.45*E35)+(0.30*F35)+(0.25*G35))/5))))</f>
        <v/>
      </c>
      <c r="M35" s="6">
        <f>IF(D35="N","",IFERROR(VLOOKUP(A35,'P0-4_Required_Maturity'!$A$2:$I$12,9,FALSE),3))</f>
        <v/>
      </c>
      <c r="N35" s="6">
        <f>IF(OR(E35="",M35=""),"",M35-E35)</f>
        <v/>
      </c>
      <c r="O35" s="6">
        <f>IF(D35="N","N/A",IF(OR(E35="",F35="",H35=""),"INCOMPLETE",IF(AND(L35&gt;=80,H35="E0"),"REVIEW",IF(AND(L35&gt;=80,OR(I35="N",J35="N")),"CORROBORATION REVIEW","OK"))))</f>
        <v/>
      </c>
      <c r="P35" s="6" t="n"/>
    </row>
    <row r="36">
      <c r="A36" s="8" t="inlineStr">
        <is>
          <t>D03</t>
        </is>
      </c>
      <c r="B36" s="8" t="inlineStr">
        <is>
          <t>I11</t>
        </is>
      </c>
      <c r="C36" s="8" t="inlineStr">
        <is>
          <t>Communication &amp; Defence</t>
        </is>
      </c>
      <c r="D36" s="8" t="inlineStr">
        <is>
          <t>Y</t>
        </is>
      </c>
      <c r="E36" s="6" t="n"/>
      <c r="F36" s="6" t="n"/>
      <c r="G36" s="6" t="n"/>
      <c r="H36" s="8" t="inlineStr">
        <is>
          <t>E0</t>
        </is>
      </c>
      <c r="I36" s="8" t="inlineStr">
        <is>
          <t>N</t>
        </is>
      </c>
      <c r="J36" s="8" t="inlineStr">
        <is>
          <t>N</t>
        </is>
      </c>
      <c r="K36" s="6">
        <f>IF(H36="E0",0.20,IF(H36="E1",0.40,IF(H36="E2",0.65,IF(H36="E3",0.85,IF(H36="E4",1.00,0)))))</f>
        <v/>
      </c>
      <c r="L36" s="6">
        <f>IF(D36="N","",IF(OR(E36="",F36=""),"",IF(G36="N/A",100*((0.60*E36)+(0.40*F36))/5,IF(G36="",100*((0.60*E36)+(0.40*F36))/5,100*((0.45*E36)+(0.30*F36)+(0.25*G36))/5))))</f>
        <v/>
      </c>
      <c r="M36" s="6">
        <f>IF(D36="N","",IFERROR(VLOOKUP(A36,'P0-4_Required_Maturity'!$A$2:$I$12,9,FALSE),3))</f>
        <v/>
      </c>
      <c r="N36" s="6">
        <f>IF(OR(E36="",M36=""),"",M36-E36)</f>
        <v/>
      </c>
      <c r="O36" s="6">
        <f>IF(D36="N","N/A",IF(OR(E36="",F36="",H36=""),"INCOMPLETE",IF(AND(L36&gt;=80,H36="E0"),"REVIEW",IF(AND(L36&gt;=80,OR(I36="N",J36="N")),"CORROBORATION REVIEW","OK"))))</f>
        <v/>
      </c>
      <c r="P36" s="6" t="n"/>
    </row>
    <row r="37">
      <c r="A37" s="8" t="inlineStr">
        <is>
          <t>D03</t>
        </is>
      </c>
      <c r="B37" s="8" t="inlineStr">
        <is>
          <t>I12</t>
        </is>
      </c>
      <c r="C37" s="8" t="inlineStr">
        <is>
          <t>Collaboration Capability</t>
        </is>
      </c>
      <c r="D37" s="8" t="inlineStr">
        <is>
          <t>Y</t>
        </is>
      </c>
      <c r="E37" s="6" t="n"/>
      <c r="F37" s="6" t="n"/>
      <c r="G37" s="6" t="n"/>
      <c r="H37" s="8" t="inlineStr">
        <is>
          <t>E0</t>
        </is>
      </c>
      <c r="I37" s="8" t="inlineStr">
        <is>
          <t>N</t>
        </is>
      </c>
      <c r="J37" s="8" t="inlineStr">
        <is>
          <t>N</t>
        </is>
      </c>
      <c r="K37" s="6">
        <f>IF(H37="E0",0.20,IF(H37="E1",0.40,IF(H37="E2",0.65,IF(H37="E3",0.85,IF(H37="E4",1.00,0)))))</f>
        <v/>
      </c>
      <c r="L37" s="6">
        <f>IF(D37="N","",IF(OR(E37="",F37=""),"",IF(G37="N/A",100*((0.60*E37)+(0.40*F37))/5,IF(G37="",100*((0.60*E37)+(0.40*F37))/5,100*((0.45*E37)+(0.30*F37)+(0.25*G37))/5))))</f>
        <v/>
      </c>
      <c r="M37" s="6">
        <f>IF(D37="N","",IFERROR(VLOOKUP(A37,'P0-4_Required_Maturity'!$A$2:$I$12,9,FALSE),3))</f>
        <v/>
      </c>
      <c r="N37" s="6">
        <f>IF(OR(E37="",M37=""),"",M37-E37)</f>
        <v/>
      </c>
      <c r="O37" s="6">
        <f>IF(D37="N","N/A",IF(OR(E37="",F37="",H37=""),"INCOMPLETE",IF(AND(L37&gt;=80,H37="E0"),"REVIEW",IF(AND(L37&gt;=80,OR(I37="N",J37="N")),"CORROBORATION REVIEW","OK"))))</f>
        <v/>
      </c>
      <c r="P37" s="6" t="n"/>
    </row>
    <row r="38">
      <c r="A38" s="8" t="inlineStr">
        <is>
          <t>D03</t>
        </is>
      </c>
      <c r="B38" s="8" t="inlineStr">
        <is>
          <t>I13</t>
        </is>
      </c>
      <c r="C38" s="8" t="inlineStr">
        <is>
          <t>Practical Capability</t>
        </is>
      </c>
      <c r="D38" s="8" t="inlineStr">
        <is>
          <t>Y</t>
        </is>
      </c>
      <c r="E38" s="6" t="n"/>
      <c r="F38" s="6" t="n"/>
      <c r="G38" s="6" t="n"/>
      <c r="H38" s="8" t="inlineStr">
        <is>
          <t>E0</t>
        </is>
      </c>
      <c r="I38" s="8" t="inlineStr">
        <is>
          <t>N</t>
        </is>
      </c>
      <c r="J38" s="8" t="inlineStr">
        <is>
          <t>N</t>
        </is>
      </c>
      <c r="K38" s="6">
        <f>IF(H38="E0",0.20,IF(H38="E1",0.40,IF(H38="E2",0.65,IF(H38="E3",0.85,IF(H38="E4",1.00,0)))))</f>
        <v/>
      </c>
      <c r="L38" s="6">
        <f>IF(D38="N","",IF(OR(E38="",F38=""),"",IF(G38="N/A",100*((0.60*E38)+(0.40*F38))/5,IF(G38="",100*((0.60*E38)+(0.40*F38))/5,100*((0.45*E38)+(0.30*F38)+(0.25*G38))/5))))</f>
        <v/>
      </c>
      <c r="M38" s="6">
        <f>IF(D38="N","",IFERROR(VLOOKUP(A38,'P0-4_Required_Maturity'!$A$2:$I$12,9,FALSE),3))</f>
        <v/>
      </c>
      <c r="N38" s="6">
        <f>IF(OR(E38="",M38=""),"",M38-E38)</f>
        <v/>
      </c>
      <c r="O38" s="6">
        <f>IF(D38="N","N/A",IF(OR(E38="",F38="",H38=""),"INCOMPLETE",IF(AND(L38&gt;=80,H38="E0"),"REVIEW",IF(AND(L38&gt;=80,OR(I38="N",J38="N")),"CORROBORATION REVIEW","OK"))))</f>
        <v/>
      </c>
      <c r="P38" s="6" t="n"/>
    </row>
    <row r="39">
      <c r="A39" s="8" t="inlineStr">
        <is>
          <t>D03</t>
        </is>
      </c>
      <c r="B39" s="8" t="inlineStr">
        <is>
          <t>I14</t>
        </is>
      </c>
      <c r="C39" s="8" t="inlineStr">
        <is>
          <t>Ethical/Social Judgement</t>
        </is>
      </c>
      <c r="D39" s="8" t="inlineStr">
        <is>
          <t>Y</t>
        </is>
      </c>
      <c r="E39" s="6" t="n"/>
      <c r="F39" s="6" t="n"/>
      <c r="G39" s="6" t="n"/>
      <c r="H39" s="8" t="inlineStr">
        <is>
          <t>E0</t>
        </is>
      </c>
      <c r="I39" s="8" t="inlineStr">
        <is>
          <t>N</t>
        </is>
      </c>
      <c r="J39" s="8" t="inlineStr">
        <is>
          <t>N</t>
        </is>
      </c>
      <c r="K39" s="6">
        <f>IF(H39="E0",0.20,IF(H39="E1",0.40,IF(H39="E2",0.65,IF(H39="E3",0.85,IF(H39="E4",1.00,0)))))</f>
        <v/>
      </c>
      <c r="L39" s="6">
        <f>IF(D39="N","",IF(OR(E39="",F39=""),"",IF(G39="N/A",100*((0.60*E39)+(0.40*F39))/5,IF(G39="",100*((0.60*E39)+(0.40*F39))/5,100*((0.45*E39)+(0.30*F39)+(0.25*G39))/5))))</f>
        <v/>
      </c>
      <c r="M39" s="6">
        <f>IF(D39="N","",IFERROR(VLOOKUP(A39,'P0-4_Required_Maturity'!$A$2:$I$12,9,FALSE),3))</f>
        <v/>
      </c>
      <c r="N39" s="6">
        <f>IF(OR(E39="",M39=""),"",M39-E39)</f>
        <v/>
      </c>
      <c r="O39" s="6">
        <f>IF(D39="N","N/A",IF(OR(E39="",F39="",H39=""),"INCOMPLETE",IF(AND(L39&gt;=80,H39="E0"),"REVIEW",IF(AND(L39&gt;=80,OR(I39="N",J39="N")),"CORROBORATION REVIEW","OK"))))</f>
        <v/>
      </c>
      <c r="P39" s="6" t="n"/>
    </row>
    <row r="40">
      <c r="A40" s="8" t="inlineStr">
        <is>
          <t>D03</t>
        </is>
      </c>
      <c r="B40" s="8" t="inlineStr">
        <is>
          <t>I15</t>
        </is>
      </c>
      <c r="C40" s="8" t="inlineStr">
        <is>
          <t>Intellectual Agency</t>
        </is>
      </c>
      <c r="D40" s="8" t="inlineStr">
        <is>
          <t>Y</t>
        </is>
      </c>
      <c r="E40" s="6" t="n"/>
      <c r="F40" s="6" t="n"/>
      <c r="G40" s="6" t="n"/>
      <c r="H40" s="8" t="inlineStr">
        <is>
          <t>E0</t>
        </is>
      </c>
      <c r="I40" s="8" t="inlineStr">
        <is>
          <t>N</t>
        </is>
      </c>
      <c r="J40" s="8" t="inlineStr">
        <is>
          <t>N</t>
        </is>
      </c>
      <c r="K40" s="6">
        <f>IF(H40="E0",0.20,IF(H40="E1",0.40,IF(H40="E2",0.65,IF(H40="E3",0.85,IF(H40="E4",1.00,0)))))</f>
        <v/>
      </c>
      <c r="L40" s="6">
        <f>IF(D40="N","",IF(OR(E40="",F40=""),"",IF(G40="N/A",100*((0.60*E40)+(0.40*F40))/5,IF(G40="",100*((0.60*E40)+(0.40*F40))/5,100*((0.45*E40)+(0.30*F40)+(0.25*G40))/5))))</f>
        <v/>
      </c>
      <c r="M40" s="6">
        <f>IF(D40="N","",IFERROR(VLOOKUP(A40,'P0-4_Required_Maturity'!$A$2:$I$12,9,FALSE),3))</f>
        <v/>
      </c>
      <c r="N40" s="6">
        <f>IF(OR(E40="",M40=""),"",M40-E40)</f>
        <v/>
      </c>
      <c r="O40" s="6">
        <f>IF(D40="N","N/A",IF(OR(E40="",F40="",H40=""),"INCOMPLETE",IF(AND(L40&gt;=80,H40="E0"),"REVIEW",IF(AND(L40&gt;=80,OR(I40="N",J40="N")),"CORROBORATION REVIEW","OK"))))</f>
        <v/>
      </c>
      <c r="P40" s="6" t="n"/>
    </row>
    <row r="41">
      <c r="A41" s="8" t="inlineStr">
        <is>
          <t>D03</t>
        </is>
      </c>
      <c r="B41" s="8" t="inlineStr">
        <is>
          <t>I16</t>
        </is>
      </c>
      <c r="C41" s="8" t="inlineStr">
        <is>
          <t>Transfer Capability</t>
        </is>
      </c>
      <c r="D41" s="8" t="inlineStr">
        <is>
          <t>Y</t>
        </is>
      </c>
      <c r="E41" s="6" t="n"/>
      <c r="F41" s="6" t="n"/>
      <c r="G41" s="6" t="n"/>
      <c r="H41" s="8" t="inlineStr">
        <is>
          <t>E0</t>
        </is>
      </c>
      <c r="I41" s="8" t="inlineStr">
        <is>
          <t>N</t>
        </is>
      </c>
      <c r="J41" s="8" t="inlineStr">
        <is>
          <t>N</t>
        </is>
      </c>
      <c r="K41" s="6">
        <f>IF(H41="E0",0.20,IF(H41="E1",0.40,IF(H41="E2",0.65,IF(H41="E3",0.85,IF(H41="E4",1.00,0)))))</f>
        <v/>
      </c>
      <c r="L41" s="6">
        <f>IF(D41="N","",IF(OR(E41="",F41=""),"",IF(G41="N/A",100*((0.60*E41)+(0.40*F41))/5,IF(G41="",100*((0.60*E41)+(0.40*F41))/5,100*((0.45*E41)+(0.30*F41)+(0.25*G41))/5))))</f>
        <v/>
      </c>
      <c r="M41" s="6">
        <f>IF(D41="N","",IFERROR(VLOOKUP(A41,'P0-4_Required_Maturity'!$A$2:$I$12,9,FALSE),3))</f>
        <v/>
      </c>
      <c r="N41" s="6">
        <f>IF(OR(E41="",M41=""),"",M41-E41)</f>
        <v/>
      </c>
      <c r="O41" s="6">
        <f>IF(D41="N","N/A",IF(OR(E41="",F41="",H41=""),"INCOMPLETE",IF(AND(L41&gt;=80,H41="E0"),"REVIEW",IF(AND(L41&gt;=80,OR(I41="N",J41="N")),"CORROBORATION REVIEW","OK"))))</f>
        <v/>
      </c>
      <c r="P41" s="6" t="n"/>
    </row>
    <row r="42">
      <c r="A42" s="8" t="inlineStr">
        <is>
          <t>D03</t>
        </is>
      </c>
      <c r="B42" s="8" t="inlineStr">
        <is>
          <t>I17</t>
        </is>
      </c>
      <c r="C42" s="8" t="inlineStr">
        <is>
          <t>Non-Technical Discipline AI Capability</t>
        </is>
      </c>
      <c r="D42" s="8" t="inlineStr">
        <is>
          <t>Y</t>
        </is>
      </c>
      <c r="E42" s="6" t="n"/>
      <c r="F42" s="6" t="n"/>
      <c r="G42" s="6" t="n"/>
      <c r="H42" s="8" t="inlineStr">
        <is>
          <t>E0</t>
        </is>
      </c>
      <c r="I42" s="8" t="inlineStr">
        <is>
          <t>N</t>
        </is>
      </c>
      <c r="J42" s="8" t="inlineStr">
        <is>
          <t>N</t>
        </is>
      </c>
      <c r="K42" s="6">
        <f>IF(H42="E0",0.20,IF(H42="E1",0.40,IF(H42="E2",0.65,IF(H42="E3",0.85,IF(H42="E4",1.00,0)))))</f>
        <v/>
      </c>
      <c r="L42" s="6">
        <f>IF(D42="N","",IF(OR(E42="",F42=""),"",IF(G42="N/A",100*((0.60*E42)+(0.40*F42))/5,IF(G42="",100*((0.60*E42)+(0.40*F42))/5,100*((0.45*E42)+(0.30*F42)+(0.25*G42))/5))))</f>
        <v/>
      </c>
      <c r="M42" s="6">
        <f>IF(D42="N","",IFERROR(VLOOKUP(A42,'P0-4_Required_Maturity'!$A$2:$I$12,9,FALSE),3))</f>
        <v/>
      </c>
      <c r="N42" s="6">
        <f>IF(OR(E42="",M42=""),"",M42-E42)</f>
        <v/>
      </c>
      <c r="O42" s="6">
        <f>IF(D42="N","N/A",IF(OR(E42="",F42="",H42=""),"INCOMPLETE",IF(AND(L42&gt;=80,H42="E0"),"REVIEW",IF(AND(L42&gt;=80,OR(I42="N",J42="N")),"CORROBORATION REVIEW","OK"))))</f>
        <v/>
      </c>
      <c r="P42" s="6" t="n"/>
    </row>
    <row r="43">
      <c r="A43" s="8" t="inlineStr">
        <is>
          <t>D04</t>
        </is>
      </c>
      <c r="B43" s="8" t="inlineStr">
        <is>
          <t>I01</t>
        </is>
      </c>
      <c r="C43" s="8" t="inlineStr">
        <is>
          <t>Curriculum Sensing Maturity</t>
        </is>
      </c>
      <c r="D43" s="8" t="inlineStr">
        <is>
          <t>Y</t>
        </is>
      </c>
      <c r="E43" s="6" t="n"/>
      <c r="F43" s="6" t="n"/>
      <c r="G43" s="6" t="n"/>
      <c r="H43" s="8" t="inlineStr">
        <is>
          <t>E0</t>
        </is>
      </c>
      <c r="I43" s="8" t="inlineStr">
        <is>
          <t>N</t>
        </is>
      </c>
      <c r="J43" s="8" t="inlineStr">
        <is>
          <t>N</t>
        </is>
      </c>
      <c r="K43" s="6">
        <f>IF(H43="E0",0.20,IF(H43="E1",0.40,IF(H43="E2",0.65,IF(H43="E3",0.85,IF(H43="E4",1.00,0)))))</f>
        <v/>
      </c>
      <c r="L43" s="6">
        <f>IF(D43="N","",IF(OR(E43="",F43=""),"",IF(G43="N/A",100*((0.60*E43)+(0.40*F43))/5,IF(G43="",100*((0.60*E43)+(0.40*F43))/5,100*((0.45*E43)+(0.30*F43)+(0.25*G43))/5))))</f>
        <v/>
      </c>
      <c r="M43" s="6">
        <f>IF(D43="N","",IFERROR(VLOOKUP(A43,'P0-4_Required_Maturity'!$A$2:$I$12,9,FALSE),3))</f>
        <v/>
      </c>
      <c r="N43" s="6">
        <f>IF(OR(E43="",M43=""),"",M43-E43)</f>
        <v/>
      </c>
      <c r="O43" s="6">
        <f>IF(D43="N","N/A",IF(OR(E43="",F43="",H43=""),"INCOMPLETE",IF(AND(L43&gt;=80,H43="E0"),"REVIEW",IF(AND(L43&gt;=80,OR(I43="N",J43="N")),"CORROBORATION REVIEW","OK"))))</f>
        <v/>
      </c>
      <c r="P43" s="6" t="n"/>
    </row>
    <row r="44">
      <c r="A44" s="8" t="inlineStr">
        <is>
          <t>D04</t>
        </is>
      </c>
      <c r="B44" s="8" t="inlineStr">
        <is>
          <t>I02</t>
        </is>
      </c>
      <c r="C44" s="8" t="inlineStr">
        <is>
          <t>Future Learning Outcome Alignment</t>
        </is>
      </c>
      <c r="D44" s="8" t="inlineStr">
        <is>
          <t>Y</t>
        </is>
      </c>
      <c r="E44" s="6" t="n"/>
      <c r="F44" s="6" t="n"/>
      <c r="G44" s="6" t="n"/>
      <c r="H44" s="8" t="inlineStr">
        <is>
          <t>E0</t>
        </is>
      </c>
      <c r="I44" s="8" t="inlineStr">
        <is>
          <t>N</t>
        </is>
      </c>
      <c r="J44" s="8" t="inlineStr">
        <is>
          <t>N</t>
        </is>
      </c>
      <c r="K44" s="6">
        <f>IF(H44="E0",0.20,IF(H44="E1",0.40,IF(H44="E2",0.65,IF(H44="E3",0.85,IF(H44="E4",1.00,0)))))</f>
        <v/>
      </c>
      <c r="L44" s="6">
        <f>IF(D44="N","",IF(OR(E44="",F44=""),"",IF(G44="N/A",100*((0.60*E44)+(0.40*F44))/5,IF(G44="",100*((0.60*E44)+(0.40*F44))/5,100*((0.45*E44)+(0.30*F44)+(0.25*G44))/5))))</f>
        <v/>
      </c>
      <c r="M44" s="6">
        <f>IF(D44="N","",IFERROR(VLOOKUP(A44,'P0-4_Required_Maturity'!$A$2:$I$12,9,FALSE),3))</f>
        <v/>
      </c>
      <c r="N44" s="6">
        <f>IF(OR(E44="",M44=""),"",M44-E44)</f>
        <v/>
      </c>
      <c r="O44" s="6">
        <f>IF(D44="N","N/A",IF(OR(E44="",F44="",H44=""),"INCOMPLETE",IF(AND(L44&gt;=80,H44="E0"),"REVIEW",IF(AND(L44&gt;=80,OR(I44="N",J44="N")),"CORROBORATION REVIEW","OK"))))</f>
        <v/>
      </c>
      <c r="P44" s="6" t="n"/>
    </row>
    <row r="45">
      <c r="A45" s="8" t="inlineStr">
        <is>
          <t>D04</t>
        </is>
      </c>
      <c r="B45" s="8" t="inlineStr">
        <is>
          <t>I03</t>
        </is>
      </c>
      <c r="C45" s="8" t="inlineStr">
        <is>
          <t>Programme Review Effectiveness</t>
        </is>
      </c>
      <c r="D45" s="8" t="inlineStr">
        <is>
          <t>Y</t>
        </is>
      </c>
      <c r="E45" s="6" t="n"/>
      <c r="F45" s="6" t="n"/>
      <c r="G45" s="6" t="n"/>
      <c r="H45" s="8" t="inlineStr">
        <is>
          <t>E0</t>
        </is>
      </c>
      <c r="I45" s="8" t="inlineStr">
        <is>
          <t>N</t>
        </is>
      </c>
      <c r="J45" s="8" t="inlineStr">
        <is>
          <t>N</t>
        </is>
      </c>
      <c r="K45" s="6">
        <f>IF(H45="E0",0.20,IF(H45="E1",0.40,IF(H45="E2",0.65,IF(H45="E3",0.85,IF(H45="E4",1.00,0)))))</f>
        <v/>
      </c>
      <c r="L45" s="6">
        <f>IF(D45="N","",IF(OR(E45="",F45=""),"",IF(G45="N/A",100*((0.60*E45)+(0.40*F45))/5,IF(G45="",100*((0.60*E45)+(0.40*F45))/5,100*((0.45*E45)+(0.30*F45)+(0.25*G45))/5))))</f>
        <v/>
      </c>
      <c r="M45" s="6">
        <f>IF(D45="N","",IFERROR(VLOOKUP(A45,'P0-4_Required_Maturity'!$A$2:$I$12,9,FALSE),3))</f>
        <v/>
      </c>
      <c r="N45" s="6">
        <f>IF(OR(E45="",M45=""),"",M45-E45)</f>
        <v/>
      </c>
      <c r="O45" s="6">
        <f>IF(D45="N","N/A",IF(OR(E45="",F45="",H45=""),"INCOMPLETE",IF(AND(L45&gt;=80,H45="E0"),"REVIEW",IF(AND(L45&gt;=80,OR(I45="N",J45="N")),"CORROBORATION REVIEW","OK"))))</f>
        <v/>
      </c>
      <c r="P45" s="6" t="n"/>
    </row>
    <row r="46">
      <c r="A46" s="8" t="inlineStr">
        <is>
          <t>D04</t>
        </is>
      </c>
      <c r="B46" s="8" t="inlineStr">
        <is>
          <t>I04</t>
        </is>
      </c>
      <c r="C46" s="8" t="inlineStr">
        <is>
          <t>Disciplinary AI Integration Depth</t>
        </is>
      </c>
      <c r="D46" s="8" t="inlineStr">
        <is>
          <t>Y</t>
        </is>
      </c>
      <c r="E46" s="6" t="n"/>
      <c r="F46" s="6" t="n"/>
      <c r="G46" s="6" t="n"/>
      <c r="H46" s="8" t="inlineStr">
        <is>
          <t>E0</t>
        </is>
      </c>
      <c r="I46" s="8" t="inlineStr">
        <is>
          <t>N</t>
        </is>
      </c>
      <c r="J46" s="8" t="inlineStr">
        <is>
          <t>N</t>
        </is>
      </c>
      <c r="K46" s="6">
        <f>IF(H46="E0",0.20,IF(H46="E1",0.40,IF(H46="E2",0.65,IF(H46="E3",0.85,IF(H46="E4",1.00,0)))))</f>
        <v/>
      </c>
      <c r="L46" s="6">
        <f>IF(D46="N","",IF(OR(E46="",F46=""),"",IF(G46="N/A",100*((0.60*E46)+(0.40*F46))/5,IF(G46="",100*((0.60*E46)+(0.40*F46))/5,100*((0.45*E46)+(0.30*F46)+(0.25*G46))/5))))</f>
        <v/>
      </c>
      <c r="M46" s="6">
        <f>IF(D46="N","",IFERROR(VLOOKUP(A46,'P0-4_Required_Maturity'!$A$2:$I$12,9,FALSE),3))</f>
        <v/>
      </c>
      <c r="N46" s="6">
        <f>IF(OR(E46="",M46=""),"",M46-E46)</f>
        <v/>
      </c>
      <c r="O46" s="6">
        <f>IF(D46="N","N/A",IF(OR(E46="",F46="",H46=""),"INCOMPLETE",IF(AND(L46&gt;=80,H46="E0"),"REVIEW",IF(AND(L46&gt;=80,OR(I46="N",J46="N")),"CORROBORATION REVIEW","OK"))))</f>
        <v/>
      </c>
      <c r="P46" s="6" t="n"/>
    </row>
    <row r="47">
      <c r="A47" s="8" t="inlineStr">
        <is>
          <t>D04</t>
        </is>
      </c>
      <c r="B47" s="8" t="inlineStr">
        <is>
          <t>I05</t>
        </is>
      </c>
      <c r="C47" s="8" t="inlineStr">
        <is>
          <t>Content Obsolescence Response</t>
        </is>
      </c>
      <c r="D47" s="8" t="inlineStr">
        <is>
          <t>Y</t>
        </is>
      </c>
      <c r="E47" s="6" t="n"/>
      <c r="F47" s="6" t="n"/>
      <c r="G47" s="6" t="n"/>
      <c r="H47" s="8" t="inlineStr">
        <is>
          <t>E0</t>
        </is>
      </c>
      <c r="I47" s="8" t="inlineStr">
        <is>
          <t>N</t>
        </is>
      </c>
      <c r="J47" s="8" t="inlineStr">
        <is>
          <t>N</t>
        </is>
      </c>
      <c r="K47" s="6">
        <f>IF(H47="E0",0.20,IF(H47="E1",0.40,IF(H47="E2",0.65,IF(H47="E3",0.85,IF(H47="E4",1.00,0)))))</f>
        <v/>
      </c>
      <c r="L47" s="6">
        <f>IF(D47="N","",IF(OR(E47="",F47=""),"",IF(G47="N/A",100*((0.60*E47)+(0.40*F47))/5,IF(G47="",100*((0.60*E47)+(0.40*F47))/5,100*((0.45*E47)+(0.30*F47)+(0.25*G47))/5))))</f>
        <v/>
      </c>
      <c r="M47" s="6">
        <f>IF(D47="N","",IFERROR(VLOOKUP(A47,'P0-4_Required_Maturity'!$A$2:$I$12,9,FALSE),3))</f>
        <v/>
      </c>
      <c r="N47" s="6">
        <f>IF(OR(E47="",M47=""),"",M47-E47)</f>
        <v/>
      </c>
      <c r="O47" s="6">
        <f>IF(D47="N","N/A",IF(OR(E47="",F47="",H47=""),"INCOMPLETE",IF(AND(L47&gt;=80,H47="E0"),"REVIEW",IF(AND(L47&gt;=80,OR(I47="N",J47="N")),"CORROBORATION REVIEW","OK"))))</f>
        <v/>
      </c>
      <c r="P47" s="6" t="n"/>
    </row>
    <row r="48">
      <c r="A48" s="8" t="inlineStr">
        <is>
          <t>D04</t>
        </is>
      </c>
      <c r="B48" s="8" t="inlineStr">
        <is>
          <t>I06</t>
        </is>
      </c>
      <c r="C48" s="8" t="inlineStr">
        <is>
          <t>Experiential Learning Strength</t>
        </is>
      </c>
      <c r="D48" s="8" t="inlineStr">
        <is>
          <t>Y</t>
        </is>
      </c>
      <c r="E48" s="6" t="n"/>
      <c r="F48" s="6" t="n"/>
      <c r="G48" s="6" t="n"/>
      <c r="H48" s="8" t="inlineStr">
        <is>
          <t>E0</t>
        </is>
      </c>
      <c r="I48" s="8" t="inlineStr">
        <is>
          <t>N</t>
        </is>
      </c>
      <c r="J48" s="8" t="inlineStr">
        <is>
          <t>N</t>
        </is>
      </c>
      <c r="K48" s="6">
        <f>IF(H48="E0",0.20,IF(H48="E1",0.40,IF(H48="E2",0.65,IF(H48="E3",0.85,IF(H48="E4",1.00,0)))))</f>
        <v/>
      </c>
      <c r="L48" s="6">
        <f>IF(D48="N","",IF(OR(E48="",F48=""),"",IF(G48="N/A",100*((0.60*E48)+(0.40*F48))/5,IF(G48="",100*((0.60*E48)+(0.40*F48))/5,100*((0.45*E48)+(0.30*F48)+(0.25*G48))/5))))</f>
        <v/>
      </c>
      <c r="M48" s="6">
        <f>IF(D48="N","",IFERROR(VLOOKUP(A48,'P0-4_Required_Maturity'!$A$2:$I$12,9,FALSE),3))</f>
        <v/>
      </c>
      <c r="N48" s="6">
        <f>IF(OR(E48="",M48=""),"",M48-E48)</f>
        <v/>
      </c>
      <c r="O48" s="6">
        <f>IF(D48="N","N/A",IF(OR(E48="",F48="",H48=""),"INCOMPLETE",IF(AND(L48&gt;=80,H48="E0"),"REVIEW",IF(AND(L48&gt;=80,OR(I48="N",J48="N")),"CORROBORATION REVIEW","OK"))))</f>
        <v/>
      </c>
      <c r="P48" s="6" t="n"/>
    </row>
    <row r="49">
      <c r="A49" s="8" t="inlineStr">
        <is>
          <t>D04</t>
        </is>
      </c>
      <c r="B49" s="8" t="inlineStr">
        <is>
          <t>I07</t>
        </is>
      </c>
      <c r="C49" s="8" t="inlineStr">
        <is>
          <t>Interdisciplinary Flexibility</t>
        </is>
      </c>
      <c r="D49" s="8" t="inlineStr">
        <is>
          <t>Y</t>
        </is>
      </c>
      <c r="E49" s="6" t="n"/>
      <c r="F49" s="6" t="n"/>
      <c r="G49" s="6" t="n"/>
      <c r="H49" s="8" t="inlineStr">
        <is>
          <t>E0</t>
        </is>
      </c>
      <c r="I49" s="8" t="inlineStr">
        <is>
          <t>N</t>
        </is>
      </c>
      <c r="J49" s="8" t="inlineStr">
        <is>
          <t>N</t>
        </is>
      </c>
      <c r="K49" s="6">
        <f>IF(H49="E0",0.20,IF(H49="E1",0.40,IF(H49="E2",0.65,IF(H49="E3",0.85,IF(H49="E4",1.00,0)))))</f>
        <v/>
      </c>
      <c r="L49" s="6">
        <f>IF(D49="N","",IF(OR(E49="",F49=""),"",IF(G49="N/A",100*((0.60*E49)+(0.40*F49))/5,IF(G49="",100*((0.60*E49)+(0.40*F49))/5,100*((0.45*E49)+(0.30*F49)+(0.25*G49))/5))))</f>
        <v/>
      </c>
      <c r="M49" s="6">
        <f>IF(D49="N","",IFERROR(VLOOKUP(A49,'P0-4_Required_Maturity'!$A$2:$I$12,9,FALSE),3))</f>
        <v/>
      </c>
      <c r="N49" s="6">
        <f>IF(OR(E49="",M49=""),"",M49-E49)</f>
        <v/>
      </c>
      <c r="O49" s="6">
        <f>IF(D49="N","N/A",IF(OR(E49="",F49="",H49=""),"INCOMPLETE",IF(AND(L49&gt;=80,H49="E0"),"REVIEW",IF(AND(L49&gt;=80,OR(I49="N",J49="N")),"CORROBORATION REVIEW","OK"))))</f>
        <v/>
      </c>
      <c r="P49" s="6" t="n"/>
    </row>
    <row r="50">
      <c r="A50" s="8" t="inlineStr">
        <is>
          <t>D04</t>
        </is>
      </c>
      <c r="B50" s="8" t="inlineStr">
        <is>
          <t>I08</t>
        </is>
      </c>
      <c r="C50" s="8" t="inlineStr">
        <is>
          <t>Programme Agility</t>
        </is>
      </c>
      <c r="D50" s="8" t="inlineStr">
        <is>
          <t>Y</t>
        </is>
      </c>
      <c r="E50" s="6" t="n"/>
      <c r="F50" s="6" t="n"/>
      <c r="G50" s="6" t="n"/>
      <c r="H50" s="8" t="inlineStr">
        <is>
          <t>E0</t>
        </is>
      </c>
      <c r="I50" s="8" t="inlineStr">
        <is>
          <t>N</t>
        </is>
      </c>
      <c r="J50" s="8" t="inlineStr">
        <is>
          <t>N</t>
        </is>
      </c>
      <c r="K50" s="6">
        <f>IF(H50="E0",0.20,IF(H50="E1",0.40,IF(H50="E2",0.65,IF(H50="E3",0.85,IF(H50="E4",1.00,0)))))</f>
        <v/>
      </c>
      <c r="L50" s="6">
        <f>IF(D50="N","",IF(OR(E50="",F50=""),"",IF(G50="N/A",100*((0.60*E50)+(0.40*F50))/5,IF(G50="",100*((0.60*E50)+(0.40*F50))/5,100*((0.45*E50)+(0.30*F50)+(0.25*G50))/5))))</f>
        <v/>
      </c>
      <c r="M50" s="6">
        <f>IF(D50="N","",IFERROR(VLOOKUP(A50,'P0-4_Required_Maturity'!$A$2:$I$12,9,FALSE),3))</f>
        <v/>
      </c>
      <c r="N50" s="6">
        <f>IF(OR(E50="",M50=""),"",M50-E50)</f>
        <v/>
      </c>
      <c r="O50" s="6">
        <f>IF(D50="N","N/A",IF(OR(E50="",F50="",H50=""),"INCOMPLETE",IF(AND(L50&gt;=80,H50="E0"),"REVIEW",IF(AND(L50&gt;=80,OR(I50="N",J50="N")),"CORROBORATION REVIEW","OK"))))</f>
        <v/>
      </c>
      <c r="P50" s="6" t="n"/>
    </row>
    <row r="51">
      <c r="A51" s="8" t="inlineStr">
        <is>
          <t>D04</t>
        </is>
      </c>
      <c r="B51" s="8" t="inlineStr">
        <is>
          <t>I09</t>
        </is>
      </c>
      <c r="C51" s="8" t="inlineStr">
        <is>
          <t>External Validation Strength</t>
        </is>
      </c>
      <c r="D51" s="8" t="inlineStr">
        <is>
          <t>Y</t>
        </is>
      </c>
      <c r="E51" s="6" t="n"/>
      <c r="F51" s="6" t="n"/>
      <c r="G51" s="6" t="n"/>
      <c r="H51" s="8" t="inlineStr">
        <is>
          <t>E0</t>
        </is>
      </c>
      <c r="I51" s="8" t="inlineStr">
        <is>
          <t>N</t>
        </is>
      </c>
      <c r="J51" s="8" t="inlineStr">
        <is>
          <t>N</t>
        </is>
      </c>
      <c r="K51" s="6">
        <f>IF(H51="E0",0.20,IF(H51="E1",0.40,IF(H51="E2",0.65,IF(H51="E3",0.85,IF(H51="E4",1.00,0)))))</f>
        <v/>
      </c>
      <c r="L51" s="6">
        <f>IF(D51="N","",IF(OR(E51="",F51=""),"",IF(G51="N/A",100*((0.60*E51)+(0.40*F51))/5,IF(G51="",100*((0.60*E51)+(0.40*F51))/5,100*((0.45*E51)+(0.30*F51)+(0.25*G51))/5))))</f>
        <v/>
      </c>
      <c r="M51" s="6">
        <f>IF(D51="N","",IFERROR(VLOOKUP(A51,'P0-4_Required_Maturity'!$A$2:$I$12,9,FALSE),3))</f>
        <v/>
      </c>
      <c r="N51" s="6">
        <f>IF(OR(E51="",M51=""),"",M51-E51)</f>
        <v/>
      </c>
      <c r="O51" s="6">
        <f>IF(D51="N","N/A",IF(OR(E51="",F51="",H51=""),"INCOMPLETE",IF(AND(L51&gt;=80,H51="E0"),"REVIEW",IF(AND(L51&gt;=80,OR(I51="N",J51="N")),"CORROBORATION REVIEW","OK"))))</f>
        <v/>
      </c>
      <c r="P51" s="6" t="n"/>
    </row>
    <row r="52">
      <c r="A52" s="8" t="inlineStr">
        <is>
          <t>D04</t>
        </is>
      </c>
      <c r="B52" s="8" t="inlineStr">
        <is>
          <t>I10</t>
        </is>
      </c>
      <c r="C52" s="8" t="inlineStr">
        <is>
          <t>External Learning Ecosystem</t>
        </is>
      </c>
      <c r="D52" s="8" t="inlineStr">
        <is>
          <t>Y</t>
        </is>
      </c>
      <c r="E52" s="6" t="n"/>
      <c r="F52" s="6" t="n"/>
      <c r="G52" s="6" t="n"/>
      <c r="H52" s="8" t="inlineStr">
        <is>
          <t>E0</t>
        </is>
      </c>
      <c r="I52" s="8" t="inlineStr">
        <is>
          <t>N</t>
        </is>
      </c>
      <c r="J52" s="8" t="inlineStr">
        <is>
          <t>N</t>
        </is>
      </c>
      <c r="K52" s="6">
        <f>IF(H52="E0",0.20,IF(H52="E1",0.40,IF(H52="E2",0.65,IF(H52="E3",0.85,IF(H52="E4",1.00,0)))))</f>
        <v/>
      </c>
      <c r="L52" s="6">
        <f>IF(D52="N","",IF(OR(E52="",F52=""),"",IF(G52="N/A",100*((0.60*E52)+(0.40*F52))/5,IF(G52="",100*((0.60*E52)+(0.40*F52))/5,100*((0.45*E52)+(0.30*F52)+(0.25*G52))/5))))</f>
        <v/>
      </c>
      <c r="M52" s="6">
        <f>IF(D52="N","",IFERROR(VLOOKUP(A52,'P0-4_Required_Maturity'!$A$2:$I$12,9,FALSE),3))</f>
        <v/>
      </c>
      <c r="N52" s="6">
        <f>IF(OR(E52="",M52=""),"",M52-E52)</f>
        <v/>
      </c>
      <c r="O52" s="6">
        <f>IF(D52="N","N/A",IF(OR(E52="",F52="",H52=""),"INCOMPLETE",IF(AND(L52&gt;=80,H52="E0"),"REVIEW",IF(AND(L52&gt;=80,OR(I52="N",J52="N")),"CORROBORATION REVIEW","OK"))))</f>
        <v/>
      </c>
      <c r="P52" s="6" t="n"/>
    </row>
    <row r="53">
      <c r="A53" s="8" t="inlineStr">
        <is>
          <t>D04</t>
        </is>
      </c>
      <c r="B53" s="8" t="inlineStr">
        <is>
          <t>I11</t>
        </is>
      </c>
      <c r="C53" s="8" t="inlineStr">
        <is>
          <t>Transfer Capability</t>
        </is>
      </c>
      <c r="D53" s="8" t="inlineStr">
        <is>
          <t>Y</t>
        </is>
      </c>
      <c r="E53" s="6" t="n"/>
      <c r="F53" s="6" t="n"/>
      <c r="G53" s="6" t="n"/>
      <c r="H53" s="8" t="inlineStr">
        <is>
          <t>E0</t>
        </is>
      </c>
      <c r="I53" s="8" t="inlineStr">
        <is>
          <t>N</t>
        </is>
      </c>
      <c r="J53" s="8" t="inlineStr">
        <is>
          <t>N</t>
        </is>
      </c>
      <c r="K53" s="6">
        <f>IF(H53="E0",0.20,IF(H53="E1",0.40,IF(H53="E2",0.65,IF(H53="E3",0.85,IF(H53="E4",1.00,0)))))</f>
        <v/>
      </c>
      <c r="L53" s="6">
        <f>IF(D53="N","",IF(OR(E53="",F53=""),"",IF(G53="N/A",100*((0.60*E53)+(0.40*F53))/5,IF(G53="",100*((0.60*E53)+(0.40*F53))/5,100*((0.45*E53)+(0.30*F53)+(0.25*G53))/5))))</f>
        <v/>
      </c>
      <c r="M53" s="6">
        <f>IF(D53="N","",IFERROR(VLOOKUP(A53,'P0-4_Required_Maturity'!$A$2:$I$12,9,FALSE),3))</f>
        <v/>
      </c>
      <c r="N53" s="6">
        <f>IF(OR(E53="",M53=""),"",M53-E53)</f>
        <v/>
      </c>
      <c r="O53" s="6">
        <f>IF(D53="N","N/A",IF(OR(E53="",F53="",H53=""),"INCOMPLETE",IF(AND(L53&gt;=80,H53="E0"),"REVIEW",IF(AND(L53&gt;=80,OR(I53="N",J53="N")),"CORROBORATION REVIEW","OK"))))</f>
        <v/>
      </c>
      <c r="P53" s="6" t="n"/>
    </row>
    <row r="54">
      <c r="A54" s="8" t="inlineStr">
        <is>
          <t>D04</t>
        </is>
      </c>
      <c r="B54" s="8" t="inlineStr">
        <is>
          <t>I12</t>
        </is>
      </c>
      <c r="C54" s="8" t="inlineStr">
        <is>
          <t>Portfolio Foresight</t>
        </is>
      </c>
      <c r="D54" s="8" t="inlineStr">
        <is>
          <t>Y</t>
        </is>
      </c>
      <c r="E54" s="6" t="n"/>
      <c r="F54" s="6" t="n"/>
      <c r="G54" s="6" t="n"/>
      <c r="H54" s="8" t="inlineStr">
        <is>
          <t>E0</t>
        </is>
      </c>
      <c r="I54" s="8" t="inlineStr">
        <is>
          <t>N</t>
        </is>
      </c>
      <c r="J54" s="8" t="inlineStr">
        <is>
          <t>N</t>
        </is>
      </c>
      <c r="K54" s="6">
        <f>IF(H54="E0",0.20,IF(H54="E1",0.40,IF(H54="E2",0.65,IF(H54="E3",0.85,IF(H54="E4",1.00,0)))))</f>
        <v/>
      </c>
      <c r="L54" s="6">
        <f>IF(D54="N","",IF(OR(E54="",F54=""),"",IF(G54="N/A",100*((0.60*E54)+(0.40*F54))/5,IF(G54="",100*((0.60*E54)+(0.40*F54))/5,100*((0.45*E54)+(0.30*F54)+(0.25*G54))/5))))</f>
        <v/>
      </c>
      <c r="M54" s="6">
        <f>IF(D54="N","",IFERROR(VLOOKUP(A54,'P0-4_Required_Maturity'!$A$2:$I$12,9,FALSE),3))</f>
        <v/>
      </c>
      <c r="N54" s="6">
        <f>IF(OR(E54="",M54=""),"",M54-E54)</f>
        <v/>
      </c>
      <c r="O54" s="6">
        <f>IF(D54="N","N/A",IF(OR(E54="",F54="",H54=""),"INCOMPLETE",IF(AND(L54&gt;=80,H54="E0"),"REVIEW",IF(AND(L54&gt;=80,OR(I54="N",J54="N")),"CORROBORATION REVIEW","OK"))))</f>
        <v/>
      </c>
      <c r="P54" s="6" t="n"/>
    </row>
    <row r="55">
      <c r="A55" s="8" t="inlineStr">
        <is>
          <t>D05</t>
        </is>
      </c>
      <c r="B55" s="8" t="inlineStr">
        <is>
          <t>I01</t>
        </is>
      </c>
      <c r="C55" s="8" t="inlineStr">
        <is>
          <t>Faculty AI Literacy Maturity</t>
        </is>
      </c>
      <c r="D55" s="8" t="inlineStr">
        <is>
          <t>Y</t>
        </is>
      </c>
      <c r="E55" s="6" t="n"/>
      <c r="F55" s="6" t="n"/>
      <c r="G55" s="6" t="n"/>
      <c r="H55" s="8" t="inlineStr">
        <is>
          <t>E0</t>
        </is>
      </c>
      <c r="I55" s="8" t="inlineStr">
        <is>
          <t>N</t>
        </is>
      </c>
      <c r="J55" s="8" t="inlineStr">
        <is>
          <t>N</t>
        </is>
      </c>
      <c r="K55" s="6">
        <f>IF(H55="E0",0.20,IF(H55="E1",0.40,IF(H55="E2",0.65,IF(H55="E3",0.85,IF(H55="E4",1.00,0)))))</f>
        <v/>
      </c>
      <c r="L55" s="6">
        <f>IF(D55="N","",IF(OR(E55="",F55=""),"",IF(G55="N/A",100*((0.60*E55)+(0.40*F55))/5,IF(G55="",100*((0.60*E55)+(0.40*F55))/5,100*((0.45*E55)+(0.30*F55)+(0.25*G55))/5))))</f>
        <v/>
      </c>
      <c r="M55" s="6">
        <f>IF(D55="N","",IFERROR(VLOOKUP(A55,'P0-4_Required_Maturity'!$A$2:$I$12,9,FALSE),3))</f>
        <v/>
      </c>
      <c r="N55" s="6">
        <f>IF(OR(E55="",M55=""),"",M55-E55)</f>
        <v/>
      </c>
      <c r="O55" s="6">
        <f>IF(D55="N","N/A",IF(OR(E55="",F55="",H55=""),"INCOMPLETE",IF(AND(L55&gt;=80,H55="E0"),"REVIEW",IF(AND(L55&gt;=80,OR(I55="N",J55="N")),"CORROBORATION REVIEW","OK"))))</f>
        <v/>
      </c>
      <c r="P55" s="6" t="n"/>
    </row>
    <row r="56">
      <c r="A56" s="8" t="inlineStr">
        <is>
          <t>D05</t>
        </is>
      </c>
      <c r="B56" s="8" t="inlineStr">
        <is>
          <t>I02</t>
        </is>
      </c>
      <c r="C56" s="8" t="inlineStr">
        <is>
          <t>Discipline-Specific AI Practice</t>
        </is>
      </c>
      <c r="D56" s="8" t="inlineStr">
        <is>
          <t>Y</t>
        </is>
      </c>
      <c r="E56" s="6" t="n"/>
      <c r="F56" s="6" t="n"/>
      <c r="G56" s="6" t="n"/>
      <c r="H56" s="8" t="inlineStr">
        <is>
          <t>E0</t>
        </is>
      </c>
      <c r="I56" s="8" t="inlineStr">
        <is>
          <t>N</t>
        </is>
      </c>
      <c r="J56" s="8" t="inlineStr">
        <is>
          <t>N</t>
        </is>
      </c>
      <c r="K56" s="6">
        <f>IF(H56="E0",0.20,IF(H56="E1",0.40,IF(H56="E2",0.65,IF(H56="E3",0.85,IF(H56="E4",1.00,0)))))</f>
        <v/>
      </c>
      <c r="L56" s="6">
        <f>IF(D56="N","",IF(OR(E56="",F56=""),"",IF(G56="N/A",100*((0.60*E56)+(0.40*F56))/5,IF(G56="",100*((0.60*E56)+(0.40*F56))/5,100*((0.45*E56)+(0.30*F56)+(0.25*G56))/5))))</f>
        <v/>
      </c>
      <c r="M56" s="6">
        <f>IF(D56="N","",IFERROR(VLOOKUP(A56,'P0-4_Required_Maturity'!$A$2:$I$12,9,FALSE),3))</f>
        <v/>
      </c>
      <c r="N56" s="6">
        <f>IF(OR(E56="",M56=""),"",M56-E56)</f>
        <v/>
      </c>
      <c r="O56" s="6">
        <f>IF(D56="N","N/A",IF(OR(E56="",F56="",H56=""),"INCOMPLETE",IF(AND(L56&gt;=80,H56="E0"),"REVIEW",IF(AND(L56&gt;=80,OR(I56="N",J56="N")),"CORROBORATION REVIEW","OK"))))</f>
        <v/>
      </c>
      <c r="P56" s="6" t="n"/>
    </row>
    <row r="57">
      <c r="A57" s="8" t="inlineStr">
        <is>
          <t>D05</t>
        </is>
      </c>
      <c r="B57" s="8" t="inlineStr">
        <is>
          <t>I03</t>
        </is>
      </c>
      <c r="C57" s="8" t="inlineStr">
        <is>
          <t>AI-Enhanced Pedagogy</t>
        </is>
      </c>
      <c r="D57" s="8" t="inlineStr">
        <is>
          <t>Y</t>
        </is>
      </c>
      <c r="E57" s="6" t="n"/>
      <c r="F57" s="6" t="n"/>
      <c r="G57" s="6" t="n"/>
      <c r="H57" s="8" t="inlineStr">
        <is>
          <t>E0</t>
        </is>
      </c>
      <c r="I57" s="8" t="inlineStr">
        <is>
          <t>N</t>
        </is>
      </c>
      <c r="J57" s="8" t="inlineStr">
        <is>
          <t>N</t>
        </is>
      </c>
      <c r="K57" s="6">
        <f>IF(H57="E0",0.20,IF(H57="E1",0.40,IF(H57="E2",0.65,IF(H57="E3",0.85,IF(H57="E4",1.00,0)))))</f>
        <v/>
      </c>
      <c r="L57" s="6">
        <f>IF(D57="N","",IF(OR(E57="",F57=""),"",IF(G57="N/A",100*((0.60*E57)+(0.40*F57))/5,IF(G57="",100*((0.60*E57)+(0.40*F57))/5,100*((0.45*E57)+(0.30*F57)+(0.25*G57))/5))))</f>
        <v/>
      </c>
      <c r="M57" s="6">
        <f>IF(D57="N","",IFERROR(VLOOKUP(A57,'P0-4_Required_Maturity'!$A$2:$I$12,9,FALSE),3))</f>
        <v/>
      </c>
      <c r="N57" s="6">
        <f>IF(OR(E57="",M57=""),"",M57-E57)</f>
        <v/>
      </c>
      <c r="O57" s="6">
        <f>IF(D57="N","N/A",IF(OR(E57="",F57="",H57=""),"INCOMPLETE",IF(AND(L57&gt;=80,H57="E0"),"REVIEW",IF(AND(L57&gt;=80,OR(I57="N",J57="N")),"CORROBORATION REVIEW","OK"))))</f>
        <v/>
      </c>
      <c r="P57" s="6" t="n"/>
    </row>
    <row r="58">
      <c r="A58" s="8" t="inlineStr">
        <is>
          <t>D05</t>
        </is>
      </c>
      <c r="B58" s="8" t="inlineStr">
        <is>
          <t>I04</t>
        </is>
      </c>
      <c r="C58" s="8" t="inlineStr">
        <is>
          <t>Assessment Redesign Capability</t>
        </is>
      </c>
      <c r="D58" s="8" t="inlineStr">
        <is>
          <t>Y</t>
        </is>
      </c>
      <c r="E58" s="6" t="n"/>
      <c r="F58" s="6" t="n"/>
      <c r="G58" s="6" t="n"/>
      <c r="H58" s="8" t="inlineStr">
        <is>
          <t>E0</t>
        </is>
      </c>
      <c r="I58" s="8" t="inlineStr">
        <is>
          <t>N</t>
        </is>
      </c>
      <c r="J58" s="8" t="inlineStr">
        <is>
          <t>N</t>
        </is>
      </c>
      <c r="K58" s="6">
        <f>IF(H58="E0",0.20,IF(H58="E1",0.40,IF(H58="E2",0.65,IF(H58="E3",0.85,IF(H58="E4",1.00,0)))))</f>
        <v/>
      </c>
      <c r="L58" s="6">
        <f>IF(D58="N","",IF(OR(E58="",F58=""),"",IF(G58="N/A",100*((0.60*E58)+(0.40*F58))/5,IF(G58="",100*((0.60*E58)+(0.40*F58))/5,100*((0.45*E58)+(0.30*F58)+(0.25*G58))/5))))</f>
        <v/>
      </c>
      <c r="M58" s="6">
        <f>IF(D58="N","",IFERROR(VLOOKUP(A58,'P0-4_Required_Maturity'!$A$2:$I$12,9,FALSE),3))</f>
        <v/>
      </c>
      <c r="N58" s="6">
        <f>IF(OR(E58="",M58=""),"",M58-E58)</f>
        <v/>
      </c>
      <c r="O58" s="6">
        <f>IF(D58="N","N/A",IF(OR(E58="",F58="",H58=""),"INCOMPLETE",IF(AND(L58&gt;=80,H58="E0"),"REVIEW",IF(AND(L58&gt;=80,OR(I58="N",J58="N")),"CORROBORATION REVIEW","OK"))))</f>
        <v/>
      </c>
      <c r="P58" s="6" t="n"/>
    </row>
    <row r="59">
      <c r="A59" s="8" t="inlineStr">
        <is>
          <t>D05</t>
        </is>
      </c>
      <c r="B59" s="8" t="inlineStr">
        <is>
          <t>I05</t>
        </is>
      </c>
      <c r="C59" s="8" t="inlineStr">
        <is>
          <t>Faculty Learning &amp; Development Effectiveness</t>
        </is>
      </c>
      <c r="D59" s="8" t="inlineStr">
        <is>
          <t>Y</t>
        </is>
      </c>
      <c r="E59" s="6" t="n"/>
      <c r="F59" s="6" t="n"/>
      <c r="G59" s="6" t="n"/>
      <c r="H59" s="8" t="inlineStr">
        <is>
          <t>E0</t>
        </is>
      </c>
      <c r="I59" s="8" t="inlineStr">
        <is>
          <t>N</t>
        </is>
      </c>
      <c r="J59" s="8" t="inlineStr">
        <is>
          <t>N</t>
        </is>
      </c>
      <c r="K59" s="6">
        <f>IF(H59="E0",0.20,IF(H59="E1",0.40,IF(H59="E2",0.65,IF(H59="E3",0.85,IF(H59="E4",1.00,0)))))</f>
        <v/>
      </c>
      <c r="L59" s="6">
        <f>IF(D59="N","",IF(OR(E59="",F59=""),"",IF(G59="N/A",100*((0.60*E59)+(0.40*F59))/5,IF(G59="",100*((0.60*E59)+(0.40*F59))/5,100*((0.45*E59)+(0.30*F59)+(0.25*G59))/5))))</f>
        <v/>
      </c>
      <c r="M59" s="6">
        <f>IF(D59="N","",IFERROR(VLOOKUP(A59,'P0-4_Required_Maturity'!$A$2:$I$12,9,FALSE),3))</f>
        <v/>
      </c>
      <c r="N59" s="6">
        <f>IF(OR(E59="",M59=""),"",M59-E59)</f>
        <v/>
      </c>
      <c r="O59" s="6">
        <f>IF(D59="N","N/A",IF(OR(E59="",F59="",H59=""),"INCOMPLETE",IF(AND(L59&gt;=80,H59="E0"),"REVIEW",IF(AND(L59&gt;=80,OR(I59="N",J59="N")),"CORROBORATION REVIEW","OK"))))</f>
        <v/>
      </c>
      <c r="P59" s="6" t="n"/>
    </row>
    <row r="60">
      <c r="A60" s="8" t="inlineStr">
        <is>
          <t>D05</t>
        </is>
      </c>
      <c r="B60" s="8" t="inlineStr">
        <is>
          <t>I06</t>
        </is>
      </c>
      <c r="C60" s="8" t="inlineStr">
        <is>
          <t>Peer Learning &amp; Communities</t>
        </is>
      </c>
      <c r="D60" s="8" t="inlineStr">
        <is>
          <t>Y</t>
        </is>
      </c>
      <c r="E60" s="6" t="n"/>
      <c r="F60" s="6" t="n"/>
      <c r="G60" s="6" t="n"/>
      <c r="H60" s="8" t="inlineStr">
        <is>
          <t>E0</t>
        </is>
      </c>
      <c r="I60" s="8" t="inlineStr">
        <is>
          <t>N</t>
        </is>
      </c>
      <c r="J60" s="8" t="inlineStr">
        <is>
          <t>N</t>
        </is>
      </c>
      <c r="K60" s="6">
        <f>IF(H60="E0",0.20,IF(H60="E1",0.40,IF(H60="E2",0.65,IF(H60="E3",0.85,IF(H60="E4",1.00,0)))))</f>
        <v/>
      </c>
      <c r="L60" s="6">
        <f>IF(D60="N","",IF(OR(E60="",F60=""),"",IF(G60="N/A",100*((0.60*E60)+(0.40*F60))/5,IF(G60="",100*((0.60*E60)+(0.40*F60))/5,100*((0.45*E60)+(0.30*F60)+(0.25*G60))/5))))</f>
        <v/>
      </c>
      <c r="M60" s="6">
        <f>IF(D60="N","",IFERROR(VLOOKUP(A60,'P0-4_Required_Maturity'!$A$2:$I$12,9,FALSE),3))</f>
        <v/>
      </c>
      <c r="N60" s="6">
        <f>IF(OR(E60="",M60=""),"",M60-E60)</f>
        <v/>
      </c>
      <c r="O60" s="6">
        <f>IF(D60="N","N/A",IF(OR(E60="",F60="",H60=""),"INCOMPLETE",IF(AND(L60&gt;=80,H60="E0"),"REVIEW",IF(AND(L60&gt;=80,OR(I60="N",J60="N")),"CORROBORATION REVIEW","OK"))))</f>
        <v/>
      </c>
      <c r="P60" s="6" t="n"/>
    </row>
    <row r="61">
      <c r="A61" s="8" t="inlineStr">
        <is>
          <t>D05</t>
        </is>
      </c>
      <c r="B61" s="8" t="inlineStr">
        <is>
          <t>I07</t>
        </is>
      </c>
      <c r="C61" s="8" t="inlineStr">
        <is>
          <t>AI Research &amp; Knowledge Creation</t>
        </is>
      </c>
      <c r="D61" s="8" t="inlineStr">
        <is>
          <t>Y</t>
        </is>
      </c>
      <c r="E61" s="6" t="n"/>
      <c r="F61" s="6" t="n"/>
      <c r="G61" s="6" t="n"/>
      <c r="H61" s="8" t="inlineStr">
        <is>
          <t>E0</t>
        </is>
      </c>
      <c r="I61" s="8" t="inlineStr">
        <is>
          <t>N</t>
        </is>
      </c>
      <c r="J61" s="8" t="inlineStr">
        <is>
          <t>N</t>
        </is>
      </c>
      <c r="K61" s="6">
        <f>IF(H61="E0",0.20,IF(H61="E1",0.40,IF(H61="E2",0.65,IF(H61="E3",0.85,IF(H61="E4",1.00,0)))))</f>
        <v/>
      </c>
      <c r="L61" s="6">
        <f>IF(D61="N","",IF(OR(E61="",F61=""),"",IF(G61="N/A",100*((0.60*E61)+(0.40*F61))/5,IF(G61="",100*((0.60*E61)+(0.40*F61))/5,100*((0.45*E61)+(0.30*F61)+(0.25*G61))/5))))</f>
        <v/>
      </c>
      <c r="M61" s="6">
        <f>IF(D61="N","",IFERROR(VLOOKUP(A61,'P0-4_Required_Maturity'!$A$2:$I$12,9,FALSE),3))</f>
        <v/>
      </c>
      <c r="N61" s="6">
        <f>IF(OR(E61="",M61=""),"",M61-E61)</f>
        <v/>
      </c>
      <c r="O61" s="6">
        <f>IF(D61="N","N/A",IF(OR(E61="",F61="",H61=""),"INCOMPLETE",IF(AND(L61&gt;=80,H61="E0"),"REVIEW",IF(AND(L61&gt;=80,OR(I61="N",J61="N")),"CORROBORATION REVIEW","OK"))))</f>
        <v/>
      </c>
      <c r="P61" s="6" t="n"/>
    </row>
    <row r="62">
      <c r="A62" s="8" t="inlineStr">
        <is>
          <t>D05</t>
        </is>
      </c>
      <c r="B62" s="8" t="inlineStr">
        <is>
          <t>I08</t>
        </is>
      </c>
      <c r="C62" s="8" t="inlineStr">
        <is>
          <t>Academic Role Redesign</t>
        </is>
      </c>
      <c r="D62" s="8" t="inlineStr">
        <is>
          <t>Y</t>
        </is>
      </c>
      <c r="E62" s="6" t="n"/>
      <c r="F62" s="6" t="n"/>
      <c r="G62" s="6" t="n"/>
      <c r="H62" s="8" t="inlineStr">
        <is>
          <t>E0</t>
        </is>
      </c>
      <c r="I62" s="8" t="inlineStr">
        <is>
          <t>N</t>
        </is>
      </c>
      <c r="J62" s="8" t="inlineStr">
        <is>
          <t>N</t>
        </is>
      </c>
      <c r="K62" s="6">
        <f>IF(H62="E0",0.20,IF(H62="E1",0.40,IF(H62="E2",0.65,IF(H62="E3",0.85,IF(H62="E4",1.00,0)))))</f>
        <v/>
      </c>
      <c r="L62" s="6">
        <f>IF(D62="N","",IF(OR(E62="",F62=""),"",IF(G62="N/A",100*((0.60*E62)+(0.40*F62))/5,IF(G62="",100*((0.60*E62)+(0.40*F62))/5,100*((0.45*E62)+(0.30*F62)+(0.25*G62))/5))))</f>
        <v/>
      </c>
      <c r="M62" s="6">
        <f>IF(D62="N","",IFERROR(VLOOKUP(A62,'P0-4_Required_Maturity'!$A$2:$I$12,9,FALSE),3))</f>
        <v/>
      </c>
      <c r="N62" s="6">
        <f>IF(OR(E62="",M62=""),"",M62-E62)</f>
        <v/>
      </c>
      <c r="O62" s="6">
        <f>IF(D62="N","N/A",IF(OR(E62="",F62="",H62=""),"INCOMPLETE",IF(AND(L62&gt;=80,H62="E0"),"REVIEW",IF(AND(L62&gt;=80,OR(I62="N",J62="N")),"CORROBORATION REVIEW","OK"))))</f>
        <v/>
      </c>
      <c r="P62" s="6" t="n"/>
    </row>
    <row r="63">
      <c r="A63" s="8" t="inlineStr">
        <is>
          <t>D05</t>
        </is>
      </c>
      <c r="B63" s="8" t="inlineStr">
        <is>
          <t>I09</t>
        </is>
      </c>
      <c r="C63" s="8" t="inlineStr">
        <is>
          <t>Workload &amp; Workflow Transformation</t>
        </is>
      </c>
      <c r="D63" s="8" t="inlineStr">
        <is>
          <t>Y</t>
        </is>
      </c>
      <c r="E63" s="6" t="n"/>
      <c r="F63" s="6" t="n"/>
      <c r="G63" s="6" t="n"/>
      <c r="H63" s="8" t="inlineStr">
        <is>
          <t>E0</t>
        </is>
      </c>
      <c r="I63" s="8" t="inlineStr">
        <is>
          <t>N</t>
        </is>
      </c>
      <c r="J63" s="8" t="inlineStr">
        <is>
          <t>N</t>
        </is>
      </c>
      <c r="K63" s="6">
        <f>IF(H63="E0",0.20,IF(H63="E1",0.40,IF(H63="E2",0.65,IF(H63="E3",0.85,IF(H63="E4",1.00,0)))))</f>
        <v/>
      </c>
      <c r="L63" s="6">
        <f>IF(D63="N","",IF(OR(E63="",F63=""),"",IF(G63="N/A",100*((0.60*E63)+(0.40*F63))/5,IF(G63="",100*((0.60*E63)+(0.40*F63))/5,100*((0.45*E63)+(0.30*F63)+(0.25*G63))/5))))</f>
        <v/>
      </c>
      <c r="M63" s="6">
        <f>IF(D63="N","",IFERROR(VLOOKUP(A63,'P0-4_Required_Maturity'!$A$2:$I$12,9,FALSE),3))</f>
        <v/>
      </c>
      <c r="N63" s="6">
        <f>IF(OR(E63="",M63=""),"",M63-E63)</f>
        <v/>
      </c>
      <c r="O63" s="6">
        <f>IF(D63="N","N/A",IF(OR(E63="",F63="",H63=""),"INCOMPLETE",IF(AND(L63&gt;=80,H63="E0"),"REVIEW",IF(AND(L63&gt;=80,OR(I63="N",J63="N")),"CORROBORATION REVIEW","OK"))))</f>
        <v/>
      </c>
      <c r="P63" s="6" t="n"/>
    </row>
    <row r="64">
      <c r="A64" s="8" t="inlineStr">
        <is>
          <t>D05</t>
        </is>
      </c>
      <c r="B64" s="8" t="inlineStr">
        <is>
          <t>I10</t>
        </is>
      </c>
      <c r="C64" s="8" t="inlineStr">
        <is>
          <t>Faculty Support Infrastructure</t>
        </is>
      </c>
      <c r="D64" s="8" t="inlineStr">
        <is>
          <t>Y</t>
        </is>
      </c>
      <c r="E64" s="6" t="n"/>
      <c r="F64" s="6" t="n"/>
      <c r="G64" s="6" t="n"/>
      <c r="H64" s="8" t="inlineStr">
        <is>
          <t>E0</t>
        </is>
      </c>
      <c r="I64" s="8" t="inlineStr">
        <is>
          <t>N</t>
        </is>
      </c>
      <c r="J64" s="8" t="inlineStr">
        <is>
          <t>N</t>
        </is>
      </c>
      <c r="K64" s="6">
        <f>IF(H64="E0",0.20,IF(H64="E1",0.40,IF(H64="E2",0.65,IF(H64="E3",0.85,IF(H64="E4",1.00,0)))))</f>
        <v/>
      </c>
      <c r="L64" s="6">
        <f>IF(D64="N","",IF(OR(E64="",F64=""),"",IF(G64="N/A",100*((0.60*E64)+(0.40*F64))/5,IF(G64="",100*((0.60*E64)+(0.40*F64))/5,100*((0.45*E64)+(0.30*F64)+(0.25*G64))/5))))</f>
        <v/>
      </c>
      <c r="M64" s="6">
        <f>IF(D64="N","",IFERROR(VLOOKUP(A64,'P0-4_Required_Maturity'!$A$2:$I$12,9,FALSE),3))</f>
        <v/>
      </c>
      <c r="N64" s="6">
        <f>IF(OR(E64="",M64=""),"",M64-E64)</f>
        <v/>
      </c>
      <c r="O64" s="6">
        <f>IF(D64="N","N/A",IF(OR(E64="",F64="",H64=""),"INCOMPLETE",IF(AND(L64&gt;=80,H64="E0"),"REVIEW",IF(AND(L64&gt;=80,OR(I64="N",J64="N")),"CORROBORATION REVIEW","OK"))))</f>
        <v/>
      </c>
      <c r="P64" s="6" t="n"/>
    </row>
    <row r="65">
      <c r="A65" s="8" t="inlineStr">
        <is>
          <t>D05</t>
        </is>
      </c>
      <c r="B65" s="8" t="inlineStr">
        <is>
          <t>I11</t>
        </is>
      </c>
      <c r="C65" s="8" t="inlineStr">
        <is>
          <t>Academic Leadership for AI</t>
        </is>
      </c>
      <c r="D65" s="8" t="inlineStr">
        <is>
          <t>Y</t>
        </is>
      </c>
      <c r="E65" s="6" t="n"/>
      <c r="F65" s="6" t="n"/>
      <c r="G65" s="6" t="n"/>
      <c r="H65" s="8" t="inlineStr">
        <is>
          <t>E0</t>
        </is>
      </c>
      <c r="I65" s="8" t="inlineStr">
        <is>
          <t>N</t>
        </is>
      </c>
      <c r="J65" s="8" t="inlineStr">
        <is>
          <t>N</t>
        </is>
      </c>
      <c r="K65" s="6">
        <f>IF(H65="E0",0.20,IF(H65="E1",0.40,IF(H65="E2",0.65,IF(H65="E3",0.85,IF(H65="E4",1.00,0)))))</f>
        <v/>
      </c>
      <c r="L65" s="6">
        <f>IF(D65="N","",IF(OR(E65="",F65=""),"",IF(G65="N/A",100*((0.60*E65)+(0.40*F65))/5,IF(G65="",100*((0.60*E65)+(0.40*F65))/5,100*((0.45*E65)+(0.30*F65)+(0.25*G65))/5))))</f>
        <v/>
      </c>
      <c r="M65" s="6">
        <f>IF(D65="N","",IFERROR(VLOOKUP(A65,'P0-4_Required_Maturity'!$A$2:$I$12,9,FALSE),3))</f>
        <v/>
      </c>
      <c r="N65" s="6">
        <f>IF(OR(E65="",M65=""),"",M65-E65)</f>
        <v/>
      </c>
      <c r="O65" s="6">
        <f>IF(D65="N","N/A",IF(OR(E65="",F65="",H65=""),"INCOMPLETE",IF(AND(L65&gt;=80,H65="E0"),"REVIEW",IF(AND(L65&gt;=80,OR(I65="N",J65="N")),"CORROBORATION REVIEW","OK"))))</f>
        <v/>
      </c>
      <c r="P65" s="6" t="n"/>
    </row>
    <row r="66">
      <c r="A66" s="8" t="inlineStr">
        <is>
          <t>D05</t>
        </is>
      </c>
      <c r="B66" s="8" t="inlineStr">
        <is>
          <t>I12</t>
        </is>
      </c>
      <c r="C66" s="8" t="inlineStr">
        <is>
          <t>Faculty Adoption Learning Loop</t>
        </is>
      </c>
      <c r="D66" s="8" t="inlineStr">
        <is>
          <t>Y</t>
        </is>
      </c>
      <c r="E66" s="6" t="n"/>
      <c r="F66" s="6" t="n"/>
      <c r="G66" s="6" t="n"/>
      <c r="H66" s="8" t="inlineStr">
        <is>
          <t>E0</t>
        </is>
      </c>
      <c r="I66" s="8" t="inlineStr">
        <is>
          <t>N</t>
        </is>
      </c>
      <c r="J66" s="8" t="inlineStr">
        <is>
          <t>N</t>
        </is>
      </c>
      <c r="K66" s="6">
        <f>IF(H66="E0",0.20,IF(H66="E1",0.40,IF(H66="E2",0.65,IF(H66="E3",0.85,IF(H66="E4",1.00,0)))))</f>
        <v/>
      </c>
      <c r="L66" s="6">
        <f>IF(D66="N","",IF(OR(E66="",F66=""),"",IF(G66="N/A",100*((0.60*E66)+(0.40*F66))/5,IF(G66="",100*((0.60*E66)+(0.40*F66))/5,100*((0.45*E66)+(0.30*F66)+(0.25*G66))/5))))</f>
        <v/>
      </c>
      <c r="M66" s="6">
        <f>IF(D66="N","",IFERROR(VLOOKUP(A66,'P0-4_Required_Maturity'!$A$2:$I$12,9,FALSE),3))</f>
        <v/>
      </c>
      <c r="N66" s="6">
        <f>IF(OR(E66="",M66=""),"",M66-E66)</f>
        <v/>
      </c>
      <c r="O66" s="6">
        <f>IF(D66="N","N/A",IF(OR(E66="",F66="",H66=""),"INCOMPLETE",IF(AND(L66&gt;=80,H66="E0"),"REVIEW",IF(AND(L66&gt;=80,OR(I66="N",J66="N")),"CORROBORATION REVIEW","OK"))))</f>
        <v/>
      </c>
      <c r="P66" s="6" t="n"/>
    </row>
    <row r="67">
      <c r="A67" s="8" t="inlineStr">
        <is>
          <t>D06</t>
        </is>
      </c>
      <c r="B67" s="8" t="inlineStr">
        <is>
          <t>I01</t>
        </is>
      </c>
      <c r="C67" s="8" t="inlineStr">
        <is>
          <t>Student AI Literacy</t>
        </is>
      </c>
      <c r="D67" s="8" t="inlineStr">
        <is>
          <t>Y</t>
        </is>
      </c>
      <c r="E67" s="6" t="n"/>
      <c r="F67" s="6" t="n"/>
      <c r="G67" s="6" t="n"/>
      <c r="H67" s="8" t="inlineStr">
        <is>
          <t>E0</t>
        </is>
      </c>
      <c r="I67" s="8" t="inlineStr">
        <is>
          <t>N</t>
        </is>
      </c>
      <c r="J67" s="8" t="inlineStr">
        <is>
          <t>N</t>
        </is>
      </c>
      <c r="K67" s="6">
        <f>IF(H67="E0",0.20,IF(H67="E1",0.40,IF(H67="E2",0.65,IF(H67="E3",0.85,IF(H67="E4",1.00,0)))))</f>
        <v/>
      </c>
      <c r="L67" s="6">
        <f>IF(D67="N","",IF(OR(E67="",F67=""),"",IF(G67="N/A",100*((0.60*E67)+(0.40*F67))/5,IF(G67="",100*((0.60*E67)+(0.40*F67))/5,100*((0.45*E67)+(0.30*F67)+(0.25*G67))/5))))</f>
        <v/>
      </c>
      <c r="M67" s="6">
        <f>IF(D67="N","",IFERROR(VLOOKUP(A67,'P0-4_Required_Maturity'!$A$2:$I$12,9,FALSE),3))</f>
        <v/>
      </c>
      <c r="N67" s="6">
        <f>IF(OR(E67="",M67=""),"",M67-E67)</f>
        <v/>
      </c>
      <c r="O67" s="6">
        <f>IF(D67="N","N/A",IF(OR(E67="",F67="",H67=""),"INCOMPLETE",IF(AND(L67&gt;=80,H67="E0"),"REVIEW",IF(AND(L67&gt;=80,OR(I67="N",J67="N")),"CORROBORATION REVIEW","OK"))))</f>
        <v/>
      </c>
      <c r="P67" s="6" t="n"/>
    </row>
    <row r="68">
      <c r="A68" s="8" t="inlineStr">
        <is>
          <t>D06</t>
        </is>
      </c>
      <c r="B68" s="8" t="inlineStr">
        <is>
          <t>I02</t>
        </is>
      </c>
      <c r="C68" s="8" t="inlineStr">
        <is>
          <t>Critical AI Evaluation</t>
        </is>
      </c>
      <c r="D68" s="8" t="inlineStr">
        <is>
          <t>Y</t>
        </is>
      </c>
      <c r="E68" s="6" t="n"/>
      <c r="F68" s="6" t="n"/>
      <c r="G68" s="6" t="n"/>
      <c r="H68" s="8" t="inlineStr">
        <is>
          <t>E0</t>
        </is>
      </c>
      <c r="I68" s="8" t="inlineStr">
        <is>
          <t>N</t>
        </is>
      </c>
      <c r="J68" s="8" t="inlineStr">
        <is>
          <t>N</t>
        </is>
      </c>
      <c r="K68" s="6">
        <f>IF(H68="E0",0.20,IF(H68="E1",0.40,IF(H68="E2",0.65,IF(H68="E3",0.85,IF(H68="E4",1.00,0)))))</f>
        <v/>
      </c>
      <c r="L68" s="6">
        <f>IF(D68="N","",IF(OR(E68="",F68=""),"",IF(G68="N/A",100*((0.60*E68)+(0.40*F68))/5,IF(G68="",100*((0.60*E68)+(0.40*F68))/5,100*((0.45*E68)+(0.30*F68)+(0.25*G68))/5))))</f>
        <v/>
      </c>
      <c r="M68" s="6">
        <f>IF(D68="N","",IFERROR(VLOOKUP(A68,'P0-4_Required_Maturity'!$A$2:$I$12,9,FALSE),3))</f>
        <v/>
      </c>
      <c r="N68" s="6">
        <f>IF(OR(E68="",M68=""),"",M68-E68)</f>
        <v/>
      </c>
      <c r="O68" s="6">
        <f>IF(D68="N","N/A",IF(OR(E68="",F68="",H68=""),"INCOMPLETE",IF(AND(L68&gt;=80,H68="E0"),"REVIEW",IF(AND(L68&gt;=80,OR(I68="N",J68="N")),"CORROBORATION REVIEW","OK"))))</f>
        <v/>
      </c>
      <c r="P68" s="6" t="n"/>
    </row>
    <row r="69">
      <c r="A69" s="8" t="inlineStr">
        <is>
          <t>D06</t>
        </is>
      </c>
      <c r="B69" s="8" t="inlineStr">
        <is>
          <t>I03</t>
        </is>
      </c>
      <c r="C69" s="8" t="inlineStr">
        <is>
          <t>Learning Agency</t>
        </is>
      </c>
      <c r="D69" s="8" t="inlineStr">
        <is>
          <t>Y</t>
        </is>
      </c>
      <c r="E69" s="6" t="n"/>
      <c r="F69" s="6" t="n"/>
      <c r="G69" s="6" t="n"/>
      <c r="H69" s="8" t="inlineStr">
        <is>
          <t>E0</t>
        </is>
      </c>
      <c r="I69" s="8" t="inlineStr">
        <is>
          <t>N</t>
        </is>
      </c>
      <c r="J69" s="8" t="inlineStr">
        <is>
          <t>N</t>
        </is>
      </c>
      <c r="K69" s="6">
        <f>IF(H69="E0",0.20,IF(H69="E1",0.40,IF(H69="E2",0.65,IF(H69="E3",0.85,IF(H69="E4",1.00,0)))))</f>
        <v/>
      </c>
      <c r="L69" s="6">
        <f>IF(D69="N","",IF(OR(E69="",F69=""),"",IF(G69="N/A",100*((0.60*E69)+(0.40*F69))/5,IF(G69="",100*((0.60*E69)+(0.40*F69))/5,100*((0.45*E69)+(0.30*F69)+(0.25*G69))/5))))</f>
        <v/>
      </c>
      <c r="M69" s="6">
        <f>IF(D69="N","",IFERROR(VLOOKUP(A69,'P0-4_Required_Maturity'!$A$2:$I$12,9,FALSE),3))</f>
        <v/>
      </c>
      <c r="N69" s="6">
        <f>IF(OR(E69="",M69=""),"",M69-E69)</f>
        <v/>
      </c>
      <c r="O69" s="6">
        <f>IF(D69="N","N/A",IF(OR(E69="",F69="",H69=""),"INCOMPLETE",IF(AND(L69&gt;=80,H69="E0"),"REVIEW",IF(AND(L69&gt;=80,OR(I69="N",J69="N")),"CORROBORATION REVIEW","OK"))))</f>
        <v/>
      </c>
      <c r="P69" s="6" t="n"/>
    </row>
    <row r="70">
      <c r="A70" s="8" t="inlineStr">
        <is>
          <t>D06</t>
        </is>
      </c>
      <c r="B70" s="8" t="inlineStr">
        <is>
          <t>I04</t>
        </is>
      </c>
      <c r="C70" s="8" t="inlineStr">
        <is>
          <t>Independent Intellectual Agency</t>
        </is>
      </c>
      <c r="D70" s="8" t="inlineStr">
        <is>
          <t>Y</t>
        </is>
      </c>
      <c r="E70" s="6" t="n"/>
      <c r="F70" s="6" t="n"/>
      <c r="G70" s="6" t="n"/>
      <c r="H70" s="8" t="inlineStr">
        <is>
          <t>E0</t>
        </is>
      </c>
      <c r="I70" s="8" t="inlineStr">
        <is>
          <t>N</t>
        </is>
      </c>
      <c r="J70" s="8" t="inlineStr">
        <is>
          <t>N</t>
        </is>
      </c>
      <c r="K70" s="6">
        <f>IF(H70="E0",0.20,IF(H70="E1",0.40,IF(H70="E2",0.65,IF(H70="E3",0.85,IF(H70="E4",1.00,0)))))</f>
        <v/>
      </c>
      <c r="L70" s="6">
        <f>IF(D70="N","",IF(OR(E70="",F70=""),"",IF(G70="N/A",100*((0.60*E70)+(0.40*F70))/5,IF(G70="",100*((0.60*E70)+(0.40*F70))/5,100*((0.45*E70)+(0.30*F70)+(0.25*G70))/5))))</f>
        <v/>
      </c>
      <c r="M70" s="6">
        <f>IF(D70="N","",IFERROR(VLOOKUP(A70,'P0-4_Required_Maturity'!$A$2:$I$12,9,FALSE),3))</f>
        <v/>
      </c>
      <c r="N70" s="6">
        <f>IF(OR(E70="",M70=""),"",M70-E70)</f>
        <v/>
      </c>
      <c r="O70" s="6">
        <f>IF(D70="N","N/A",IF(OR(E70="",F70="",H70=""),"INCOMPLETE",IF(AND(L70&gt;=80,H70="E0"),"REVIEW",IF(AND(L70&gt;=80,OR(I70="N",J70="N")),"CORROBORATION REVIEW","OK"))))</f>
        <v/>
      </c>
      <c r="P70" s="6" t="n"/>
    </row>
    <row r="71">
      <c r="A71" s="8" t="inlineStr">
        <is>
          <t>D06</t>
        </is>
      </c>
      <c r="B71" s="8" t="inlineStr">
        <is>
          <t>I05</t>
        </is>
      </c>
      <c r="C71" s="8" t="inlineStr">
        <is>
          <t>Communication &amp; Defence</t>
        </is>
      </c>
      <c r="D71" s="8" t="inlineStr">
        <is>
          <t>Y</t>
        </is>
      </c>
      <c r="E71" s="6" t="n"/>
      <c r="F71" s="6" t="n"/>
      <c r="G71" s="6" t="n"/>
      <c r="H71" s="8" t="inlineStr">
        <is>
          <t>E0</t>
        </is>
      </c>
      <c r="I71" s="8" t="inlineStr">
        <is>
          <t>N</t>
        </is>
      </c>
      <c r="J71" s="8" t="inlineStr">
        <is>
          <t>N</t>
        </is>
      </c>
      <c r="K71" s="6">
        <f>IF(H71="E0",0.20,IF(H71="E1",0.40,IF(H71="E2",0.65,IF(H71="E3",0.85,IF(H71="E4",1.00,0)))))</f>
        <v/>
      </c>
      <c r="L71" s="6">
        <f>IF(D71="N","",IF(OR(E71="",F71=""),"",IF(G71="N/A",100*((0.60*E71)+(0.40*F71))/5,IF(G71="",100*((0.60*E71)+(0.40*F71))/5,100*((0.45*E71)+(0.30*F71)+(0.25*G71))/5))))</f>
        <v/>
      </c>
      <c r="M71" s="6">
        <f>IF(D71="N","",IFERROR(VLOOKUP(A71,'P0-4_Required_Maturity'!$A$2:$I$12,9,FALSE),3))</f>
        <v/>
      </c>
      <c r="N71" s="6">
        <f>IF(OR(E71="",M71=""),"",M71-E71)</f>
        <v/>
      </c>
      <c r="O71" s="6">
        <f>IF(D71="N","N/A",IF(OR(E71="",F71="",H71=""),"INCOMPLETE",IF(AND(L71&gt;=80,H71="E0"),"REVIEW",IF(AND(L71&gt;=80,OR(I71="N",J71="N")),"CORROBORATION REVIEW","OK"))))</f>
        <v/>
      </c>
      <c r="P71" s="6" t="n"/>
    </row>
    <row r="72">
      <c r="A72" s="8" t="inlineStr">
        <is>
          <t>D06</t>
        </is>
      </c>
      <c r="B72" s="8" t="inlineStr">
        <is>
          <t>I06</t>
        </is>
      </c>
      <c r="C72" s="8" t="inlineStr">
        <is>
          <t>Collaboration Capability</t>
        </is>
      </c>
      <c r="D72" s="8" t="inlineStr">
        <is>
          <t>Y</t>
        </is>
      </c>
      <c r="E72" s="6" t="n"/>
      <c r="F72" s="6" t="n"/>
      <c r="G72" s="6" t="n"/>
      <c r="H72" s="8" t="inlineStr">
        <is>
          <t>E0</t>
        </is>
      </c>
      <c r="I72" s="8" t="inlineStr">
        <is>
          <t>N</t>
        </is>
      </c>
      <c r="J72" s="8" t="inlineStr">
        <is>
          <t>N</t>
        </is>
      </c>
      <c r="K72" s="6">
        <f>IF(H72="E0",0.20,IF(H72="E1",0.40,IF(H72="E2",0.65,IF(H72="E3",0.85,IF(H72="E4",1.00,0)))))</f>
        <v/>
      </c>
      <c r="L72" s="6">
        <f>IF(D72="N","",IF(OR(E72="",F72=""),"",IF(G72="N/A",100*((0.60*E72)+(0.40*F72))/5,IF(G72="",100*((0.60*E72)+(0.40*F72))/5,100*((0.45*E72)+(0.30*F72)+(0.25*G72))/5))))</f>
        <v/>
      </c>
      <c r="M72" s="6">
        <f>IF(D72="N","",IFERROR(VLOOKUP(A72,'P0-4_Required_Maturity'!$A$2:$I$12,9,FALSE),3))</f>
        <v/>
      </c>
      <c r="N72" s="6">
        <f>IF(OR(E72="",M72=""),"",M72-E72)</f>
        <v/>
      </c>
      <c r="O72" s="6">
        <f>IF(D72="N","N/A",IF(OR(E72="",F72="",H72=""),"INCOMPLETE",IF(AND(L72&gt;=80,H72="E0"),"REVIEW",IF(AND(L72&gt;=80,OR(I72="N",J72="N")),"CORROBORATION REVIEW","OK"))))</f>
        <v/>
      </c>
      <c r="P72" s="6" t="n"/>
    </row>
    <row r="73">
      <c r="A73" s="8" t="inlineStr">
        <is>
          <t>D06</t>
        </is>
      </c>
      <c r="B73" s="8" t="inlineStr">
        <is>
          <t>I07</t>
        </is>
      </c>
      <c r="C73" s="8" t="inlineStr">
        <is>
          <t>Practical Capability</t>
        </is>
      </c>
      <c r="D73" s="8" t="inlineStr">
        <is>
          <t>Y</t>
        </is>
      </c>
      <c r="E73" s="6" t="n"/>
      <c r="F73" s="6" t="n"/>
      <c r="G73" s="6" t="n"/>
      <c r="H73" s="8" t="inlineStr">
        <is>
          <t>E0</t>
        </is>
      </c>
      <c r="I73" s="8" t="inlineStr">
        <is>
          <t>N</t>
        </is>
      </c>
      <c r="J73" s="8" t="inlineStr">
        <is>
          <t>N</t>
        </is>
      </c>
      <c r="K73" s="6">
        <f>IF(H73="E0",0.20,IF(H73="E1",0.40,IF(H73="E2",0.65,IF(H73="E3",0.85,IF(H73="E4",1.00,0)))))</f>
        <v/>
      </c>
      <c r="L73" s="6">
        <f>IF(D73="N","",IF(OR(E73="",F73=""),"",IF(G73="N/A",100*((0.60*E73)+(0.40*F73))/5,IF(G73="",100*((0.60*E73)+(0.40*F73))/5,100*((0.45*E73)+(0.30*F73)+(0.25*G73))/5))))</f>
        <v/>
      </c>
      <c r="M73" s="6">
        <f>IF(D73="N","",IFERROR(VLOOKUP(A73,'P0-4_Required_Maturity'!$A$2:$I$12,9,FALSE),3))</f>
        <v/>
      </c>
      <c r="N73" s="6">
        <f>IF(OR(E73="",M73=""),"",M73-E73)</f>
        <v/>
      </c>
      <c r="O73" s="6">
        <f>IF(D73="N","N/A",IF(OR(E73="",F73="",H73=""),"INCOMPLETE",IF(AND(L73&gt;=80,H73="E0"),"REVIEW",IF(AND(L73&gt;=80,OR(I73="N",J73="N")),"CORROBORATION REVIEW","OK"))))</f>
        <v/>
      </c>
      <c r="P73" s="6" t="n"/>
    </row>
    <row r="74">
      <c r="A74" s="8" t="inlineStr">
        <is>
          <t>D06</t>
        </is>
      </c>
      <c r="B74" s="8" t="inlineStr">
        <is>
          <t>I08</t>
        </is>
      </c>
      <c r="C74" s="8" t="inlineStr">
        <is>
          <t>Career Adaptability</t>
        </is>
      </c>
      <c r="D74" s="8" t="inlineStr">
        <is>
          <t>Y</t>
        </is>
      </c>
      <c r="E74" s="6" t="n"/>
      <c r="F74" s="6" t="n"/>
      <c r="G74" s="6" t="n"/>
      <c r="H74" s="8" t="inlineStr">
        <is>
          <t>E0</t>
        </is>
      </c>
      <c r="I74" s="8" t="inlineStr">
        <is>
          <t>N</t>
        </is>
      </c>
      <c r="J74" s="8" t="inlineStr">
        <is>
          <t>N</t>
        </is>
      </c>
      <c r="K74" s="6">
        <f>IF(H74="E0",0.20,IF(H74="E1",0.40,IF(H74="E2",0.65,IF(H74="E3",0.85,IF(H74="E4",1.00,0)))))</f>
        <v/>
      </c>
      <c r="L74" s="6">
        <f>IF(D74="N","",IF(OR(E74="",F74=""),"",IF(G74="N/A",100*((0.60*E74)+(0.40*F74))/5,IF(G74="",100*((0.60*E74)+(0.40*F74))/5,100*((0.45*E74)+(0.30*F74)+(0.25*G74))/5))))</f>
        <v/>
      </c>
      <c r="M74" s="6">
        <f>IF(D74="N","",IFERROR(VLOOKUP(A74,'P0-4_Required_Maturity'!$A$2:$I$12,9,FALSE),3))</f>
        <v/>
      </c>
      <c r="N74" s="6">
        <f>IF(OR(E74="",M74=""),"",M74-E74)</f>
        <v/>
      </c>
      <c r="O74" s="6">
        <f>IF(D74="N","N/A",IF(OR(E74="",F74="",H74=""),"INCOMPLETE",IF(AND(L74&gt;=80,H74="E0"),"REVIEW",IF(AND(L74&gt;=80,OR(I74="N",J74="N")),"CORROBORATION REVIEW","OK"))))</f>
        <v/>
      </c>
      <c r="P74" s="6" t="n"/>
    </row>
    <row r="75">
      <c r="A75" s="8" t="inlineStr">
        <is>
          <t>D06</t>
        </is>
      </c>
      <c r="B75" s="8" t="inlineStr">
        <is>
          <t>I09</t>
        </is>
      </c>
      <c r="C75" s="8" t="inlineStr">
        <is>
          <t>Portfolio &amp; Capability Signalling</t>
        </is>
      </c>
      <c r="D75" s="8" t="inlineStr">
        <is>
          <t>Y</t>
        </is>
      </c>
      <c r="E75" s="6" t="n"/>
      <c r="F75" s="6" t="n"/>
      <c r="G75" s="6" t="n"/>
      <c r="H75" s="8" t="inlineStr">
        <is>
          <t>E0</t>
        </is>
      </c>
      <c r="I75" s="8" t="inlineStr">
        <is>
          <t>N</t>
        </is>
      </c>
      <c r="J75" s="8" t="inlineStr">
        <is>
          <t>N</t>
        </is>
      </c>
      <c r="K75" s="6">
        <f>IF(H75="E0",0.20,IF(H75="E1",0.40,IF(H75="E2",0.65,IF(H75="E3",0.85,IF(H75="E4",1.00,0)))))</f>
        <v/>
      </c>
      <c r="L75" s="6">
        <f>IF(D75="N","",IF(OR(E75="",F75=""),"",IF(G75="N/A",100*((0.60*E75)+(0.40*F75))/5,IF(G75="",100*((0.60*E75)+(0.40*F75))/5,100*((0.45*E75)+(0.30*F75)+(0.25*G75))/5))))</f>
        <v/>
      </c>
      <c r="M75" s="6">
        <f>IF(D75="N","",IFERROR(VLOOKUP(A75,'P0-4_Required_Maturity'!$A$2:$I$12,9,FALSE),3))</f>
        <v/>
      </c>
      <c r="N75" s="6">
        <f>IF(OR(E75="",M75=""),"",M75-E75)</f>
        <v/>
      </c>
      <c r="O75" s="6">
        <f>IF(D75="N","N/A",IF(OR(E75="",F75="",H75=""),"INCOMPLETE",IF(AND(L75&gt;=80,H75="E0"),"REVIEW",IF(AND(L75&gt;=80,OR(I75="N",J75="N")),"CORROBORATION REVIEW","OK"))))</f>
        <v/>
      </c>
      <c r="P75" s="6" t="n"/>
    </row>
    <row r="76">
      <c r="A76" s="8" t="inlineStr">
        <is>
          <t>D06</t>
        </is>
      </c>
      <c r="B76" s="8" t="inlineStr">
        <is>
          <t>I10</t>
        </is>
      </c>
      <c r="C76" s="8" t="inlineStr">
        <is>
          <t>Problem Solving &amp; Transfer</t>
        </is>
      </c>
      <c r="D76" s="8" t="inlineStr">
        <is>
          <t>Y</t>
        </is>
      </c>
      <c r="E76" s="6" t="n"/>
      <c r="F76" s="6" t="n"/>
      <c r="G76" s="6" t="n"/>
      <c r="H76" s="8" t="inlineStr">
        <is>
          <t>E0</t>
        </is>
      </c>
      <c r="I76" s="8" t="inlineStr">
        <is>
          <t>N</t>
        </is>
      </c>
      <c r="J76" s="8" t="inlineStr">
        <is>
          <t>N</t>
        </is>
      </c>
      <c r="K76" s="6">
        <f>IF(H76="E0",0.20,IF(H76="E1",0.40,IF(H76="E2",0.65,IF(H76="E3",0.85,IF(H76="E4",1.00,0)))))</f>
        <v/>
      </c>
      <c r="L76" s="6">
        <f>IF(D76="N","",IF(OR(E76="",F76=""),"",IF(G76="N/A",100*((0.60*E76)+(0.40*F76))/5,IF(G76="",100*((0.60*E76)+(0.40*F76))/5,100*((0.45*E76)+(0.30*F76)+(0.25*G76))/5))))</f>
        <v/>
      </c>
      <c r="M76" s="6">
        <f>IF(D76="N","",IFERROR(VLOOKUP(A76,'P0-4_Required_Maturity'!$A$2:$I$12,9,FALSE),3))</f>
        <v/>
      </c>
      <c r="N76" s="6">
        <f>IF(OR(E76="",M76=""),"",M76-E76)</f>
        <v/>
      </c>
      <c r="O76" s="6">
        <f>IF(D76="N","N/A",IF(OR(E76="",F76="",H76=""),"INCOMPLETE",IF(AND(L76&gt;=80,H76="E0"),"REVIEW",IF(AND(L76&gt;=80,OR(I76="N",J76="N")),"CORROBORATION REVIEW","OK"))))</f>
        <v/>
      </c>
      <c r="P76" s="6" t="n"/>
    </row>
    <row r="77">
      <c r="A77" s="8" t="inlineStr">
        <is>
          <t>D06</t>
        </is>
      </c>
      <c r="B77" s="8" t="inlineStr">
        <is>
          <t>I11</t>
        </is>
      </c>
      <c r="C77" s="8" t="inlineStr">
        <is>
          <t>Creator &amp; Entrepreneurial Agency</t>
        </is>
      </c>
      <c r="D77" s="8" t="inlineStr">
        <is>
          <t>Y</t>
        </is>
      </c>
      <c r="E77" s="6" t="n"/>
      <c r="F77" s="6" t="n"/>
      <c r="G77" s="6" t="n"/>
      <c r="H77" s="8" t="inlineStr">
        <is>
          <t>E0</t>
        </is>
      </c>
      <c r="I77" s="8" t="inlineStr">
        <is>
          <t>N</t>
        </is>
      </c>
      <c r="J77" s="8" t="inlineStr">
        <is>
          <t>N</t>
        </is>
      </c>
      <c r="K77" s="6">
        <f>IF(H77="E0",0.20,IF(H77="E1",0.40,IF(H77="E2",0.65,IF(H77="E3",0.85,IF(H77="E4",1.00,0)))))</f>
        <v/>
      </c>
      <c r="L77" s="6">
        <f>IF(D77="N","",IF(OR(E77="",F77=""),"",IF(G77="N/A",100*((0.60*E77)+(0.40*F77))/5,IF(G77="",100*((0.60*E77)+(0.40*F77))/5,100*((0.45*E77)+(0.30*F77)+(0.25*G77))/5))))</f>
        <v/>
      </c>
      <c r="M77" s="6">
        <f>IF(D77="N","",IFERROR(VLOOKUP(A77,'P0-4_Required_Maturity'!$A$2:$I$12,9,FALSE),3))</f>
        <v/>
      </c>
      <c r="N77" s="6">
        <f>IF(OR(E77="",M77=""),"",M77-E77)</f>
        <v/>
      </c>
      <c r="O77" s="6">
        <f>IF(D77="N","N/A",IF(OR(E77="",F77="",H77=""),"INCOMPLETE",IF(AND(L77&gt;=80,H77="E0"),"REVIEW",IF(AND(L77&gt;=80,OR(I77="N",J77="N")),"CORROBORATION REVIEW","OK"))))</f>
        <v/>
      </c>
      <c r="P77" s="6" t="n"/>
    </row>
    <row r="78">
      <c r="A78" s="8" t="inlineStr">
        <is>
          <t>D06</t>
        </is>
      </c>
      <c r="B78" s="8" t="inlineStr">
        <is>
          <t>I12</t>
        </is>
      </c>
      <c r="C78" s="8" t="inlineStr">
        <is>
          <t>Digital Citizenship &amp; Responsible Use</t>
        </is>
      </c>
      <c r="D78" s="8" t="inlineStr">
        <is>
          <t>Y</t>
        </is>
      </c>
      <c r="E78" s="6" t="n"/>
      <c r="F78" s="6" t="n"/>
      <c r="G78" s="6" t="n"/>
      <c r="H78" s="8" t="inlineStr">
        <is>
          <t>E0</t>
        </is>
      </c>
      <c r="I78" s="8" t="inlineStr">
        <is>
          <t>N</t>
        </is>
      </c>
      <c r="J78" s="8" t="inlineStr">
        <is>
          <t>N</t>
        </is>
      </c>
      <c r="K78" s="6">
        <f>IF(H78="E0",0.20,IF(H78="E1",0.40,IF(H78="E2",0.65,IF(H78="E3",0.85,IF(H78="E4",1.00,0)))))</f>
        <v/>
      </c>
      <c r="L78" s="6">
        <f>IF(D78="N","",IF(OR(E78="",F78=""),"",IF(G78="N/A",100*((0.60*E78)+(0.40*F78))/5,IF(G78="",100*((0.60*E78)+(0.40*F78))/5,100*((0.45*E78)+(0.30*F78)+(0.25*G78))/5))))</f>
        <v/>
      </c>
      <c r="M78" s="6">
        <f>IF(D78="N","",IFERROR(VLOOKUP(A78,'P0-4_Required_Maturity'!$A$2:$I$12,9,FALSE),3))</f>
        <v/>
      </c>
      <c r="N78" s="6">
        <f>IF(OR(E78="",M78=""),"",M78-E78)</f>
        <v/>
      </c>
      <c r="O78" s="6">
        <f>IF(D78="N","N/A",IF(OR(E78="",F78="",H78=""),"INCOMPLETE",IF(AND(L78&gt;=80,H78="E0"),"REVIEW",IF(AND(L78&gt;=80,OR(I78="N",J78="N")),"CORROBORATION REVIEW","OK"))))</f>
        <v/>
      </c>
      <c r="P78" s="6" t="n"/>
    </row>
    <row r="79">
      <c r="A79" s="8" t="inlineStr">
        <is>
          <t>D06</t>
        </is>
      </c>
      <c r="B79" s="8" t="inlineStr">
        <is>
          <t>I13</t>
        </is>
      </c>
      <c r="C79" s="8" t="inlineStr">
        <is>
          <t>Equitable AI Access</t>
        </is>
      </c>
      <c r="D79" s="8" t="inlineStr">
        <is>
          <t>Y</t>
        </is>
      </c>
      <c r="E79" s="6" t="n"/>
      <c r="F79" s="6" t="n"/>
      <c r="G79" s="6" t="n"/>
      <c r="H79" s="8" t="inlineStr">
        <is>
          <t>E0</t>
        </is>
      </c>
      <c r="I79" s="8" t="inlineStr">
        <is>
          <t>N</t>
        </is>
      </c>
      <c r="J79" s="8" t="inlineStr">
        <is>
          <t>N</t>
        </is>
      </c>
      <c r="K79" s="6">
        <f>IF(H79="E0",0.20,IF(H79="E1",0.40,IF(H79="E2",0.65,IF(H79="E3",0.85,IF(H79="E4",1.00,0)))))</f>
        <v/>
      </c>
      <c r="L79" s="6">
        <f>IF(D79="N","",IF(OR(E79="",F79=""),"",IF(G79="N/A",100*((0.60*E79)+(0.40*F79))/5,IF(G79="",100*((0.60*E79)+(0.40*F79))/5,100*((0.45*E79)+(0.30*F79)+(0.25*G79))/5))))</f>
        <v/>
      </c>
      <c r="M79" s="6">
        <f>IF(D79="N","",IFERROR(VLOOKUP(A79,'P0-4_Required_Maturity'!$A$2:$I$12,9,FALSE),3))</f>
        <v/>
      </c>
      <c r="N79" s="6">
        <f>IF(OR(E79="",M79=""),"",M79-E79)</f>
        <v/>
      </c>
      <c r="O79" s="6">
        <f>IF(D79="N","N/A",IF(OR(E79="",F79="",H79=""),"INCOMPLETE",IF(AND(L79&gt;=80,H79="E0"),"REVIEW",IF(AND(L79&gt;=80,OR(I79="N",J79="N")),"CORROBORATION REVIEW","OK"))))</f>
        <v/>
      </c>
      <c r="P79" s="6" t="n"/>
    </row>
    <row r="80">
      <c r="A80" s="8" t="inlineStr">
        <is>
          <t>D06</t>
        </is>
      </c>
      <c r="B80" s="8" t="inlineStr">
        <is>
          <t>I14</t>
        </is>
      </c>
      <c r="C80" s="8" t="inlineStr">
        <is>
          <t>Student Voice &amp; Feedback Loop</t>
        </is>
      </c>
      <c r="D80" s="8" t="inlineStr">
        <is>
          <t>Y</t>
        </is>
      </c>
      <c r="E80" s="6" t="n"/>
      <c r="F80" s="6" t="n"/>
      <c r="G80" s="6" t="n"/>
      <c r="H80" s="8" t="inlineStr">
        <is>
          <t>E0</t>
        </is>
      </c>
      <c r="I80" s="8" t="inlineStr">
        <is>
          <t>N</t>
        </is>
      </c>
      <c r="J80" s="8" t="inlineStr">
        <is>
          <t>N</t>
        </is>
      </c>
      <c r="K80" s="6">
        <f>IF(H80="E0",0.20,IF(H80="E1",0.40,IF(H80="E2",0.65,IF(H80="E3",0.85,IF(H80="E4",1.00,0)))))</f>
        <v/>
      </c>
      <c r="L80" s="6">
        <f>IF(D80="N","",IF(OR(E80="",F80=""),"",IF(G80="N/A",100*((0.60*E80)+(0.40*F80))/5,IF(G80="",100*((0.60*E80)+(0.40*F80))/5,100*((0.45*E80)+(0.30*F80)+(0.25*G80))/5))))</f>
        <v/>
      </c>
      <c r="M80" s="6">
        <f>IF(D80="N","",IFERROR(VLOOKUP(A80,'P0-4_Required_Maturity'!$A$2:$I$12,9,FALSE),3))</f>
        <v/>
      </c>
      <c r="N80" s="6">
        <f>IF(OR(E80="",M80=""),"",M80-E80)</f>
        <v/>
      </c>
      <c r="O80" s="6">
        <f>IF(D80="N","N/A",IF(OR(E80="",F80="",H80=""),"INCOMPLETE",IF(AND(L80&gt;=80,H80="E0"),"REVIEW",IF(AND(L80&gt;=80,OR(I80="N",J80="N")),"CORROBORATION REVIEW","OK"))))</f>
        <v/>
      </c>
      <c r="P80" s="6" t="n"/>
    </row>
    <row r="81">
      <c r="A81" s="8" t="inlineStr">
        <is>
          <t>D07</t>
        </is>
      </c>
      <c r="B81" s="8" t="inlineStr">
        <is>
          <t>I01</t>
        </is>
      </c>
      <c r="C81" s="8" t="inlineStr">
        <is>
          <t>Assessment Design Maturity</t>
        </is>
      </c>
      <c r="D81" s="8" t="inlineStr">
        <is>
          <t>Y</t>
        </is>
      </c>
      <c r="E81" s="6" t="n"/>
      <c r="F81" s="6" t="n"/>
      <c r="G81" s="6" t="n"/>
      <c r="H81" s="8" t="inlineStr">
        <is>
          <t>E0</t>
        </is>
      </c>
      <c r="I81" s="8" t="inlineStr">
        <is>
          <t>N</t>
        </is>
      </c>
      <c r="J81" s="8" t="inlineStr">
        <is>
          <t>N</t>
        </is>
      </c>
      <c r="K81" s="6">
        <f>IF(H81="E0",0.20,IF(H81="E1",0.40,IF(H81="E2",0.65,IF(H81="E3",0.85,IF(H81="E4",1.00,0)))))</f>
        <v/>
      </c>
      <c r="L81" s="6">
        <f>IF(D81="N","",IF(OR(E81="",F81=""),"",IF(G81="N/A",100*((0.60*E81)+(0.40*F81))/5,IF(G81="",100*((0.60*E81)+(0.40*F81))/5,100*((0.45*E81)+(0.30*F81)+(0.25*G81))/5))))</f>
        <v/>
      </c>
      <c r="M81" s="6">
        <f>IF(D81="N","",IFERROR(VLOOKUP(A81,'P0-4_Required_Maturity'!$A$2:$I$12,9,FALSE),3))</f>
        <v/>
      </c>
      <c r="N81" s="6">
        <f>IF(OR(E81="",M81=""),"",M81-E81)</f>
        <v/>
      </c>
      <c r="O81" s="6">
        <f>IF(D81="N","N/A",IF(OR(E81="",F81="",H81=""),"INCOMPLETE",IF(AND(L81&gt;=80,H81="E0"),"REVIEW",IF(AND(L81&gt;=80,OR(I81="N",J81="N")),"CORROBORATION REVIEW","OK"))))</f>
        <v/>
      </c>
      <c r="P81" s="6" t="n"/>
    </row>
    <row r="82">
      <c r="A82" s="8" t="inlineStr">
        <is>
          <t>D07</t>
        </is>
      </c>
      <c r="B82" s="8" t="inlineStr">
        <is>
          <t>I02</t>
        </is>
      </c>
      <c r="C82" s="8" t="inlineStr">
        <is>
          <t>Cognitive Demonstration Depth</t>
        </is>
      </c>
      <c r="D82" s="8" t="inlineStr">
        <is>
          <t>Y</t>
        </is>
      </c>
      <c r="E82" s="6" t="n"/>
      <c r="F82" s="6" t="n"/>
      <c r="G82" s="6" t="n"/>
      <c r="H82" s="8" t="inlineStr">
        <is>
          <t>E0</t>
        </is>
      </c>
      <c r="I82" s="8" t="inlineStr">
        <is>
          <t>N</t>
        </is>
      </c>
      <c r="J82" s="8" t="inlineStr">
        <is>
          <t>N</t>
        </is>
      </c>
      <c r="K82" s="6">
        <f>IF(H82="E0",0.20,IF(H82="E1",0.40,IF(H82="E2",0.65,IF(H82="E3",0.85,IF(H82="E4",1.00,0)))))</f>
        <v/>
      </c>
      <c r="L82" s="6">
        <f>IF(D82="N","",IF(OR(E82="",F82=""),"",IF(G82="N/A",100*((0.60*E82)+(0.40*F82))/5,IF(G82="",100*((0.60*E82)+(0.40*F82))/5,100*((0.45*E82)+(0.30*F82)+(0.25*G82))/5))))</f>
        <v/>
      </c>
      <c r="M82" s="6">
        <f>IF(D82="N","",IFERROR(VLOOKUP(A82,'P0-4_Required_Maturity'!$A$2:$I$12,9,FALSE),3))</f>
        <v/>
      </c>
      <c r="N82" s="6">
        <f>IF(OR(E82="",M82=""),"",M82-E82)</f>
        <v/>
      </c>
      <c r="O82" s="6">
        <f>IF(D82="N","N/A",IF(OR(E82="",F82="",H82=""),"INCOMPLETE",IF(AND(L82&gt;=80,H82="E0"),"REVIEW",IF(AND(L82&gt;=80,OR(I82="N",J82="N")),"CORROBORATION REVIEW","OK"))))</f>
        <v/>
      </c>
      <c r="P82" s="6" t="n"/>
    </row>
    <row r="83">
      <c r="A83" s="8" t="inlineStr">
        <is>
          <t>D07</t>
        </is>
      </c>
      <c r="B83" s="8" t="inlineStr">
        <is>
          <t>I03</t>
        </is>
      </c>
      <c r="C83" s="8" t="inlineStr">
        <is>
          <t>Authenticity of Demonstration</t>
        </is>
      </c>
      <c r="D83" s="8" t="inlineStr">
        <is>
          <t>Y</t>
        </is>
      </c>
      <c r="E83" s="6" t="n"/>
      <c r="F83" s="6" t="n"/>
      <c r="G83" s="6" t="n"/>
      <c r="H83" s="8" t="inlineStr">
        <is>
          <t>E0</t>
        </is>
      </c>
      <c r="I83" s="8" t="inlineStr">
        <is>
          <t>N</t>
        </is>
      </c>
      <c r="J83" s="8" t="inlineStr">
        <is>
          <t>N</t>
        </is>
      </c>
      <c r="K83" s="6">
        <f>IF(H83="E0",0.20,IF(H83="E1",0.40,IF(H83="E2",0.65,IF(H83="E3",0.85,IF(H83="E4",1.00,0)))))</f>
        <v/>
      </c>
      <c r="L83" s="6">
        <f>IF(D83="N","",IF(OR(E83="",F83=""),"",IF(G83="N/A",100*((0.60*E83)+(0.40*F83))/5,IF(G83="",100*((0.60*E83)+(0.40*F83))/5,100*((0.45*E83)+(0.30*F83)+(0.25*G83))/5))))</f>
        <v/>
      </c>
      <c r="M83" s="6">
        <f>IF(D83="N","",IFERROR(VLOOKUP(A83,'P0-4_Required_Maturity'!$A$2:$I$12,9,FALSE),3))</f>
        <v/>
      </c>
      <c r="N83" s="6">
        <f>IF(OR(E83="",M83=""),"",M83-E83)</f>
        <v/>
      </c>
      <c r="O83" s="6">
        <f>IF(D83="N","N/A",IF(OR(E83="",F83="",H83=""),"INCOMPLETE",IF(AND(L83&gt;=80,H83="E0"),"REVIEW",IF(AND(L83&gt;=80,OR(I83="N",J83="N")),"CORROBORATION REVIEW","OK"))))</f>
        <v/>
      </c>
      <c r="P83" s="6" t="n"/>
    </row>
    <row r="84">
      <c r="A84" s="8" t="inlineStr">
        <is>
          <t>D07</t>
        </is>
      </c>
      <c r="B84" s="8" t="inlineStr">
        <is>
          <t>I04</t>
        </is>
      </c>
      <c r="C84" s="8" t="inlineStr">
        <is>
          <t>AI-Aware Assessment Maturity</t>
        </is>
      </c>
      <c r="D84" s="8" t="inlineStr">
        <is>
          <t>Y</t>
        </is>
      </c>
      <c r="E84" s="6" t="n"/>
      <c r="F84" s="6" t="n"/>
      <c r="G84" s="6" t="n"/>
      <c r="H84" s="8" t="inlineStr">
        <is>
          <t>E0</t>
        </is>
      </c>
      <c r="I84" s="8" t="inlineStr">
        <is>
          <t>N</t>
        </is>
      </c>
      <c r="J84" s="8" t="inlineStr">
        <is>
          <t>N</t>
        </is>
      </c>
      <c r="K84" s="6">
        <f>IF(H84="E0",0.20,IF(H84="E1",0.40,IF(H84="E2",0.65,IF(H84="E3",0.85,IF(H84="E4",1.00,0)))))</f>
        <v/>
      </c>
      <c r="L84" s="6">
        <f>IF(D84="N","",IF(OR(E84="",F84=""),"",IF(G84="N/A",100*((0.60*E84)+(0.40*F84))/5,IF(G84="",100*((0.60*E84)+(0.40*F84))/5,100*((0.45*E84)+(0.30*F84)+(0.25*G84))/5))))</f>
        <v/>
      </c>
      <c r="M84" s="6">
        <f>IF(D84="N","",IFERROR(VLOOKUP(A84,'P0-4_Required_Maturity'!$A$2:$I$12,9,FALSE),3))</f>
        <v/>
      </c>
      <c r="N84" s="6">
        <f>IF(OR(E84="",M84=""),"",M84-E84)</f>
        <v/>
      </c>
      <c r="O84" s="6">
        <f>IF(D84="N","N/A",IF(OR(E84="",F84="",H84=""),"INCOMPLETE",IF(AND(L84&gt;=80,H84="E0"),"REVIEW",IF(AND(L84&gt;=80,OR(I84="N",J84="N")),"CORROBORATION REVIEW","OK"))))</f>
        <v/>
      </c>
      <c r="P84" s="6" t="n"/>
    </row>
    <row r="85">
      <c r="A85" s="8" t="inlineStr">
        <is>
          <t>D07</t>
        </is>
      </c>
      <c r="B85" s="8" t="inlineStr">
        <is>
          <t>I05</t>
        </is>
      </c>
      <c r="C85" s="8" t="inlineStr">
        <is>
          <t>Verification &amp; Defence</t>
        </is>
      </c>
      <c r="D85" s="8" t="inlineStr">
        <is>
          <t>Y</t>
        </is>
      </c>
      <c r="E85" s="6" t="n"/>
      <c r="F85" s="6" t="n"/>
      <c r="G85" s="6" t="n"/>
      <c r="H85" s="8" t="inlineStr">
        <is>
          <t>E0</t>
        </is>
      </c>
      <c r="I85" s="8" t="inlineStr">
        <is>
          <t>N</t>
        </is>
      </c>
      <c r="J85" s="8" t="inlineStr">
        <is>
          <t>N</t>
        </is>
      </c>
      <c r="K85" s="6">
        <f>IF(H85="E0",0.20,IF(H85="E1",0.40,IF(H85="E2",0.65,IF(H85="E3",0.85,IF(H85="E4",1.00,0)))))</f>
        <v/>
      </c>
      <c r="L85" s="6">
        <f>IF(D85="N","",IF(OR(E85="",F85=""),"",IF(G85="N/A",100*((0.60*E85)+(0.40*F85))/5,IF(G85="",100*((0.60*E85)+(0.40*F85))/5,100*((0.45*E85)+(0.30*F85)+(0.25*G85))/5))))</f>
        <v/>
      </c>
      <c r="M85" s="6">
        <f>IF(D85="N","",IFERROR(VLOOKUP(A85,'P0-4_Required_Maturity'!$A$2:$I$12,9,FALSE),3))</f>
        <v/>
      </c>
      <c r="N85" s="6">
        <f>IF(OR(E85="",M85=""),"",M85-E85)</f>
        <v/>
      </c>
      <c r="O85" s="6">
        <f>IF(D85="N","N/A",IF(OR(E85="",F85="",H85=""),"INCOMPLETE",IF(AND(L85&gt;=80,H85="E0"),"REVIEW",IF(AND(L85&gt;=80,OR(I85="N",J85="N")),"CORROBORATION REVIEW","OK"))))</f>
        <v/>
      </c>
      <c r="P85" s="6" t="n"/>
    </row>
    <row r="86">
      <c r="A86" s="8" t="inlineStr">
        <is>
          <t>D07</t>
        </is>
      </c>
      <c r="B86" s="8" t="inlineStr">
        <is>
          <t>I06</t>
        </is>
      </c>
      <c r="C86" s="8" t="inlineStr">
        <is>
          <t>Feedback Intelligence</t>
        </is>
      </c>
      <c r="D86" s="8" t="inlineStr">
        <is>
          <t>Y</t>
        </is>
      </c>
      <c r="E86" s="6" t="n"/>
      <c r="F86" s="6" t="n"/>
      <c r="G86" s="6" t="n"/>
      <c r="H86" s="8" t="inlineStr">
        <is>
          <t>E0</t>
        </is>
      </c>
      <c r="I86" s="8" t="inlineStr">
        <is>
          <t>N</t>
        </is>
      </c>
      <c r="J86" s="8" t="inlineStr">
        <is>
          <t>N</t>
        </is>
      </c>
      <c r="K86" s="6">
        <f>IF(H86="E0",0.20,IF(H86="E1",0.40,IF(H86="E2",0.65,IF(H86="E3",0.85,IF(H86="E4",1.00,0)))))</f>
        <v/>
      </c>
      <c r="L86" s="6">
        <f>IF(D86="N","",IF(OR(E86="",F86=""),"",IF(G86="N/A",100*((0.60*E86)+(0.40*F86))/5,IF(G86="",100*((0.60*E86)+(0.40*F86))/5,100*((0.45*E86)+(0.30*F86)+(0.25*G86))/5))))</f>
        <v/>
      </c>
      <c r="M86" s="6">
        <f>IF(D86="N","",IFERROR(VLOOKUP(A86,'P0-4_Required_Maturity'!$A$2:$I$12,9,FALSE),3))</f>
        <v/>
      </c>
      <c r="N86" s="6">
        <f>IF(OR(E86="",M86=""),"",M86-E86)</f>
        <v/>
      </c>
      <c r="O86" s="6">
        <f>IF(D86="N","N/A",IF(OR(E86="",F86="",H86=""),"INCOMPLETE",IF(AND(L86&gt;=80,H86="E0"),"REVIEW",IF(AND(L86&gt;=80,OR(I86="N",J86="N")),"CORROBORATION REVIEW","OK"))))</f>
        <v/>
      </c>
      <c r="P86" s="6" t="n"/>
    </row>
    <row r="87">
      <c r="A87" s="8" t="inlineStr">
        <is>
          <t>D07</t>
        </is>
      </c>
      <c r="B87" s="8" t="inlineStr">
        <is>
          <t>I07</t>
        </is>
      </c>
      <c r="C87" s="8" t="inlineStr">
        <is>
          <t>Evidence of Learning</t>
        </is>
      </c>
      <c r="D87" s="8" t="inlineStr">
        <is>
          <t>Y</t>
        </is>
      </c>
      <c r="E87" s="6" t="n"/>
      <c r="F87" s="6" t="n"/>
      <c r="G87" s="6" t="n"/>
      <c r="H87" s="8" t="inlineStr">
        <is>
          <t>E0</t>
        </is>
      </c>
      <c r="I87" s="8" t="inlineStr">
        <is>
          <t>N</t>
        </is>
      </c>
      <c r="J87" s="8" t="inlineStr">
        <is>
          <t>N</t>
        </is>
      </c>
      <c r="K87" s="6">
        <f>IF(H87="E0",0.20,IF(H87="E1",0.40,IF(H87="E2",0.65,IF(H87="E3",0.85,IF(H87="E4",1.00,0)))))</f>
        <v/>
      </c>
      <c r="L87" s="6">
        <f>IF(D87="N","",IF(OR(E87="",F87=""),"",IF(G87="N/A",100*((0.60*E87)+(0.40*F87))/5,IF(G87="",100*((0.60*E87)+(0.40*F87))/5,100*((0.45*E87)+(0.30*F87)+(0.25*G87))/5))))</f>
        <v/>
      </c>
      <c r="M87" s="6">
        <f>IF(D87="N","",IFERROR(VLOOKUP(A87,'P0-4_Required_Maturity'!$A$2:$I$12,9,FALSE),3))</f>
        <v/>
      </c>
      <c r="N87" s="6">
        <f>IF(OR(E87="",M87=""),"",M87-E87)</f>
        <v/>
      </c>
      <c r="O87" s="6">
        <f>IF(D87="N","N/A",IF(OR(E87="",F87="",H87=""),"INCOMPLETE",IF(AND(L87&gt;=80,H87="E0"),"REVIEW",IF(AND(L87&gt;=80,OR(I87="N",J87="N")),"CORROBORATION REVIEW","OK"))))</f>
        <v/>
      </c>
      <c r="P87" s="6" t="n"/>
    </row>
    <row r="88">
      <c r="A88" s="8" t="inlineStr">
        <is>
          <t>D07</t>
        </is>
      </c>
      <c r="B88" s="8" t="inlineStr">
        <is>
          <t>I08</t>
        </is>
      </c>
      <c r="C88" s="8" t="inlineStr">
        <is>
          <t>Capability Outcome Measurement</t>
        </is>
      </c>
      <c r="D88" s="8" t="inlineStr">
        <is>
          <t>Y</t>
        </is>
      </c>
      <c r="E88" s="6" t="n"/>
      <c r="F88" s="6" t="n"/>
      <c r="G88" s="6" t="n"/>
      <c r="H88" s="8" t="inlineStr">
        <is>
          <t>E0</t>
        </is>
      </c>
      <c r="I88" s="8" t="inlineStr">
        <is>
          <t>N</t>
        </is>
      </c>
      <c r="J88" s="8" t="inlineStr">
        <is>
          <t>N</t>
        </is>
      </c>
      <c r="K88" s="6">
        <f>IF(H88="E0",0.20,IF(H88="E1",0.40,IF(H88="E2",0.65,IF(H88="E3",0.85,IF(H88="E4",1.00,0)))))</f>
        <v/>
      </c>
      <c r="L88" s="6">
        <f>IF(D88="N","",IF(OR(E88="",F88=""),"",IF(G88="N/A",100*((0.60*E88)+(0.40*F88))/5,IF(G88="",100*((0.60*E88)+(0.40*F88))/5,100*((0.45*E88)+(0.30*F88)+(0.25*G88))/5))))</f>
        <v/>
      </c>
      <c r="M88" s="6">
        <f>IF(D88="N","",IFERROR(VLOOKUP(A88,'P0-4_Required_Maturity'!$A$2:$I$12,9,FALSE),3))</f>
        <v/>
      </c>
      <c r="N88" s="6">
        <f>IF(OR(E88="",M88=""),"",M88-E88)</f>
        <v/>
      </c>
      <c r="O88" s="6">
        <f>IF(D88="N","N/A",IF(OR(E88="",F88="",H88=""),"INCOMPLETE",IF(AND(L88&gt;=80,H88="E0"),"REVIEW",IF(AND(L88&gt;=80,OR(I88="N",J88="N")),"CORROBORATION REVIEW","OK"))))</f>
        <v/>
      </c>
      <c r="P88" s="6" t="n"/>
    </row>
    <row r="89">
      <c r="A89" s="8" t="inlineStr">
        <is>
          <t>D07</t>
        </is>
      </c>
      <c r="B89" s="8" t="inlineStr">
        <is>
          <t>I09</t>
        </is>
      </c>
      <c r="C89" s="8" t="inlineStr">
        <is>
          <t>Assessment Equity &amp; Access</t>
        </is>
      </c>
      <c r="D89" s="8" t="inlineStr">
        <is>
          <t>Y</t>
        </is>
      </c>
      <c r="E89" s="6" t="n"/>
      <c r="F89" s="6" t="n"/>
      <c r="G89" s="6" t="n"/>
      <c r="H89" s="8" t="inlineStr">
        <is>
          <t>E0</t>
        </is>
      </c>
      <c r="I89" s="8" t="inlineStr">
        <is>
          <t>N</t>
        </is>
      </c>
      <c r="J89" s="8" t="inlineStr">
        <is>
          <t>N</t>
        </is>
      </c>
      <c r="K89" s="6">
        <f>IF(H89="E0",0.20,IF(H89="E1",0.40,IF(H89="E2",0.65,IF(H89="E3",0.85,IF(H89="E4",1.00,0)))))</f>
        <v/>
      </c>
      <c r="L89" s="6">
        <f>IF(D89="N","",IF(OR(E89="",F89=""),"",IF(G89="N/A",100*((0.60*E89)+(0.40*F89))/5,IF(G89="",100*((0.60*E89)+(0.40*F89))/5,100*((0.45*E89)+(0.30*F89)+(0.25*G89))/5))))</f>
        <v/>
      </c>
      <c r="M89" s="6">
        <f>IF(D89="N","",IFERROR(VLOOKUP(A89,'P0-4_Required_Maturity'!$A$2:$I$12,9,FALSE),3))</f>
        <v/>
      </c>
      <c r="N89" s="6">
        <f>IF(OR(E89="",M89=""),"",M89-E89)</f>
        <v/>
      </c>
      <c r="O89" s="6">
        <f>IF(D89="N","N/A",IF(OR(E89="",F89="",H89=""),"INCOMPLETE",IF(AND(L89&gt;=80,H89="E0"),"REVIEW",IF(AND(L89&gt;=80,OR(I89="N",J89="N")),"CORROBORATION REVIEW","OK"))))</f>
        <v/>
      </c>
      <c r="P89" s="6" t="n"/>
    </row>
    <row r="90">
      <c r="A90" s="8" t="inlineStr">
        <is>
          <t>D07</t>
        </is>
      </c>
      <c r="B90" s="8" t="inlineStr">
        <is>
          <t>I10</t>
        </is>
      </c>
      <c r="C90" s="8" t="inlineStr">
        <is>
          <t>Assessment Governance</t>
        </is>
      </c>
      <c r="D90" s="8" t="inlineStr">
        <is>
          <t>Y</t>
        </is>
      </c>
      <c r="E90" s="6" t="n"/>
      <c r="F90" s="6" t="n"/>
      <c r="G90" s="6" t="n"/>
      <c r="H90" s="8" t="inlineStr">
        <is>
          <t>E0</t>
        </is>
      </c>
      <c r="I90" s="8" t="inlineStr">
        <is>
          <t>N</t>
        </is>
      </c>
      <c r="J90" s="8" t="inlineStr">
        <is>
          <t>N</t>
        </is>
      </c>
      <c r="K90" s="6">
        <f>IF(H90="E0",0.20,IF(H90="E1",0.40,IF(H90="E2",0.65,IF(H90="E3",0.85,IF(H90="E4",1.00,0)))))</f>
        <v/>
      </c>
      <c r="L90" s="6">
        <f>IF(D90="N","",IF(OR(E90="",F90=""),"",IF(G90="N/A",100*((0.60*E90)+(0.40*F90))/5,IF(G90="",100*((0.60*E90)+(0.40*F90))/5,100*((0.45*E90)+(0.30*F90)+(0.25*G90))/5))))</f>
        <v/>
      </c>
      <c r="M90" s="6">
        <f>IF(D90="N","",IFERROR(VLOOKUP(A90,'P0-4_Required_Maturity'!$A$2:$I$12,9,FALSE),3))</f>
        <v/>
      </c>
      <c r="N90" s="6">
        <f>IF(OR(E90="",M90=""),"",M90-E90)</f>
        <v/>
      </c>
      <c r="O90" s="6">
        <f>IF(D90="N","N/A",IF(OR(E90="",F90="",H90=""),"INCOMPLETE",IF(AND(L90&gt;=80,H90="E0"),"REVIEW",IF(AND(L90&gt;=80,OR(I90="N",J90="N")),"CORROBORATION REVIEW","OK"))))</f>
        <v/>
      </c>
      <c r="P90" s="6" t="n"/>
    </row>
    <row r="91">
      <c r="A91" s="8" t="inlineStr">
        <is>
          <t>D07</t>
        </is>
      </c>
      <c r="B91" s="8" t="inlineStr">
        <is>
          <t>I11</t>
        </is>
      </c>
      <c r="C91" s="8" t="inlineStr">
        <is>
          <t>Assessment Innovation</t>
        </is>
      </c>
      <c r="D91" s="8" t="inlineStr">
        <is>
          <t>Y</t>
        </is>
      </c>
      <c r="E91" s="6" t="n"/>
      <c r="F91" s="6" t="n"/>
      <c r="G91" s="6" t="n"/>
      <c r="H91" s="8" t="inlineStr">
        <is>
          <t>E0</t>
        </is>
      </c>
      <c r="I91" s="8" t="inlineStr">
        <is>
          <t>N</t>
        </is>
      </c>
      <c r="J91" s="8" t="inlineStr">
        <is>
          <t>N</t>
        </is>
      </c>
      <c r="K91" s="6">
        <f>IF(H91="E0",0.20,IF(H91="E1",0.40,IF(H91="E2",0.65,IF(H91="E3",0.85,IF(H91="E4",1.00,0)))))</f>
        <v/>
      </c>
      <c r="L91" s="6">
        <f>IF(D91="N","",IF(OR(E91="",F91=""),"",IF(G91="N/A",100*((0.60*E91)+(0.40*F91))/5,IF(G91="",100*((0.60*E91)+(0.40*F91))/5,100*((0.45*E91)+(0.30*F91)+(0.25*G91))/5))))</f>
        <v/>
      </c>
      <c r="M91" s="6">
        <f>IF(D91="N","",IFERROR(VLOOKUP(A91,'P0-4_Required_Maturity'!$A$2:$I$12,9,FALSE),3))</f>
        <v/>
      </c>
      <c r="N91" s="6">
        <f>IF(OR(E91="",M91=""),"",M91-E91)</f>
        <v/>
      </c>
      <c r="O91" s="6">
        <f>IF(D91="N","N/A",IF(OR(E91="",F91="",H91=""),"INCOMPLETE",IF(AND(L91&gt;=80,H91="E0"),"REVIEW",IF(AND(L91&gt;=80,OR(I91="N",J91="N")),"CORROBORATION REVIEW","OK"))))</f>
        <v/>
      </c>
      <c r="P91" s="6" t="n"/>
    </row>
    <row r="92">
      <c r="A92" s="8" t="inlineStr">
        <is>
          <t>D07</t>
        </is>
      </c>
      <c r="B92" s="8" t="inlineStr">
        <is>
          <t>I12</t>
        </is>
      </c>
      <c r="C92" s="8" t="inlineStr">
        <is>
          <t>Learning Evidence Analytics</t>
        </is>
      </c>
      <c r="D92" s="8" t="inlineStr">
        <is>
          <t>Y</t>
        </is>
      </c>
      <c r="E92" s="6" t="n"/>
      <c r="F92" s="6" t="n"/>
      <c r="G92" s="6" t="n"/>
      <c r="H92" s="8" t="inlineStr">
        <is>
          <t>E0</t>
        </is>
      </c>
      <c r="I92" s="8" t="inlineStr">
        <is>
          <t>N</t>
        </is>
      </c>
      <c r="J92" s="8" t="inlineStr">
        <is>
          <t>N</t>
        </is>
      </c>
      <c r="K92" s="6">
        <f>IF(H92="E0",0.20,IF(H92="E1",0.40,IF(H92="E2",0.65,IF(H92="E3",0.85,IF(H92="E4",1.00,0)))))</f>
        <v/>
      </c>
      <c r="L92" s="6">
        <f>IF(D92="N","",IF(OR(E92="",F92=""),"",IF(G92="N/A",100*((0.60*E92)+(0.40*F92))/5,IF(G92="",100*((0.60*E92)+(0.40*F92))/5,100*((0.45*E92)+(0.30*F92)+(0.25*G92))/5))))</f>
        <v/>
      </c>
      <c r="M92" s="6">
        <f>IF(D92="N","",IFERROR(VLOOKUP(A92,'P0-4_Required_Maturity'!$A$2:$I$12,9,FALSE),3))</f>
        <v/>
      </c>
      <c r="N92" s="6">
        <f>IF(OR(E92="",M92=""),"",M92-E92)</f>
        <v/>
      </c>
      <c r="O92" s="6">
        <f>IF(D92="N","N/A",IF(OR(E92="",F92="",H92=""),"INCOMPLETE",IF(AND(L92&gt;=80,H92="E0"),"REVIEW",IF(AND(L92&gt;=80,OR(I92="N",J92="N")),"CORROBORATION REVIEW","OK"))))</f>
        <v/>
      </c>
      <c r="P92" s="6" t="n"/>
    </row>
    <row r="93">
      <c r="A93" s="8" t="inlineStr">
        <is>
          <t>D08</t>
        </is>
      </c>
      <c r="B93" s="8" t="inlineStr">
        <is>
          <t>I01</t>
        </is>
      </c>
      <c r="C93" s="8" t="inlineStr">
        <is>
          <t>Digital Environment Readiness</t>
        </is>
      </c>
      <c r="D93" s="8" t="inlineStr">
        <is>
          <t>Y</t>
        </is>
      </c>
      <c r="E93" s="6" t="n"/>
      <c r="F93" s="6" t="n"/>
      <c r="G93" s="6" t="n"/>
      <c r="H93" s="8" t="inlineStr">
        <is>
          <t>E0</t>
        </is>
      </c>
      <c r="I93" s="8" t="inlineStr">
        <is>
          <t>N</t>
        </is>
      </c>
      <c r="J93" s="8" t="inlineStr">
        <is>
          <t>N</t>
        </is>
      </c>
      <c r="K93" s="6">
        <f>IF(H93="E0",0.20,IF(H93="E1",0.40,IF(H93="E2",0.65,IF(H93="E3",0.85,IF(H93="E4",1.00,0)))))</f>
        <v/>
      </c>
      <c r="L93" s="6">
        <f>IF(D93="N","",IF(OR(E93="",F93=""),"",IF(G93="N/A",100*((0.60*E93)+(0.40*F93))/5,IF(G93="",100*((0.60*E93)+(0.40*F93))/5,100*((0.45*E93)+(0.30*F93)+(0.25*G93))/5))))</f>
        <v/>
      </c>
      <c r="M93" s="6">
        <f>IF(D93="N","",IFERROR(VLOOKUP(A93,'P0-4_Required_Maturity'!$A$2:$I$12,9,FALSE),3))</f>
        <v/>
      </c>
      <c r="N93" s="6">
        <f>IF(OR(E93="",M93=""),"",M93-E93)</f>
        <v/>
      </c>
      <c r="O93" s="6">
        <f>IF(D93="N","N/A",IF(OR(E93="",F93="",H93=""),"INCOMPLETE",IF(AND(L93&gt;=80,H93="E0"),"REVIEW",IF(AND(L93&gt;=80,OR(I93="N",J93="N")),"CORROBORATION REVIEW","OK"))))</f>
        <v/>
      </c>
      <c r="P93" s="6" t="n"/>
    </row>
    <row r="94">
      <c r="A94" s="8" t="inlineStr">
        <is>
          <t>D08</t>
        </is>
      </c>
      <c r="B94" s="8" t="inlineStr">
        <is>
          <t>I02</t>
        </is>
      </c>
      <c r="C94" s="8" t="inlineStr">
        <is>
          <t>Institutional Data Architecture</t>
        </is>
      </c>
      <c r="D94" s="8" t="inlineStr">
        <is>
          <t>Y</t>
        </is>
      </c>
      <c r="E94" s="6" t="n"/>
      <c r="F94" s="6" t="n"/>
      <c r="G94" s="6" t="n"/>
      <c r="H94" s="8" t="inlineStr">
        <is>
          <t>E0</t>
        </is>
      </c>
      <c r="I94" s="8" t="inlineStr">
        <is>
          <t>N</t>
        </is>
      </c>
      <c r="J94" s="8" t="inlineStr">
        <is>
          <t>N</t>
        </is>
      </c>
      <c r="K94" s="6">
        <f>IF(H94="E0",0.20,IF(H94="E1",0.40,IF(H94="E2",0.65,IF(H94="E3",0.85,IF(H94="E4",1.00,0)))))</f>
        <v/>
      </c>
      <c r="L94" s="6">
        <f>IF(D94="N","",IF(OR(E94="",F94=""),"",IF(G94="N/A",100*((0.60*E94)+(0.40*F94))/5,IF(G94="",100*((0.60*E94)+(0.40*F94))/5,100*((0.45*E94)+(0.30*F94)+(0.25*G94))/5))))</f>
        <v/>
      </c>
      <c r="M94" s="6">
        <f>IF(D94="N","",IFERROR(VLOOKUP(A94,'P0-4_Required_Maturity'!$A$2:$I$12,9,FALSE),3))</f>
        <v/>
      </c>
      <c r="N94" s="6">
        <f>IF(OR(E94="",M94=""),"",M94-E94)</f>
        <v/>
      </c>
      <c r="O94" s="6">
        <f>IF(D94="N","N/A",IF(OR(E94="",F94="",H94=""),"INCOMPLETE",IF(AND(L94&gt;=80,H94="E0"),"REVIEW",IF(AND(L94&gt;=80,OR(I94="N",J94="N")),"CORROBORATION REVIEW","OK"))))</f>
        <v/>
      </c>
      <c r="P94" s="6" t="n"/>
    </row>
    <row r="95">
      <c r="A95" s="8" t="inlineStr">
        <is>
          <t>D08</t>
        </is>
      </c>
      <c r="B95" s="8" t="inlineStr">
        <is>
          <t>I03</t>
        </is>
      </c>
      <c r="C95" s="8" t="inlineStr">
        <is>
          <t>Data Quality &amp; Integrity</t>
        </is>
      </c>
      <c r="D95" s="8" t="inlineStr">
        <is>
          <t>Y</t>
        </is>
      </c>
      <c r="E95" s="6" t="n"/>
      <c r="F95" s="6" t="n"/>
      <c r="G95" s="6" t="n"/>
      <c r="H95" s="8" t="inlineStr">
        <is>
          <t>E0</t>
        </is>
      </c>
      <c r="I95" s="8" t="inlineStr">
        <is>
          <t>N</t>
        </is>
      </c>
      <c r="J95" s="8" t="inlineStr">
        <is>
          <t>N</t>
        </is>
      </c>
      <c r="K95" s="6">
        <f>IF(H95="E0",0.20,IF(H95="E1",0.40,IF(H95="E2",0.65,IF(H95="E3",0.85,IF(H95="E4",1.00,0)))))</f>
        <v/>
      </c>
      <c r="L95" s="6">
        <f>IF(D95="N","",IF(OR(E95="",F95=""),"",IF(G95="N/A",100*((0.60*E95)+(0.40*F95))/5,IF(G95="",100*((0.60*E95)+(0.40*F95))/5,100*((0.45*E95)+(0.30*F95)+(0.25*G95))/5))))</f>
        <v/>
      </c>
      <c r="M95" s="6">
        <f>IF(D95="N","",IFERROR(VLOOKUP(A95,'P0-4_Required_Maturity'!$A$2:$I$12,9,FALSE),3))</f>
        <v/>
      </c>
      <c r="N95" s="6">
        <f>IF(OR(E95="",M95=""),"",M95-E95)</f>
        <v/>
      </c>
      <c r="O95" s="6">
        <f>IF(D95="N","N/A",IF(OR(E95="",F95="",H95=""),"INCOMPLETE",IF(AND(L95&gt;=80,H95="E0"),"REVIEW",IF(AND(L95&gt;=80,OR(I95="N",J95="N")),"CORROBORATION REVIEW","OK"))))</f>
        <v/>
      </c>
      <c r="P95" s="6" t="n"/>
    </row>
    <row r="96">
      <c r="A96" s="8" t="inlineStr">
        <is>
          <t>D08</t>
        </is>
      </c>
      <c r="B96" s="8" t="inlineStr">
        <is>
          <t>I04</t>
        </is>
      </c>
      <c r="C96" s="8" t="inlineStr">
        <is>
          <t>System Interoperability</t>
        </is>
      </c>
      <c r="D96" s="8" t="inlineStr">
        <is>
          <t>Y</t>
        </is>
      </c>
      <c r="E96" s="6" t="n"/>
      <c r="F96" s="6" t="n"/>
      <c r="G96" s="6" t="n"/>
      <c r="H96" s="8" t="inlineStr">
        <is>
          <t>E0</t>
        </is>
      </c>
      <c r="I96" s="8" t="inlineStr">
        <is>
          <t>N</t>
        </is>
      </c>
      <c r="J96" s="8" t="inlineStr">
        <is>
          <t>N</t>
        </is>
      </c>
      <c r="K96" s="6">
        <f>IF(H96="E0",0.20,IF(H96="E1",0.40,IF(H96="E2",0.65,IF(H96="E3",0.85,IF(H96="E4",1.00,0)))))</f>
        <v/>
      </c>
      <c r="L96" s="6">
        <f>IF(D96="N","",IF(OR(E96="",F96=""),"",IF(G96="N/A",100*((0.60*E96)+(0.40*F96))/5,IF(G96="",100*((0.60*E96)+(0.40*F96))/5,100*((0.45*E96)+(0.30*F96)+(0.25*G96))/5))))</f>
        <v/>
      </c>
      <c r="M96" s="6">
        <f>IF(D96="N","",IFERROR(VLOOKUP(A96,'P0-4_Required_Maturity'!$A$2:$I$12,9,FALSE),3))</f>
        <v/>
      </c>
      <c r="N96" s="6">
        <f>IF(OR(E96="",M96=""),"",M96-E96)</f>
        <v/>
      </c>
      <c r="O96" s="6">
        <f>IF(D96="N","N/A",IF(OR(E96="",F96="",H96=""),"INCOMPLETE",IF(AND(L96&gt;=80,H96="E0"),"REVIEW",IF(AND(L96&gt;=80,OR(I96="N",J96="N")),"CORROBORATION REVIEW","OK"))))</f>
        <v/>
      </c>
      <c r="P96" s="6" t="n"/>
    </row>
    <row r="97">
      <c r="A97" s="8" t="inlineStr">
        <is>
          <t>D08</t>
        </is>
      </c>
      <c r="B97" s="8" t="inlineStr">
        <is>
          <t>I05</t>
        </is>
      </c>
      <c r="C97" s="8" t="inlineStr">
        <is>
          <t>Decision Intelligence</t>
        </is>
      </c>
      <c r="D97" s="8" t="inlineStr">
        <is>
          <t>Y</t>
        </is>
      </c>
      <c r="E97" s="6" t="n"/>
      <c r="F97" s="6" t="n"/>
      <c r="G97" s="6" t="n"/>
      <c r="H97" s="8" t="inlineStr">
        <is>
          <t>E0</t>
        </is>
      </c>
      <c r="I97" s="8" t="inlineStr">
        <is>
          <t>N</t>
        </is>
      </c>
      <c r="J97" s="8" t="inlineStr">
        <is>
          <t>N</t>
        </is>
      </c>
      <c r="K97" s="6">
        <f>IF(H97="E0",0.20,IF(H97="E1",0.40,IF(H97="E2",0.65,IF(H97="E3",0.85,IF(H97="E4",1.00,0)))))</f>
        <v/>
      </c>
      <c r="L97" s="6">
        <f>IF(D97="N","",IF(OR(E97="",F97=""),"",IF(G97="N/A",100*((0.60*E97)+(0.40*F97))/5,IF(G97="",100*((0.60*E97)+(0.40*F97))/5,100*((0.45*E97)+(0.30*F97)+(0.25*G97))/5))))</f>
        <v/>
      </c>
      <c r="M97" s="6">
        <f>IF(D97="N","",IFERROR(VLOOKUP(A97,'P0-4_Required_Maturity'!$A$2:$I$12,9,FALSE),3))</f>
        <v/>
      </c>
      <c r="N97" s="6">
        <f>IF(OR(E97="",M97=""),"",M97-E97)</f>
        <v/>
      </c>
      <c r="O97" s="6">
        <f>IF(D97="N","N/A",IF(OR(E97="",F97="",H97=""),"INCOMPLETE",IF(AND(L97&gt;=80,H97="E0"),"REVIEW",IF(AND(L97&gt;=80,OR(I97="N",J97="N")),"CORROBORATION REVIEW","OK"))))</f>
        <v/>
      </c>
      <c r="P97" s="6" t="n"/>
    </row>
    <row r="98">
      <c r="A98" s="8" t="inlineStr">
        <is>
          <t>D08</t>
        </is>
      </c>
      <c r="B98" s="8" t="inlineStr">
        <is>
          <t>I06</t>
        </is>
      </c>
      <c r="C98" s="8" t="inlineStr">
        <is>
          <t>AI Enablement Readiness</t>
        </is>
      </c>
      <c r="D98" s="8" t="inlineStr">
        <is>
          <t>Y</t>
        </is>
      </c>
      <c r="E98" s="6" t="n"/>
      <c r="F98" s="6" t="n"/>
      <c r="G98" s="6" t="n"/>
      <c r="H98" s="8" t="inlineStr">
        <is>
          <t>E0</t>
        </is>
      </c>
      <c r="I98" s="8" t="inlineStr">
        <is>
          <t>N</t>
        </is>
      </c>
      <c r="J98" s="8" t="inlineStr">
        <is>
          <t>N</t>
        </is>
      </c>
      <c r="K98" s="6">
        <f>IF(H98="E0",0.20,IF(H98="E1",0.40,IF(H98="E2",0.65,IF(H98="E3",0.85,IF(H98="E4",1.00,0)))))</f>
        <v/>
      </c>
      <c r="L98" s="6">
        <f>IF(D98="N","",IF(OR(E98="",F98=""),"",IF(G98="N/A",100*((0.60*E98)+(0.40*F98))/5,IF(G98="",100*((0.60*E98)+(0.40*F98))/5,100*((0.45*E98)+(0.30*F98)+(0.25*G98))/5))))</f>
        <v/>
      </c>
      <c r="M98" s="6">
        <f>IF(D98="N","",IFERROR(VLOOKUP(A98,'P0-4_Required_Maturity'!$A$2:$I$12,9,FALSE),3))</f>
        <v/>
      </c>
      <c r="N98" s="6">
        <f>IF(OR(E98="",M98=""),"",M98-E98)</f>
        <v/>
      </c>
      <c r="O98" s="6">
        <f>IF(D98="N","N/A",IF(OR(E98="",F98="",H98=""),"INCOMPLETE",IF(AND(L98&gt;=80,H98="E0"),"REVIEW",IF(AND(L98&gt;=80,OR(I98="N",J98="N")),"CORROBORATION REVIEW","OK"))))</f>
        <v/>
      </c>
      <c r="P98" s="6" t="n"/>
    </row>
    <row r="99">
      <c r="A99" s="8" t="inlineStr">
        <is>
          <t>D08</t>
        </is>
      </c>
      <c r="B99" s="8" t="inlineStr">
        <is>
          <t>I07</t>
        </is>
      </c>
      <c r="C99" s="8" t="inlineStr">
        <is>
          <t>Cyber &amp; Information Security</t>
        </is>
      </c>
      <c r="D99" s="8" t="inlineStr">
        <is>
          <t>Y</t>
        </is>
      </c>
      <c r="E99" s="6" t="n"/>
      <c r="F99" s="6" t="n"/>
      <c r="G99" s="6" t="n"/>
      <c r="H99" s="8" t="inlineStr">
        <is>
          <t>E0</t>
        </is>
      </c>
      <c r="I99" s="8" t="inlineStr">
        <is>
          <t>N</t>
        </is>
      </c>
      <c r="J99" s="8" t="inlineStr">
        <is>
          <t>N</t>
        </is>
      </c>
      <c r="K99" s="6">
        <f>IF(H99="E0",0.20,IF(H99="E1",0.40,IF(H99="E2",0.65,IF(H99="E3",0.85,IF(H99="E4",1.00,0)))))</f>
        <v/>
      </c>
      <c r="L99" s="6">
        <f>IF(D99="N","",IF(OR(E99="",F99=""),"",IF(G99="N/A",100*((0.60*E99)+(0.40*F99))/5,IF(G99="",100*((0.60*E99)+(0.40*F99))/5,100*((0.45*E99)+(0.30*F99)+(0.25*G99))/5))))</f>
        <v/>
      </c>
      <c r="M99" s="6">
        <f>IF(D99="N","",IFERROR(VLOOKUP(A99,'P0-4_Required_Maturity'!$A$2:$I$12,9,FALSE),3))</f>
        <v/>
      </c>
      <c r="N99" s="6">
        <f>IF(OR(E99="",M99=""),"",M99-E99)</f>
        <v/>
      </c>
      <c r="O99" s="6">
        <f>IF(D99="N","N/A",IF(OR(E99="",F99="",H99=""),"INCOMPLETE",IF(AND(L99&gt;=80,H99="E0"),"REVIEW",IF(AND(L99&gt;=80,OR(I99="N",J99="N")),"CORROBORATION REVIEW","OK"))))</f>
        <v/>
      </c>
      <c r="P99" s="6" t="n"/>
    </row>
    <row r="100">
      <c r="A100" s="8" t="inlineStr">
        <is>
          <t>D08</t>
        </is>
      </c>
      <c r="B100" s="8" t="inlineStr">
        <is>
          <t>I08</t>
        </is>
      </c>
      <c r="C100" s="8" t="inlineStr">
        <is>
          <t>Data Privacy Readiness</t>
        </is>
      </c>
      <c r="D100" s="8" t="inlineStr">
        <is>
          <t>Y</t>
        </is>
      </c>
      <c r="E100" s="6" t="n"/>
      <c r="F100" s="6" t="n"/>
      <c r="G100" s="6" t="n"/>
      <c r="H100" s="8" t="inlineStr">
        <is>
          <t>E0</t>
        </is>
      </c>
      <c r="I100" s="8" t="inlineStr">
        <is>
          <t>N</t>
        </is>
      </c>
      <c r="J100" s="8" t="inlineStr">
        <is>
          <t>N</t>
        </is>
      </c>
      <c r="K100" s="6">
        <f>IF(H100="E0",0.20,IF(H100="E1",0.40,IF(H100="E2",0.65,IF(H100="E3",0.85,IF(H100="E4",1.00,0)))))</f>
        <v/>
      </c>
      <c r="L100" s="6">
        <f>IF(D100="N","",IF(OR(E100="",F100=""),"",IF(G100="N/A",100*((0.60*E100)+(0.40*F100))/5,IF(G100="",100*((0.60*E100)+(0.40*F100))/5,100*((0.45*E100)+(0.30*F100)+(0.25*G100))/5))))</f>
        <v/>
      </c>
      <c r="M100" s="6">
        <f>IF(D100="N","",IFERROR(VLOOKUP(A100,'P0-4_Required_Maturity'!$A$2:$I$12,9,FALSE),3))</f>
        <v/>
      </c>
      <c r="N100" s="6">
        <f>IF(OR(E100="",M100=""),"",M100-E100)</f>
        <v/>
      </c>
      <c r="O100" s="6">
        <f>IF(D100="N","N/A",IF(OR(E100="",F100="",H100=""),"INCOMPLETE",IF(AND(L100&gt;=80,H100="E0"),"REVIEW",IF(AND(L100&gt;=80,OR(I100="N",J100="N")),"CORROBORATION REVIEW","OK"))))</f>
        <v/>
      </c>
      <c r="P100" s="6" t="n"/>
    </row>
    <row r="101">
      <c r="A101" s="8" t="inlineStr">
        <is>
          <t>D08</t>
        </is>
      </c>
      <c r="B101" s="8" t="inlineStr">
        <is>
          <t>I09</t>
        </is>
      </c>
      <c r="C101" s="8" t="inlineStr">
        <is>
          <t>Digital Equity &amp; Access</t>
        </is>
      </c>
      <c r="D101" s="8" t="inlineStr">
        <is>
          <t>Y</t>
        </is>
      </c>
      <c r="E101" s="6" t="n"/>
      <c r="F101" s="6" t="n"/>
      <c r="G101" s="6" t="n"/>
      <c r="H101" s="8" t="inlineStr">
        <is>
          <t>E0</t>
        </is>
      </c>
      <c r="I101" s="8" t="inlineStr">
        <is>
          <t>N</t>
        </is>
      </c>
      <c r="J101" s="8" t="inlineStr">
        <is>
          <t>N</t>
        </is>
      </c>
      <c r="K101" s="6">
        <f>IF(H101="E0",0.20,IF(H101="E1",0.40,IF(H101="E2",0.65,IF(H101="E3",0.85,IF(H101="E4",1.00,0)))))</f>
        <v/>
      </c>
      <c r="L101" s="6">
        <f>IF(D101="N","",IF(OR(E101="",F101=""),"",IF(G101="N/A",100*((0.60*E101)+(0.40*F101))/5,IF(G101="",100*((0.60*E101)+(0.40*F101))/5,100*((0.45*E101)+(0.30*F101)+(0.25*G101))/5))))</f>
        <v/>
      </c>
      <c r="M101" s="6">
        <f>IF(D101="N","",IFERROR(VLOOKUP(A101,'P0-4_Required_Maturity'!$A$2:$I$12,9,FALSE),3))</f>
        <v/>
      </c>
      <c r="N101" s="6">
        <f>IF(OR(E101="",M101=""),"",M101-E101)</f>
        <v/>
      </c>
      <c r="O101" s="6">
        <f>IF(D101="N","N/A",IF(OR(E101="",F101="",H101=""),"INCOMPLETE",IF(AND(L101&gt;=80,H101="E0"),"REVIEW",IF(AND(L101&gt;=80,OR(I101="N",J101="N")),"CORROBORATION REVIEW","OK"))))</f>
        <v/>
      </c>
      <c r="P101" s="6" t="n"/>
    </row>
    <row r="102">
      <c r="A102" s="8" t="inlineStr">
        <is>
          <t>D08</t>
        </is>
      </c>
      <c r="B102" s="8" t="inlineStr">
        <is>
          <t>I10</t>
        </is>
      </c>
      <c r="C102" s="8" t="inlineStr">
        <is>
          <t>Technology Decision Governance</t>
        </is>
      </c>
      <c r="D102" s="8" t="inlineStr">
        <is>
          <t>Y</t>
        </is>
      </c>
      <c r="E102" s="6" t="n"/>
      <c r="F102" s="6" t="n"/>
      <c r="G102" s="6" t="n"/>
      <c r="H102" s="8" t="inlineStr">
        <is>
          <t>E0</t>
        </is>
      </c>
      <c r="I102" s="8" t="inlineStr">
        <is>
          <t>N</t>
        </is>
      </c>
      <c r="J102" s="8" t="inlineStr">
        <is>
          <t>N</t>
        </is>
      </c>
      <c r="K102" s="6">
        <f>IF(H102="E0",0.20,IF(H102="E1",0.40,IF(H102="E2",0.65,IF(H102="E3",0.85,IF(H102="E4",1.00,0)))))</f>
        <v/>
      </c>
      <c r="L102" s="6">
        <f>IF(D102="N","",IF(OR(E102="",F102=""),"",IF(G102="N/A",100*((0.60*E102)+(0.40*F102))/5,IF(G102="",100*((0.60*E102)+(0.40*F102))/5,100*((0.45*E102)+(0.30*F102)+(0.25*G102))/5))))</f>
        <v/>
      </c>
      <c r="M102" s="6">
        <f>IF(D102="N","",IFERROR(VLOOKUP(A102,'P0-4_Required_Maturity'!$A$2:$I$12,9,FALSE),3))</f>
        <v/>
      </c>
      <c r="N102" s="6">
        <f>IF(OR(E102="",M102=""),"",M102-E102)</f>
        <v/>
      </c>
      <c r="O102" s="6">
        <f>IF(D102="N","N/A",IF(OR(E102="",F102="",H102=""),"INCOMPLETE",IF(AND(L102&gt;=80,H102="E0"),"REVIEW",IF(AND(L102&gt;=80,OR(I102="N",J102="N")),"CORROBORATION REVIEW","OK"))))</f>
        <v/>
      </c>
      <c r="P102" s="6" t="n"/>
    </row>
    <row r="103">
      <c r="A103" s="8" t="inlineStr">
        <is>
          <t>D08</t>
        </is>
      </c>
      <c r="B103" s="8" t="inlineStr">
        <is>
          <t>I11</t>
        </is>
      </c>
      <c r="C103" s="8" t="inlineStr">
        <is>
          <t>Digital Process Maturity</t>
        </is>
      </c>
      <c r="D103" s="8" t="inlineStr">
        <is>
          <t>Y</t>
        </is>
      </c>
      <c r="E103" s="6" t="n"/>
      <c r="F103" s="6" t="n"/>
      <c r="G103" s="6" t="n"/>
      <c r="H103" s="8" t="inlineStr">
        <is>
          <t>E0</t>
        </is>
      </c>
      <c r="I103" s="8" t="inlineStr">
        <is>
          <t>N</t>
        </is>
      </c>
      <c r="J103" s="8" t="inlineStr">
        <is>
          <t>N</t>
        </is>
      </c>
      <c r="K103" s="6">
        <f>IF(H103="E0",0.20,IF(H103="E1",0.40,IF(H103="E2",0.65,IF(H103="E3",0.85,IF(H103="E4",1.00,0)))))</f>
        <v/>
      </c>
      <c r="L103" s="6">
        <f>IF(D103="N","",IF(OR(E103="",F103=""),"",IF(G103="N/A",100*((0.60*E103)+(0.40*F103))/5,IF(G103="",100*((0.60*E103)+(0.40*F103))/5,100*((0.45*E103)+(0.30*F103)+(0.25*G103))/5))))</f>
        <v/>
      </c>
      <c r="M103" s="6">
        <f>IF(D103="N","",IFERROR(VLOOKUP(A103,'P0-4_Required_Maturity'!$A$2:$I$12,9,FALSE),3))</f>
        <v/>
      </c>
      <c r="N103" s="6">
        <f>IF(OR(E103="",M103=""),"",M103-E103)</f>
        <v/>
      </c>
      <c r="O103" s="6">
        <f>IF(D103="N","N/A",IF(OR(E103="",F103="",H103=""),"INCOMPLETE",IF(AND(L103&gt;=80,H103="E0"),"REVIEW",IF(AND(L103&gt;=80,OR(I103="N",J103="N")),"CORROBORATION REVIEW","OK"))))</f>
        <v/>
      </c>
      <c r="P103" s="6" t="n"/>
    </row>
    <row r="104">
      <c r="A104" s="8" t="inlineStr">
        <is>
          <t>D08</t>
        </is>
      </c>
      <c r="B104" s="8" t="inlineStr">
        <is>
          <t>I12</t>
        </is>
      </c>
      <c r="C104" s="8" t="inlineStr">
        <is>
          <t>Institutional Intelligence Capability</t>
        </is>
      </c>
      <c r="D104" s="8" t="inlineStr">
        <is>
          <t>Y</t>
        </is>
      </c>
      <c r="E104" s="6" t="n"/>
      <c r="F104" s="6" t="n"/>
      <c r="G104" s="6" t="n"/>
      <c r="H104" s="8" t="inlineStr">
        <is>
          <t>E0</t>
        </is>
      </c>
      <c r="I104" s="8" t="inlineStr">
        <is>
          <t>N</t>
        </is>
      </c>
      <c r="J104" s="8" t="inlineStr">
        <is>
          <t>N</t>
        </is>
      </c>
      <c r="K104" s="6">
        <f>IF(H104="E0",0.20,IF(H104="E1",0.40,IF(H104="E2",0.65,IF(H104="E3",0.85,IF(H104="E4",1.00,0)))))</f>
        <v/>
      </c>
      <c r="L104" s="6">
        <f>IF(D104="N","",IF(OR(E104="",F104=""),"",IF(G104="N/A",100*((0.60*E104)+(0.40*F104))/5,IF(G104="",100*((0.60*E104)+(0.40*F104))/5,100*((0.45*E104)+(0.30*F104)+(0.25*G104))/5))))</f>
        <v/>
      </c>
      <c r="M104" s="6">
        <f>IF(D104="N","",IFERROR(VLOOKUP(A104,'P0-4_Required_Maturity'!$A$2:$I$12,9,FALSE),3))</f>
        <v/>
      </c>
      <c r="N104" s="6">
        <f>IF(OR(E104="",M104=""),"",M104-E104)</f>
        <v/>
      </c>
      <c r="O104" s="6">
        <f>IF(D104="N","N/A",IF(OR(E104="",F104="",H104=""),"INCOMPLETE",IF(AND(L104&gt;=80,H104="E0"),"REVIEW",IF(AND(L104&gt;=80,OR(I104="N",J104="N")),"CORROBORATION REVIEW","OK"))))</f>
        <v/>
      </c>
      <c r="P104" s="6" t="n"/>
    </row>
    <row r="105">
      <c r="A105" s="8" t="inlineStr">
        <is>
          <t>D09</t>
        </is>
      </c>
      <c r="B105" s="8" t="inlineStr">
        <is>
          <t>I01</t>
        </is>
      </c>
      <c r="C105" s="8" t="inlineStr">
        <is>
          <t>Employer Demand Sensing</t>
        </is>
      </c>
      <c r="D105" s="8" t="inlineStr">
        <is>
          <t>Y</t>
        </is>
      </c>
      <c r="E105" s="6" t="n"/>
      <c r="F105" s="6" t="n"/>
      <c r="G105" s="6" t="n"/>
      <c r="H105" s="8" t="inlineStr">
        <is>
          <t>E0</t>
        </is>
      </c>
      <c r="I105" s="8" t="inlineStr">
        <is>
          <t>N</t>
        </is>
      </c>
      <c r="J105" s="8" t="inlineStr">
        <is>
          <t>N</t>
        </is>
      </c>
      <c r="K105" s="6">
        <f>IF(H105="E0",0.20,IF(H105="E1",0.40,IF(H105="E2",0.65,IF(H105="E3",0.85,IF(H105="E4",1.00,0)))))</f>
        <v/>
      </c>
      <c r="L105" s="6">
        <f>IF(D105="N","",IF(OR(E105="",F105=""),"",IF(G105="N/A",100*((0.60*E105)+(0.40*F105))/5,IF(G105="",100*((0.60*E105)+(0.40*F105))/5,100*((0.45*E105)+(0.30*F105)+(0.25*G105))/5))))</f>
        <v/>
      </c>
      <c r="M105" s="6">
        <f>IF(D105="N","",IFERROR(VLOOKUP(A105,'P0-4_Required_Maturity'!$A$2:$I$12,9,FALSE),3))</f>
        <v/>
      </c>
      <c r="N105" s="6">
        <f>IF(OR(E105="",M105=""),"",M105-E105)</f>
        <v/>
      </c>
      <c r="O105" s="6">
        <f>IF(D105="N","N/A",IF(OR(E105="",F105="",H105=""),"INCOMPLETE",IF(AND(L105&gt;=80,H105="E0"),"REVIEW",IF(AND(L105&gt;=80,OR(I105="N",J105="N")),"CORROBORATION REVIEW","OK"))))</f>
        <v/>
      </c>
      <c r="P105" s="6" t="n"/>
    </row>
    <row r="106">
      <c r="A106" s="8" t="inlineStr">
        <is>
          <t>D09</t>
        </is>
      </c>
      <c r="B106" s="8" t="inlineStr">
        <is>
          <t>I02</t>
        </is>
      </c>
      <c r="C106" s="8" t="inlineStr">
        <is>
          <t>Employability Capability Architecture</t>
        </is>
      </c>
      <c r="D106" s="8" t="inlineStr">
        <is>
          <t>Y</t>
        </is>
      </c>
      <c r="E106" s="6" t="n"/>
      <c r="F106" s="6" t="n"/>
      <c r="G106" s="6" t="n"/>
      <c r="H106" s="8" t="inlineStr">
        <is>
          <t>E0</t>
        </is>
      </c>
      <c r="I106" s="8" t="inlineStr">
        <is>
          <t>N</t>
        </is>
      </c>
      <c r="J106" s="8" t="inlineStr">
        <is>
          <t>N</t>
        </is>
      </c>
      <c r="K106" s="6">
        <f>IF(H106="E0",0.20,IF(H106="E1",0.40,IF(H106="E2",0.65,IF(H106="E3",0.85,IF(H106="E4",1.00,0)))))</f>
        <v/>
      </c>
      <c r="L106" s="6">
        <f>IF(D106="N","",IF(OR(E106="",F106=""),"",IF(G106="N/A",100*((0.60*E106)+(0.40*F106))/5,IF(G106="",100*((0.60*E106)+(0.40*F106))/5,100*((0.45*E106)+(0.30*F106)+(0.25*G106))/5))))</f>
        <v/>
      </c>
      <c r="M106" s="6">
        <f>IF(D106="N","",IFERROR(VLOOKUP(A106,'P0-4_Required_Maturity'!$A$2:$I$12,9,FALSE),3))</f>
        <v/>
      </c>
      <c r="N106" s="6">
        <f>IF(OR(E106="",M106=""),"",M106-E106)</f>
        <v/>
      </c>
      <c r="O106" s="6">
        <f>IF(D106="N","N/A",IF(OR(E106="",F106="",H106=""),"INCOMPLETE",IF(AND(L106&gt;=80,H106="E0"),"REVIEW",IF(AND(L106&gt;=80,OR(I106="N",J106="N")),"CORROBORATION REVIEW","OK"))))</f>
        <v/>
      </c>
      <c r="P106" s="6" t="n"/>
    </row>
    <row r="107">
      <c r="A107" s="8" t="inlineStr">
        <is>
          <t>D09</t>
        </is>
      </c>
      <c r="B107" s="8" t="inlineStr">
        <is>
          <t>I03</t>
        </is>
      </c>
      <c r="C107" s="8" t="inlineStr">
        <is>
          <t>Industry-Validated Curriculum</t>
        </is>
      </c>
      <c r="D107" s="8" t="inlineStr">
        <is>
          <t>Y</t>
        </is>
      </c>
      <c r="E107" s="6" t="n"/>
      <c r="F107" s="6" t="n"/>
      <c r="G107" s="6" t="n"/>
      <c r="H107" s="8" t="inlineStr">
        <is>
          <t>E0</t>
        </is>
      </c>
      <c r="I107" s="8" t="inlineStr">
        <is>
          <t>N</t>
        </is>
      </c>
      <c r="J107" s="8" t="inlineStr">
        <is>
          <t>N</t>
        </is>
      </c>
      <c r="K107" s="6">
        <f>IF(H107="E0",0.20,IF(H107="E1",0.40,IF(H107="E2",0.65,IF(H107="E3",0.85,IF(H107="E4",1.00,0)))))</f>
        <v/>
      </c>
      <c r="L107" s="6">
        <f>IF(D107="N","",IF(OR(E107="",F107=""),"",IF(G107="N/A",100*((0.60*E107)+(0.40*F107))/5,IF(G107="",100*((0.60*E107)+(0.40*F107))/5,100*((0.45*E107)+(0.30*F107)+(0.25*G107))/5))))</f>
        <v/>
      </c>
      <c r="M107" s="6">
        <f>IF(D107="N","",IFERROR(VLOOKUP(A107,'P0-4_Required_Maturity'!$A$2:$I$12,9,FALSE),3))</f>
        <v/>
      </c>
      <c r="N107" s="6">
        <f>IF(OR(E107="",M107=""),"",M107-E107)</f>
        <v/>
      </c>
      <c r="O107" s="6">
        <f>IF(D107="N","N/A",IF(OR(E107="",F107="",H107=""),"INCOMPLETE",IF(AND(L107&gt;=80,H107="E0"),"REVIEW",IF(AND(L107&gt;=80,OR(I107="N",J107="N")),"CORROBORATION REVIEW","OK"))))</f>
        <v/>
      </c>
      <c r="P107" s="6" t="n"/>
    </row>
    <row r="108">
      <c r="A108" s="8" t="inlineStr">
        <is>
          <t>D09</t>
        </is>
      </c>
      <c r="B108" s="8" t="inlineStr">
        <is>
          <t>I04</t>
        </is>
      </c>
      <c r="C108" s="8" t="inlineStr">
        <is>
          <t>Practice-Based Learning</t>
        </is>
      </c>
      <c r="D108" s="8" t="inlineStr">
        <is>
          <t>Y</t>
        </is>
      </c>
      <c r="E108" s="6" t="n"/>
      <c r="F108" s="6" t="n"/>
      <c r="G108" s="6" t="n"/>
      <c r="H108" s="8" t="inlineStr">
        <is>
          <t>E0</t>
        </is>
      </c>
      <c r="I108" s="8" t="inlineStr">
        <is>
          <t>N</t>
        </is>
      </c>
      <c r="J108" s="8" t="inlineStr">
        <is>
          <t>N</t>
        </is>
      </c>
      <c r="K108" s="6">
        <f>IF(H108="E0",0.20,IF(H108="E1",0.40,IF(H108="E2",0.65,IF(H108="E3",0.85,IF(H108="E4",1.00,0)))))</f>
        <v/>
      </c>
      <c r="L108" s="6">
        <f>IF(D108="N","",IF(OR(E108="",F108=""),"",IF(G108="N/A",100*((0.60*E108)+(0.40*F108))/5,IF(G108="",100*((0.60*E108)+(0.40*F108))/5,100*((0.45*E108)+(0.30*F108)+(0.25*G108))/5))))</f>
        <v/>
      </c>
      <c r="M108" s="6">
        <f>IF(D108="N","",IFERROR(VLOOKUP(A108,'P0-4_Required_Maturity'!$A$2:$I$12,9,FALSE),3))</f>
        <v/>
      </c>
      <c r="N108" s="6">
        <f>IF(OR(E108="",M108=""),"",M108-E108)</f>
        <v/>
      </c>
      <c r="O108" s="6">
        <f>IF(D108="N","N/A",IF(OR(E108="",F108="",H108=""),"INCOMPLETE",IF(AND(L108&gt;=80,H108="E0"),"REVIEW",IF(AND(L108&gt;=80,OR(I108="N",J108="N")),"CORROBORATION REVIEW","OK"))))</f>
        <v/>
      </c>
      <c r="P108" s="6" t="n"/>
    </row>
    <row r="109">
      <c r="A109" s="8" t="inlineStr">
        <is>
          <t>D09</t>
        </is>
      </c>
      <c r="B109" s="8" t="inlineStr">
        <is>
          <t>I05</t>
        </is>
      </c>
      <c r="C109" s="8" t="inlineStr">
        <is>
          <t>Recruiter Confidence</t>
        </is>
      </c>
      <c r="D109" s="8" t="inlineStr">
        <is>
          <t>Y</t>
        </is>
      </c>
      <c r="E109" s="6" t="n"/>
      <c r="F109" s="6" t="n"/>
      <c r="G109" s="6" t="n"/>
      <c r="H109" s="8" t="inlineStr">
        <is>
          <t>E0</t>
        </is>
      </c>
      <c r="I109" s="8" t="inlineStr">
        <is>
          <t>N</t>
        </is>
      </c>
      <c r="J109" s="8" t="inlineStr">
        <is>
          <t>N</t>
        </is>
      </c>
      <c r="K109" s="6">
        <f>IF(H109="E0",0.20,IF(H109="E1",0.40,IF(H109="E2",0.65,IF(H109="E3",0.85,IF(H109="E4",1.00,0)))))</f>
        <v/>
      </c>
      <c r="L109" s="6">
        <f>IF(D109="N","",IF(OR(E109="",F109=""),"",IF(G109="N/A",100*((0.60*E109)+(0.40*F109))/5,IF(G109="",100*((0.60*E109)+(0.40*F109))/5,100*((0.45*E109)+(0.30*F109)+(0.25*G109))/5))))</f>
        <v/>
      </c>
      <c r="M109" s="6">
        <f>IF(D109="N","",IFERROR(VLOOKUP(A109,'P0-4_Required_Maturity'!$A$2:$I$12,9,FALSE),3))</f>
        <v/>
      </c>
      <c r="N109" s="6">
        <f>IF(OR(E109="",M109=""),"",M109-E109)</f>
        <v/>
      </c>
      <c r="O109" s="6">
        <f>IF(D109="N","N/A",IF(OR(E109="",F109="",H109=""),"INCOMPLETE",IF(AND(L109&gt;=80,H109="E0"),"REVIEW",IF(AND(L109&gt;=80,OR(I109="N",J109="N")),"CORROBORATION REVIEW","OK"))))</f>
        <v/>
      </c>
      <c r="P109" s="6" t="n"/>
    </row>
    <row r="110">
      <c r="A110" s="8" t="inlineStr">
        <is>
          <t>D09</t>
        </is>
      </c>
      <c r="B110" s="8" t="inlineStr">
        <is>
          <t>I06</t>
        </is>
      </c>
      <c r="C110" s="8" t="inlineStr">
        <is>
          <t>Placement Outcome Quality</t>
        </is>
      </c>
      <c r="D110" s="8" t="inlineStr">
        <is>
          <t>Y</t>
        </is>
      </c>
      <c r="E110" s="6" t="n"/>
      <c r="F110" s="6" t="n"/>
      <c r="G110" s="6" t="n"/>
      <c r="H110" s="8" t="inlineStr">
        <is>
          <t>E0</t>
        </is>
      </c>
      <c r="I110" s="8" t="inlineStr">
        <is>
          <t>N</t>
        </is>
      </c>
      <c r="J110" s="8" t="inlineStr">
        <is>
          <t>N</t>
        </is>
      </c>
      <c r="K110" s="6">
        <f>IF(H110="E0",0.20,IF(H110="E1",0.40,IF(H110="E2",0.65,IF(H110="E3",0.85,IF(H110="E4",1.00,0)))))</f>
        <v/>
      </c>
      <c r="L110" s="6">
        <f>IF(D110="N","",IF(OR(E110="",F110=""),"",IF(G110="N/A",100*((0.60*E110)+(0.40*F110))/5,IF(G110="",100*((0.60*E110)+(0.40*F110))/5,100*((0.45*E110)+(0.30*F110)+(0.25*G110))/5))))</f>
        <v/>
      </c>
      <c r="M110" s="6">
        <f>IF(D110="N","",IFERROR(VLOOKUP(A110,'P0-4_Required_Maturity'!$A$2:$I$12,9,FALSE),3))</f>
        <v/>
      </c>
      <c r="N110" s="6">
        <f>IF(OR(E110="",M110=""),"",M110-E110)</f>
        <v/>
      </c>
      <c r="O110" s="6">
        <f>IF(D110="N","N/A",IF(OR(E110="",F110="",H110=""),"INCOMPLETE",IF(AND(L110&gt;=80,H110="E0"),"REVIEW",IF(AND(L110&gt;=80,OR(I110="N",J110="N")),"CORROBORATION REVIEW","OK"))))</f>
        <v/>
      </c>
      <c r="P110" s="6" t="n"/>
    </row>
    <row r="111">
      <c r="A111" s="8" t="inlineStr">
        <is>
          <t>D09</t>
        </is>
      </c>
      <c r="B111" s="8" t="inlineStr">
        <is>
          <t>I07</t>
        </is>
      </c>
      <c r="C111" s="8" t="inlineStr">
        <is>
          <t>Career Adaptability</t>
        </is>
      </c>
      <c r="D111" s="8" t="inlineStr">
        <is>
          <t>Y</t>
        </is>
      </c>
      <c r="E111" s="6" t="n"/>
      <c r="F111" s="6" t="n"/>
      <c r="G111" s="6" t="n"/>
      <c r="H111" s="8" t="inlineStr">
        <is>
          <t>E0</t>
        </is>
      </c>
      <c r="I111" s="8" t="inlineStr">
        <is>
          <t>N</t>
        </is>
      </c>
      <c r="J111" s="8" t="inlineStr">
        <is>
          <t>N</t>
        </is>
      </c>
      <c r="K111" s="6">
        <f>IF(H111="E0",0.20,IF(H111="E1",0.40,IF(H111="E2",0.65,IF(H111="E3",0.85,IF(H111="E4",1.00,0)))))</f>
        <v/>
      </c>
      <c r="L111" s="6">
        <f>IF(D111="N","",IF(OR(E111="",F111=""),"",IF(G111="N/A",100*((0.60*E111)+(0.40*F111))/5,IF(G111="",100*((0.60*E111)+(0.40*F111))/5,100*((0.45*E111)+(0.30*F111)+(0.25*G111))/5))))</f>
        <v/>
      </c>
      <c r="M111" s="6">
        <f>IF(D111="N","",IFERROR(VLOOKUP(A111,'P0-4_Required_Maturity'!$A$2:$I$12,9,FALSE),3))</f>
        <v/>
      </c>
      <c r="N111" s="6">
        <f>IF(OR(E111="",M111=""),"",M111-E111)</f>
        <v/>
      </c>
      <c r="O111" s="6">
        <f>IF(D111="N","N/A",IF(OR(E111="",F111="",H111=""),"INCOMPLETE",IF(AND(L111&gt;=80,H111="E0"),"REVIEW",IF(AND(L111&gt;=80,OR(I111="N",J111="N")),"CORROBORATION REVIEW","OK"))))</f>
        <v/>
      </c>
      <c r="P111" s="6" t="n"/>
    </row>
    <row r="112">
      <c r="A112" s="8" t="inlineStr">
        <is>
          <t>D09</t>
        </is>
      </c>
      <c r="B112" s="8" t="inlineStr">
        <is>
          <t>I08</t>
        </is>
      </c>
      <c r="C112" s="8" t="inlineStr">
        <is>
          <t>AI-Era Employability Readiness</t>
        </is>
      </c>
      <c r="D112" s="8" t="inlineStr">
        <is>
          <t>Y</t>
        </is>
      </c>
      <c r="E112" s="6" t="n"/>
      <c r="F112" s="6" t="n"/>
      <c r="G112" s="6" t="n"/>
      <c r="H112" s="8" t="inlineStr">
        <is>
          <t>E0</t>
        </is>
      </c>
      <c r="I112" s="8" t="inlineStr">
        <is>
          <t>N</t>
        </is>
      </c>
      <c r="J112" s="8" t="inlineStr">
        <is>
          <t>N</t>
        </is>
      </c>
      <c r="K112" s="6">
        <f>IF(H112="E0",0.20,IF(H112="E1",0.40,IF(H112="E2",0.65,IF(H112="E3",0.85,IF(H112="E4",1.00,0)))))</f>
        <v/>
      </c>
      <c r="L112" s="6">
        <f>IF(D112="N","",IF(OR(E112="",F112=""),"",IF(G112="N/A",100*((0.60*E112)+(0.40*F112))/5,IF(G112="",100*((0.60*E112)+(0.40*F112))/5,100*((0.45*E112)+(0.30*F112)+(0.25*G112))/5))))</f>
        <v/>
      </c>
      <c r="M112" s="6">
        <f>IF(D112="N","",IFERROR(VLOOKUP(A112,'P0-4_Required_Maturity'!$A$2:$I$12,9,FALSE),3))</f>
        <v/>
      </c>
      <c r="N112" s="6">
        <f>IF(OR(E112="",M112=""),"",M112-E112)</f>
        <v/>
      </c>
      <c r="O112" s="6">
        <f>IF(D112="N","N/A",IF(OR(E112="",F112="",H112=""),"INCOMPLETE",IF(AND(L112&gt;=80,H112="E0"),"REVIEW",IF(AND(L112&gt;=80,OR(I112="N",J112="N")),"CORROBORATION REVIEW","OK"))))</f>
        <v/>
      </c>
      <c r="P112" s="6" t="n"/>
    </row>
    <row r="113">
      <c r="A113" s="8" t="inlineStr">
        <is>
          <t>D09</t>
        </is>
      </c>
      <c r="B113" s="8" t="inlineStr">
        <is>
          <t>I09</t>
        </is>
      </c>
      <c r="C113" s="8" t="inlineStr">
        <is>
          <t>Capability Signalling</t>
        </is>
      </c>
      <c r="D113" s="8" t="inlineStr">
        <is>
          <t>Y</t>
        </is>
      </c>
      <c r="E113" s="6" t="n"/>
      <c r="F113" s="6" t="n"/>
      <c r="G113" s="6" t="n"/>
      <c r="H113" s="8" t="inlineStr">
        <is>
          <t>E0</t>
        </is>
      </c>
      <c r="I113" s="8" t="inlineStr">
        <is>
          <t>N</t>
        </is>
      </c>
      <c r="J113" s="8" t="inlineStr">
        <is>
          <t>N</t>
        </is>
      </c>
      <c r="K113" s="6">
        <f>IF(H113="E0",0.20,IF(H113="E1",0.40,IF(H113="E2",0.65,IF(H113="E3",0.85,IF(H113="E4",1.00,0)))))</f>
        <v/>
      </c>
      <c r="L113" s="6">
        <f>IF(D113="N","",IF(OR(E113="",F113=""),"",IF(G113="N/A",100*((0.60*E113)+(0.40*F113))/5,IF(G113="",100*((0.60*E113)+(0.40*F113))/5,100*((0.45*E113)+(0.30*F113)+(0.25*G113))/5))))</f>
        <v/>
      </c>
      <c r="M113" s="6">
        <f>IF(D113="N","",IFERROR(VLOOKUP(A113,'P0-4_Required_Maturity'!$A$2:$I$12,9,FALSE),3))</f>
        <v/>
      </c>
      <c r="N113" s="6">
        <f>IF(OR(E113="",M113=""),"",M113-E113)</f>
        <v/>
      </c>
      <c r="O113" s="6">
        <f>IF(D113="N","N/A",IF(OR(E113="",F113="",H113=""),"INCOMPLETE",IF(AND(L113&gt;=80,H113="E0"),"REVIEW",IF(AND(L113&gt;=80,OR(I113="N",J113="N")),"CORROBORATION REVIEW","OK"))))</f>
        <v/>
      </c>
      <c r="P113" s="6" t="n"/>
    </row>
    <row r="114">
      <c r="A114" s="8" t="inlineStr">
        <is>
          <t>D09</t>
        </is>
      </c>
      <c r="B114" s="8" t="inlineStr">
        <is>
          <t>I10</t>
        </is>
      </c>
      <c r="C114" s="8" t="inlineStr">
        <is>
          <t>Industry Co-Creation</t>
        </is>
      </c>
      <c r="D114" s="8" t="inlineStr">
        <is>
          <t>Y</t>
        </is>
      </c>
      <c r="E114" s="6" t="n"/>
      <c r="F114" s="6" t="n"/>
      <c r="G114" s="6" t="n"/>
      <c r="H114" s="8" t="inlineStr">
        <is>
          <t>E0</t>
        </is>
      </c>
      <c r="I114" s="8" t="inlineStr">
        <is>
          <t>N</t>
        </is>
      </c>
      <c r="J114" s="8" t="inlineStr">
        <is>
          <t>N</t>
        </is>
      </c>
      <c r="K114" s="6">
        <f>IF(H114="E0",0.20,IF(H114="E1",0.40,IF(H114="E2",0.65,IF(H114="E3",0.85,IF(H114="E4",1.00,0)))))</f>
        <v/>
      </c>
      <c r="L114" s="6">
        <f>IF(D114="N","",IF(OR(E114="",F114=""),"",IF(G114="N/A",100*((0.60*E114)+(0.40*F114))/5,IF(G114="",100*((0.60*E114)+(0.40*F114))/5,100*((0.45*E114)+(0.30*F114)+(0.25*G114))/5))))</f>
        <v/>
      </c>
      <c r="M114" s="6">
        <f>IF(D114="N","",IFERROR(VLOOKUP(A114,'P0-4_Required_Maturity'!$A$2:$I$12,9,FALSE),3))</f>
        <v/>
      </c>
      <c r="N114" s="6">
        <f>IF(OR(E114="",M114=""),"",M114-E114)</f>
        <v/>
      </c>
      <c r="O114" s="6">
        <f>IF(D114="N","N/A",IF(OR(E114="",F114="",H114=""),"INCOMPLETE",IF(AND(L114&gt;=80,H114="E0"),"REVIEW",IF(AND(L114&gt;=80,OR(I114="N",J114="N")),"CORROBORATION REVIEW","OK"))))</f>
        <v/>
      </c>
      <c r="P114" s="6" t="n"/>
    </row>
    <row r="115">
      <c r="A115" s="8" t="inlineStr">
        <is>
          <t>D09</t>
        </is>
      </c>
      <c r="B115" s="8" t="inlineStr">
        <is>
          <t>I11</t>
        </is>
      </c>
      <c r="C115" s="8" t="inlineStr">
        <is>
          <t>Regional/Economic Relevance</t>
        </is>
      </c>
      <c r="D115" s="8" t="inlineStr">
        <is>
          <t>Y</t>
        </is>
      </c>
      <c r="E115" s="6" t="n"/>
      <c r="F115" s="6" t="n"/>
      <c r="G115" s="6" t="n"/>
      <c r="H115" s="8" t="inlineStr">
        <is>
          <t>E0</t>
        </is>
      </c>
      <c r="I115" s="8" t="inlineStr">
        <is>
          <t>N</t>
        </is>
      </c>
      <c r="J115" s="8" t="inlineStr">
        <is>
          <t>N</t>
        </is>
      </c>
      <c r="K115" s="6">
        <f>IF(H115="E0",0.20,IF(H115="E1",0.40,IF(H115="E2",0.65,IF(H115="E3",0.85,IF(H115="E4",1.00,0)))))</f>
        <v/>
      </c>
      <c r="L115" s="6">
        <f>IF(D115="N","",IF(OR(E115="",F115=""),"",IF(G115="N/A",100*((0.60*E115)+(0.40*F115))/5,IF(G115="",100*((0.60*E115)+(0.40*F115))/5,100*((0.45*E115)+(0.30*F115)+(0.25*G115))/5))))</f>
        <v/>
      </c>
      <c r="M115" s="6">
        <f>IF(D115="N","",IFERROR(VLOOKUP(A115,'P0-4_Required_Maturity'!$A$2:$I$12,9,FALSE),3))</f>
        <v/>
      </c>
      <c r="N115" s="6">
        <f>IF(OR(E115="",M115=""),"",M115-E115)</f>
        <v/>
      </c>
      <c r="O115" s="6">
        <f>IF(D115="N","N/A",IF(OR(E115="",F115="",H115=""),"INCOMPLETE",IF(AND(L115&gt;=80,H115="E0"),"REVIEW",IF(AND(L115&gt;=80,OR(I115="N",J115="N")),"CORROBORATION REVIEW","OK"))))</f>
        <v/>
      </c>
      <c r="P115" s="6" t="n"/>
    </row>
    <row r="116">
      <c r="A116" s="8" t="inlineStr">
        <is>
          <t>D09</t>
        </is>
      </c>
      <c r="B116" s="8" t="inlineStr">
        <is>
          <t>I12</t>
        </is>
      </c>
      <c r="C116" s="8" t="inlineStr">
        <is>
          <t>Alumni Career Intelligence</t>
        </is>
      </c>
      <c r="D116" s="8" t="inlineStr">
        <is>
          <t>Y</t>
        </is>
      </c>
      <c r="E116" s="6" t="n"/>
      <c r="F116" s="6" t="n"/>
      <c r="G116" s="6" t="n"/>
      <c r="H116" s="8" t="inlineStr">
        <is>
          <t>E0</t>
        </is>
      </c>
      <c r="I116" s="8" t="inlineStr">
        <is>
          <t>N</t>
        </is>
      </c>
      <c r="J116" s="8" t="inlineStr">
        <is>
          <t>N</t>
        </is>
      </c>
      <c r="K116" s="6">
        <f>IF(H116="E0",0.20,IF(H116="E1",0.40,IF(H116="E2",0.65,IF(H116="E3",0.85,IF(H116="E4",1.00,0)))))</f>
        <v/>
      </c>
      <c r="L116" s="6">
        <f>IF(D116="N","",IF(OR(E116="",F116=""),"",IF(G116="N/A",100*((0.60*E116)+(0.40*F116))/5,IF(G116="",100*((0.60*E116)+(0.40*F116))/5,100*((0.45*E116)+(0.30*F116)+(0.25*G116))/5))))</f>
        <v/>
      </c>
      <c r="M116" s="6">
        <f>IF(D116="N","",IFERROR(VLOOKUP(A116,'P0-4_Required_Maturity'!$A$2:$I$12,9,FALSE),3))</f>
        <v/>
      </c>
      <c r="N116" s="6">
        <f>IF(OR(E116="",M116=""),"",M116-E116)</f>
        <v/>
      </c>
      <c r="O116" s="6">
        <f>IF(D116="N","N/A",IF(OR(E116="",F116="",H116=""),"INCOMPLETE",IF(AND(L116&gt;=80,H116="E0"),"REVIEW",IF(AND(L116&gt;=80,OR(I116="N",J116="N")),"CORROBORATION REVIEW","OK"))))</f>
        <v/>
      </c>
      <c r="P116" s="6" t="n"/>
    </row>
    <row r="117">
      <c r="A117" s="8" t="inlineStr">
        <is>
          <t>D10</t>
        </is>
      </c>
      <c r="B117" s="8" t="inlineStr">
        <is>
          <t>I01</t>
        </is>
      </c>
      <c r="C117" s="8" t="inlineStr">
        <is>
          <t>Research Strategy Maturity</t>
        </is>
      </c>
      <c r="D117" s="8" t="inlineStr">
        <is>
          <t>Y</t>
        </is>
      </c>
      <c r="E117" s="6" t="n"/>
      <c r="F117" s="6" t="n"/>
      <c r="G117" s="6" t="n"/>
      <c r="H117" s="8" t="inlineStr">
        <is>
          <t>E0</t>
        </is>
      </c>
      <c r="I117" s="8" t="inlineStr">
        <is>
          <t>N</t>
        </is>
      </c>
      <c r="J117" s="8" t="inlineStr">
        <is>
          <t>N</t>
        </is>
      </c>
      <c r="K117" s="6">
        <f>IF(H117="E0",0.20,IF(H117="E1",0.40,IF(H117="E2",0.65,IF(H117="E3",0.85,IF(H117="E4",1.00,0)))))</f>
        <v/>
      </c>
      <c r="L117" s="6">
        <f>IF(D117="N","",IF(OR(E117="",F117=""),"",IF(G117="N/A",100*((0.60*E117)+(0.40*F117))/5,IF(G117="",100*((0.60*E117)+(0.40*F117))/5,100*((0.45*E117)+(0.30*F117)+(0.25*G117))/5))))</f>
        <v/>
      </c>
      <c r="M117" s="6">
        <f>IF(D117="N","",IFERROR(VLOOKUP(A117,'P0-4_Required_Maturity'!$A$2:$I$12,9,FALSE),3))</f>
        <v/>
      </c>
      <c r="N117" s="6">
        <f>IF(OR(E117="",M117=""),"",M117-E117)</f>
        <v/>
      </c>
      <c r="O117" s="6">
        <f>IF(D117="N","N/A",IF(OR(E117="",F117="",H117=""),"INCOMPLETE",IF(AND(L117&gt;=80,H117="E0"),"REVIEW",IF(AND(L117&gt;=80,OR(I117="N",J117="N")),"CORROBORATION REVIEW","OK"))))</f>
        <v/>
      </c>
      <c r="P117" s="6" t="n"/>
    </row>
    <row r="118">
      <c r="A118" s="8" t="inlineStr">
        <is>
          <t>D10</t>
        </is>
      </c>
      <c r="B118" s="8" t="inlineStr">
        <is>
          <t>I02</t>
        </is>
      </c>
      <c r="C118" s="8" t="inlineStr">
        <is>
          <t>Research Portfolio Balance</t>
        </is>
      </c>
      <c r="D118" s="8" t="inlineStr">
        <is>
          <t>Y</t>
        </is>
      </c>
      <c r="E118" s="6" t="n"/>
      <c r="F118" s="6" t="n"/>
      <c r="G118" s="6" t="n"/>
      <c r="H118" s="8" t="inlineStr">
        <is>
          <t>E0</t>
        </is>
      </c>
      <c r="I118" s="8" t="inlineStr">
        <is>
          <t>N</t>
        </is>
      </c>
      <c r="J118" s="8" t="inlineStr">
        <is>
          <t>N</t>
        </is>
      </c>
      <c r="K118" s="6">
        <f>IF(H118="E0",0.20,IF(H118="E1",0.40,IF(H118="E2",0.65,IF(H118="E3",0.85,IF(H118="E4",1.00,0)))))</f>
        <v/>
      </c>
      <c r="L118" s="6">
        <f>IF(D118="N","",IF(OR(E118="",F118=""),"",IF(G118="N/A",100*((0.60*E118)+(0.40*F118))/5,IF(G118="",100*((0.60*E118)+(0.40*F118))/5,100*((0.45*E118)+(0.30*F118)+(0.25*G118))/5))))</f>
        <v/>
      </c>
      <c r="M118" s="6">
        <f>IF(D118="N","",IFERROR(VLOOKUP(A118,'P0-4_Required_Maturity'!$A$2:$I$12,9,FALSE),3))</f>
        <v/>
      </c>
      <c r="N118" s="6">
        <f>IF(OR(E118="",M118=""),"",M118-E118)</f>
        <v/>
      </c>
      <c r="O118" s="6">
        <f>IF(D118="N","N/A",IF(OR(E118="",F118="",H118=""),"INCOMPLETE",IF(AND(L118&gt;=80,H118="E0"),"REVIEW",IF(AND(L118&gt;=80,OR(I118="N",J118="N")),"CORROBORATION REVIEW","OK"))))</f>
        <v/>
      </c>
      <c r="P118" s="6" t="n"/>
    </row>
    <row r="119">
      <c r="A119" s="8" t="inlineStr">
        <is>
          <t>D10</t>
        </is>
      </c>
      <c r="B119" s="8" t="inlineStr">
        <is>
          <t>I03</t>
        </is>
      </c>
      <c r="C119" s="8" t="inlineStr">
        <is>
          <t>Interdisciplinary Research Capability</t>
        </is>
      </c>
      <c r="D119" s="8" t="inlineStr">
        <is>
          <t>Y</t>
        </is>
      </c>
      <c r="E119" s="6" t="n"/>
      <c r="F119" s="6" t="n"/>
      <c r="G119" s="6" t="n"/>
      <c r="H119" s="8" t="inlineStr">
        <is>
          <t>E0</t>
        </is>
      </c>
      <c r="I119" s="8" t="inlineStr">
        <is>
          <t>N</t>
        </is>
      </c>
      <c r="J119" s="8" t="inlineStr">
        <is>
          <t>N</t>
        </is>
      </c>
      <c r="K119" s="6">
        <f>IF(H119="E0",0.20,IF(H119="E1",0.40,IF(H119="E2",0.65,IF(H119="E3",0.85,IF(H119="E4",1.00,0)))))</f>
        <v/>
      </c>
      <c r="L119" s="6">
        <f>IF(D119="N","",IF(OR(E119="",F119=""),"",IF(G119="N/A",100*((0.60*E119)+(0.40*F119))/5,IF(G119="",100*((0.60*E119)+(0.40*F119))/5,100*((0.45*E119)+(0.30*F119)+(0.25*G119))/5))))</f>
        <v/>
      </c>
      <c r="M119" s="6">
        <f>IF(D119="N","",IFERROR(VLOOKUP(A119,'P0-4_Required_Maturity'!$A$2:$I$12,9,FALSE),3))</f>
        <v/>
      </c>
      <c r="N119" s="6">
        <f>IF(OR(E119="",M119=""),"",M119-E119)</f>
        <v/>
      </c>
      <c r="O119" s="6">
        <f>IF(D119="N","N/A",IF(OR(E119="",F119="",H119=""),"INCOMPLETE",IF(AND(L119&gt;=80,H119="E0"),"REVIEW",IF(AND(L119&gt;=80,OR(I119="N",J119="N")),"CORROBORATION REVIEW","OK"))))</f>
        <v/>
      </c>
      <c r="P119" s="6" t="n"/>
    </row>
    <row r="120">
      <c r="A120" s="8" t="inlineStr">
        <is>
          <t>D10</t>
        </is>
      </c>
      <c r="B120" s="8" t="inlineStr">
        <is>
          <t>I04</t>
        </is>
      </c>
      <c r="C120" s="8" t="inlineStr">
        <is>
          <t>AI-Enabled Research Capability</t>
        </is>
      </c>
      <c r="D120" s="8" t="inlineStr">
        <is>
          <t>Y</t>
        </is>
      </c>
      <c r="E120" s="6" t="n"/>
      <c r="F120" s="6" t="n"/>
      <c r="G120" s="6" t="n"/>
      <c r="H120" s="8" t="inlineStr">
        <is>
          <t>E0</t>
        </is>
      </c>
      <c r="I120" s="8" t="inlineStr">
        <is>
          <t>N</t>
        </is>
      </c>
      <c r="J120" s="8" t="inlineStr">
        <is>
          <t>N</t>
        </is>
      </c>
      <c r="K120" s="6">
        <f>IF(H120="E0",0.20,IF(H120="E1",0.40,IF(H120="E2",0.65,IF(H120="E3",0.85,IF(H120="E4",1.00,0)))))</f>
        <v/>
      </c>
      <c r="L120" s="6">
        <f>IF(D120="N","",IF(OR(E120="",F120=""),"",IF(G120="N/A",100*((0.60*E120)+(0.40*F120))/5,IF(G120="",100*((0.60*E120)+(0.40*F120))/5,100*((0.45*E120)+(0.30*F120)+(0.25*G120))/5))))</f>
        <v/>
      </c>
      <c r="M120" s="6">
        <f>IF(D120="N","",IFERROR(VLOOKUP(A120,'P0-4_Required_Maturity'!$A$2:$I$12,9,FALSE),3))</f>
        <v/>
      </c>
      <c r="N120" s="6">
        <f>IF(OR(E120="",M120=""),"",M120-E120)</f>
        <v/>
      </c>
      <c r="O120" s="6">
        <f>IF(D120="N","N/A",IF(OR(E120="",F120="",H120=""),"INCOMPLETE",IF(AND(L120&gt;=80,H120="E0"),"REVIEW",IF(AND(L120&gt;=80,OR(I120="N",J120="N")),"CORROBORATION REVIEW","OK"))))</f>
        <v/>
      </c>
      <c r="P120" s="6" t="n"/>
    </row>
    <row r="121">
      <c r="A121" s="8" t="inlineStr">
        <is>
          <t>D10</t>
        </is>
      </c>
      <c r="B121" s="8" t="inlineStr">
        <is>
          <t>I05</t>
        </is>
      </c>
      <c r="C121" s="8" t="inlineStr">
        <is>
          <t>Research Infrastructure Readiness</t>
        </is>
      </c>
      <c r="D121" s="8" t="inlineStr">
        <is>
          <t>Y</t>
        </is>
      </c>
      <c r="E121" s="6" t="n"/>
      <c r="F121" s="6" t="n"/>
      <c r="G121" s="6" t="n"/>
      <c r="H121" s="8" t="inlineStr">
        <is>
          <t>E0</t>
        </is>
      </c>
      <c r="I121" s="8" t="inlineStr">
        <is>
          <t>N</t>
        </is>
      </c>
      <c r="J121" s="8" t="inlineStr">
        <is>
          <t>N</t>
        </is>
      </c>
      <c r="K121" s="6">
        <f>IF(H121="E0",0.20,IF(H121="E1",0.40,IF(H121="E2",0.65,IF(H121="E3",0.85,IF(H121="E4",1.00,0)))))</f>
        <v/>
      </c>
      <c r="L121" s="6">
        <f>IF(D121="N","",IF(OR(E121="",F121=""),"",IF(G121="N/A",100*((0.60*E121)+(0.40*F121))/5,IF(G121="",100*((0.60*E121)+(0.40*F121))/5,100*((0.45*E121)+(0.30*F121)+(0.25*G121))/5))))</f>
        <v/>
      </c>
      <c r="M121" s="6">
        <f>IF(D121="N","",IFERROR(VLOOKUP(A121,'P0-4_Required_Maturity'!$A$2:$I$12,9,FALSE),3))</f>
        <v/>
      </c>
      <c r="N121" s="6">
        <f>IF(OR(E121="",M121=""),"",M121-E121)</f>
        <v/>
      </c>
      <c r="O121" s="6">
        <f>IF(D121="N","N/A",IF(OR(E121="",F121="",H121=""),"INCOMPLETE",IF(AND(L121&gt;=80,H121="E0"),"REVIEW",IF(AND(L121&gt;=80,OR(I121="N",J121="N")),"CORROBORATION REVIEW","OK"))))</f>
        <v/>
      </c>
      <c r="P121" s="6" t="n"/>
    </row>
    <row r="122">
      <c r="A122" s="8" t="inlineStr">
        <is>
          <t>D10</t>
        </is>
      </c>
      <c r="B122" s="8" t="inlineStr">
        <is>
          <t>I06</t>
        </is>
      </c>
      <c r="C122" s="8" t="inlineStr">
        <is>
          <t>Researcher Capability</t>
        </is>
      </c>
      <c r="D122" s="8" t="inlineStr">
        <is>
          <t>Y</t>
        </is>
      </c>
      <c r="E122" s="6" t="n"/>
      <c r="F122" s="6" t="n"/>
      <c r="G122" s="6" t="n"/>
      <c r="H122" s="8" t="inlineStr">
        <is>
          <t>E0</t>
        </is>
      </c>
      <c r="I122" s="8" t="inlineStr">
        <is>
          <t>N</t>
        </is>
      </c>
      <c r="J122" s="8" t="inlineStr">
        <is>
          <t>N</t>
        </is>
      </c>
      <c r="K122" s="6">
        <f>IF(H122="E0",0.20,IF(H122="E1",0.40,IF(H122="E2",0.65,IF(H122="E3",0.85,IF(H122="E4",1.00,0)))))</f>
        <v/>
      </c>
      <c r="L122" s="6">
        <f>IF(D122="N","",IF(OR(E122="",F122=""),"",IF(G122="N/A",100*((0.60*E122)+(0.40*F122))/5,IF(G122="",100*((0.60*E122)+(0.40*F122))/5,100*((0.45*E122)+(0.30*F122)+(0.25*G122))/5))))</f>
        <v/>
      </c>
      <c r="M122" s="6">
        <f>IF(D122="N","",IFERROR(VLOOKUP(A122,'P0-4_Required_Maturity'!$A$2:$I$12,9,FALSE),3))</f>
        <v/>
      </c>
      <c r="N122" s="6">
        <f>IF(OR(E122="",M122=""),"",M122-E122)</f>
        <v/>
      </c>
      <c r="O122" s="6">
        <f>IF(D122="N","N/A",IF(OR(E122="",F122="",H122=""),"INCOMPLETE",IF(AND(L122&gt;=80,H122="E0"),"REVIEW",IF(AND(L122&gt;=80,OR(I122="N",J122="N")),"CORROBORATION REVIEW","OK"))))</f>
        <v/>
      </c>
      <c r="P122" s="6" t="n"/>
    </row>
    <row r="123">
      <c r="A123" s="8" t="inlineStr">
        <is>
          <t>D10</t>
        </is>
      </c>
      <c r="B123" s="8" t="inlineStr">
        <is>
          <t>I07</t>
        </is>
      </c>
      <c r="C123" s="8" t="inlineStr">
        <is>
          <t>Research Funding Capability</t>
        </is>
      </c>
      <c r="D123" s="8" t="inlineStr">
        <is>
          <t>Y</t>
        </is>
      </c>
      <c r="E123" s="6" t="n"/>
      <c r="F123" s="6" t="n"/>
      <c r="G123" s="6" t="n"/>
      <c r="H123" s="8" t="inlineStr">
        <is>
          <t>E0</t>
        </is>
      </c>
      <c r="I123" s="8" t="inlineStr">
        <is>
          <t>N</t>
        </is>
      </c>
      <c r="J123" s="8" t="inlineStr">
        <is>
          <t>N</t>
        </is>
      </c>
      <c r="K123" s="6">
        <f>IF(H123="E0",0.20,IF(H123="E1",0.40,IF(H123="E2",0.65,IF(H123="E3",0.85,IF(H123="E4",1.00,0)))))</f>
        <v/>
      </c>
      <c r="L123" s="6">
        <f>IF(D123="N","",IF(OR(E123="",F123=""),"",IF(G123="N/A",100*((0.60*E123)+(0.40*F123))/5,IF(G123="",100*((0.60*E123)+(0.40*F123))/5,100*((0.45*E123)+(0.30*F123)+(0.25*G123))/5))))</f>
        <v/>
      </c>
      <c r="M123" s="6">
        <f>IF(D123="N","",IFERROR(VLOOKUP(A123,'P0-4_Required_Maturity'!$A$2:$I$12,9,FALSE),3))</f>
        <v/>
      </c>
      <c r="N123" s="6">
        <f>IF(OR(E123="",M123=""),"",M123-E123)</f>
        <v/>
      </c>
      <c r="O123" s="6">
        <f>IF(D123="N","N/A",IF(OR(E123="",F123="",H123=""),"INCOMPLETE",IF(AND(L123&gt;=80,H123="E0"),"REVIEW",IF(AND(L123&gt;=80,OR(I123="N",J123="N")),"CORROBORATION REVIEW","OK"))))</f>
        <v/>
      </c>
      <c r="P123" s="6" t="n"/>
    </row>
    <row r="124">
      <c r="A124" s="8" t="inlineStr">
        <is>
          <t>D10</t>
        </is>
      </c>
      <c r="B124" s="8" t="inlineStr">
        <is>
          <t>I08</t>
        </is>
      </c>
      <c r="C124" s="8" t="inlineStr">
        <is>
          <t>Knowledge Translation Capability</t>
        </is>
      </c>
      <c r="D124" s="8" t="inlineStr">
        <is>
          <t>Y</t>
        </is>
      </c>
      <c r="E124" s="6" t="n"/>
      <c r="F124" s="6" t="n"/>
      <c r="G124" s="6" t="n"/>
      <c r="H124" s="8" t="inlineStr">
        <is>
          <t>E0</t>
        </is>
      </c>
      <c r="I124" s="8" t="inlineStr">
        <is>
          <t>N</t>
        </is>
      </c>
      <c r="J124" s="8" t="inlineStr">
        <is>
          <t>N</t>
        </is>
      </c>
      <c r="K124" s="6">
        <f>IF(H124="E0",0.20,IF(H124="E1",0.40,IF(H124="E2",0.65,IF(H124="E3",0.85,IF(H124="E4",1.00,0)))))</f>
        <v/>
      </c>
      <c r="L124" s="6">
        <f>IF(D124="N","",IF(OR(E124="",F124=""),"",IF(G124="N/A",100*((0.60*E124)+(0.40*F124))/5,IF(G124="",100*((0.60*E124)+(0.40*F124))/5,100*((0.45*E124)+(0.30*F124)+(0.25*G124))/5))))</f>
        <v/>
      </c>
      <c r="M124" s="6">
        <f>IF(D124="N","",IFERROR(VLOOKUP(A124,'P0-4_Required_Maturity'!$A$2:$I$12,9,FALSE),3))</f>
        <v/>
      </c>
      <c r="N124" s="6">
        <f>IF(OR(E124="",M124=""),"",M124-E124)</f>
        <v/>
      </c>
      <c r="O124" s="6">
        <f>IF(D124="N","N/A",IF(OR(E124="",F124="",H124=""),"INCOMPLETE",IF(AND(L124&gt;=80,H124="E0"),"REVIEW",IF(AND(L124&gt;=80,OR(I124="N",J124="N")),"CORROBORATION REVIEW","OK"))))</f>
        <v/>
      </c>
      <c r="P124" s="6" t="n"/>
    </row>
    <row r="125">
      <c r="A125" s="8" t="inlineStr">
        <is>
          <t>D10</t>
        </is>
      </c>
      <c r="B125" s="8" t="inlineStr">
        <is>
          <t>I09</t>
        </is>
      </c>
      <c r="C125" s="8" t="inlineStr">
        <is>
          <t>Industry-Linked Research</t>
        </is>
      </c>
      <c r="D125" s="8" t="inlineStr">
        <is>
          <t>Y</t>
        </is>
      </c>
      <c r="E125" s="6" t="n"/>
      <c r="F125" s="6" t="n"/>
      <c r="G125" s="6" t="n"/>
      <c r="H125" s="8" t="inlineStr">
        <is>
          <t>E0</t>
        </is>
      </c>
      <c r="I125" s="8" t="inlineStr">
        <is>
          <t>N</t>
        </is>
      </c>
      <c r="J125" s="8" t="inlineStr">
        <is>
          <t>N</t>
        </is>
      </c>
      <c r="K125" s="6">
        <f>IF(H125="E0",0.20,IF(H125="E1",0.40,IF(H125="E2",0.65,IF(H125="E3",0.85,IF(H125="E4",1.00,0)))))</f>
        <v/>
      </c>
      <c r="L125" s="6">
        <f>IF(D125="N","",IF(OR(E125="",F125=""),"",IF(G125="N/A",100*((0.60*E125)+(0.40*F125))/5,IF(G125="",100*((0.60*E125)+(0.40*F125))/5,100*((0.45*E125)+(0.30*F125)+(0.25*G125))/5))))</f>
        <v/>
      </c>
      <c r="M125" s="6">
        <f>IF(D125="N","",IFERROR(VLOOKUP(A125,'P0-4_Required_Maturity'!$A$2:$I$12,9,FALSE),3))</f>
        <v/>
      </c>
      <c r="N125" s="6">
        <f>IF(OR(E125="",M125=""),"",M125-E125)</f>
        <v/>
      </c>
      <c r="O125" s="6">
        <f>IF(D125="N","N/A",IF(OR(E125="",F125="",H125=""),"INCOMPLETE",IF(AND(L125&gt;=80,H125="E0"),"REVIEW",IF(AND(L125&gt;=80,OR(I125="N",J125="N")),"CORROBORATION REVIEW","OK"))))</f>
        <v/>
      </c>
      <c r="P125" s="6" t="n"/>
    </row>
    <row r="126">
      <c r="A126" s="8" t="inlineStr">
        <is>
          <t>D10</t>
        </is>
      </c>
      <c r="B126" s="8" t="inlineStr">
        <is>
          <t>I10</t>
        </is>
      </c>
      <c r="C126" s="8" t="inlineStr">
        <is>
          <t>Research-to-Innovation Pipeline</t>
        </is>
      </c>
      <c r="D126" s="8" t="inlineStr">
        <is>
          <t>Y</t>
        </is>
      </c>
      <c r="E126" s="6" t="n"/>
      <c r="F126" s="6" t="n"/>
      <c r="G126" s="6" t="n"/>
      <c r="H126" s="8" t="inlineStr">
        <is>
          <t>E0</t>
        </is>
      </c>
      <c r="I126" s="8" t="inlineStr">
        <is>
          <t>N</t>
        </is>
      </c>
      <c r="J126" s="8" t="inlineStr">
        <is>
          <t>N</t>
        </is>
      </c>
      <c r="K126" s="6">
        <f>IF(H126="E0",0.20,IF(H126="E1",0.40,IF(H126="E2",0.65,IF(H126="E3",0.85,IF(H126="E4",1.00,0)))))</f>
        <v/>
      </c>
      <c r="L126" s="6">
        <f>IF(D126="N","",IF(OR(E126="",F126=""),"",IF(G126="N/A",100*((0.60*E126)+(0.40*F126))/5,IF(G126="",100*((0.60*E126)+(0.40*F126))/5,100*((0.45*E126)+(0.30*F126)+(0.25*G126))/5))))</f>
        <v/>
      </c>
      <c r="M126" s="6">
        <f>IF(D126="N","",IFERROR(VLOOKUP(A126,'P0-4_Required_Maturity'!$A$2:$I$12,9,FALSE),3))</f>
        <v/>
      </c>
      <c r="N126" s="6">
        <f>IF(OR(E126="",M126=""),"",M126-E126)</f>
        <v/>
      </c>
      <c r="O126" s="6">
        <f>IF(D126="N","N/A",IF(OR(E126="",F126="",H126=""),"INCOMPLETE",IF(AND(L126&gt;=80,H126="E0"),"REVIEW",IF(AND(L126&gt;=80,OR(I126="N",J126="N")),"CORROBORATION REVIEW","OK"))))</f>
        <v/>
      </c>
      <c r="P126" s="6" t="n"/>
    </row>
    <row r="127">
      <c r="A127" s="8" t="inlineStr">
        <is>
          <t>D10</t>
        </is>
      </c>
      <c r="B127" s="8" t="inlineStr">
        <is>
          <t>I11</t>
        </is>
      </c>
      <c r="C127" s="8" t="inlineStr">
        <is>
          <t>IP &amp; Knowledge Assets</t>
        </is>
      </c>
      <c r="D127" s="8" t="inlineStr">
        <is>
          <t>Y</t>
        </is>
      </c>
      <c r="E127" s="6" t="n"/>
      <c r="F127" s="6" t="n"/>
      <c r="G127" s="6" t="n"/>
      <c r="H127" s="8" t="inlineStr">
        <is>
          <t>E0</t>
        </is>
      </c>
      <c r="I127" s="8" t="inlineStr">
        <is>
          <t>N</t>
        </is>
      </c>
      <c r="J127" s="8" t="inlineStr">
        <is>
          <t>N</t>
        </is>
      </c>
      <c r="K127" s="6">
        <f>IF(H127="E0",0.20,IF(H127="E1",0.40,IF(H127="E2",0.65,IF(H127="E3",0.85,IF(H127="E4",1.00,0)))))</f>
        <v/>
      </c>
      <c r="L127" s="6">
        <f>IF(D127="N","",IF(OR(E127="",F127=""),"",IF(G127="N/A",100*((0.60*E127)+(0.40*F127))/5,IF(G127="",100*((0.60*E127)+(0.40*F127))/5,100*((0.45*E127)+(0.30*F127)+(0.25*G127))/5))))</f>
        <v/>
      </c>
      <c r="M127" s="6">
        <f>IF(D127="N","",IFERROR(VLOOKUP(A127,'P0-4_Required_Maturity'!$A$2:$I$12,9,FALSE),3))</f>
        <v/>
      </c>
      <c r="N127" s="6">
        <f>IF(OR(E127="",M127=""),"",M127-E127)</f>
        <v/>
      </c>
      <c r="O127" s="6">
        <f>IF(D127="N","N/A",IF(OR(E127="",F127="",H127=""),"INCOMPLETE",IF(AND(L127&gt;=80,H127="E0"),"REVIEW",IF(AND(L127&gt;=80,OR(I127="N",J127="N")),"CORROBORATION REVIEW","OK"))))</f>
        <v/>
      </c>
      <c r="P127" s="6" t="n"/>
    </row>
    <row r="128">
      <c r="A128" s="8" t="inlineStr">
        <is>
          <t>D10</t>
        </is>
      </c>
      <c r="B128" s="8" t="inlineStr">
        <is>
          <t>I12</t>
        </is>
      </c>
      <c r="C128" s="8" t="inlineStr">
        <is>
          <t>Research Integrity &amp; Responsible AI</t>
        </is>
      </c>
      <c r="D128" s="8" t="inlineStr">
        <is>
          <t>Y</t>
        </is>
      </c>
      <c r="E128" s="6" t="n"/>
      <c r="F128" s="6" t="n"/>
      <c r="G128" s="6" t="n"/>
      <c r="H128" s="8" t="inlineStr">
        <is>
          <t>E0</t>
        </is>
      </c>
      <c r="I128" s="8" t="inlineStr">
        <is>
          <t>N</t>
        </is>
      </c>
      <c r="J128" s="8" t="inlineStr">
        <is>
          <t>N</t>
        </is>
      </c>
      <c r="K128" s="6">
        <f>IF(H128="E0",0.20,IF(H128="E1",0.40,IF(H128="E2",0.65,IF(H128="E3",0.85,IF(H128="E4",1.00,0)))))</f>
        <v/>
      </c>
      <c r="L128" s="6">
        <f>IF(D128="N","",IF(OR(E128="",F128=""),"",IF(G128="N/A",100*((0.60*E128)+(0.40*F128))/5,IF(G128="",100*((0.60*E128)+(0.40*F128))/5,100*((0.45*E128)+(0.30*F128)+(0.25*G128))/5))))</f>
        <v/>
      </c>
      <c r="M128" s="6">
        <f>IF(D128="N","",IFERROR(VLOOKUP(A128,'P0-4_Required_Maturity'!$A$2:$I$12,9,FALSE),3))</f>
        <v/>
      </c>
      <c r="N128" s="6">
        <f>IF(OR(E128="",M128=""),"",M128-E128)</f>
        <v/>
      </c>
      <c r="O128" s="6">
        <f>IF(D128="N","N/A",IF(OR(E128="",F128="",H128=""),"INCOMPLETE",IF(AND(L128&gt;=80,H128="E0"),"REVIEW",IF(AND(L128&gt;=80,OR(I128="N",J128="N")),"CORROBORATION REVIEW","OK"))))</f>
        <v/>
      </c>
      <c r="P128" s="6" t="n"/>
    </row>
    <row r="129">
      <c r="A129" s="8" t="inlineStr">
        <is>
          <t>D10</t>
        </is>
      </c>
      <c r="B129" s="8" t="inlineStr">
        <is>
          <t>I13</t>
        </is>
      </c>
      <c r="C129" s="8" t="inlineStr">
        <is>
          <t>Research Impact Evidence</t>
        </is>
      </c>
      <c r="D129" s="8" t="inlineStr">
        <is>
          <t>Y</t>
        </is>
      </c>
      <c r="E129" s="6" t="n"/>
      <c r="F129" s="6" t="n"/>
      <c r="G129" s="6" t="n"/>
      <c r="H129" s="8" t="inlineStr">
        <is>
          <t>E0</t>
        </is>
      </c>
      <c r="I129" s="8" t="inlineStr">
        <is>
          <t>N</t>
        </is>
      </c>
      <c r="J129" s="8" t="inlineStr">
        <is>
          <t>N</t>
        </is>
      </c>
      <c r="K129" s="6">
        <f>IF(H129="E0",0.20,IF(H129="E1",0.40,IF(H129="E2",0.65,IF(H129="E3",0.85,IF(H129="E4",1.00,0)))))</f>
        <v/>
      </c>
      <c r="L129" s="6">
        <f>IF(D129="N","",IF(OR(E129="",F129=""),"",IF(G129="N/A",100*((0.60*E129)+(0.40*F129))/5,IF(G129="",100*((0.60*E129)+(0.40*F129))/5,100*((0.45*E129)+(0.30*F129)+(0.25*G129))/5))))</f>
        <v/>
      </c>
      <c r="M129" s="6">
        <f>IF(D129="N","",IFERROR(VLOOKUP(A129,'P0-4_Required_Maturity'!$A$2:$I$12,9,FALSE),3))</f>
        <v/>
      </c>
      <c r="N129" s="6">
        <f>IF(OR(E129="",M129=""),"",M129-E129)</f>
        <v/>
      </c>
      <c r="O129" s="6">
        <f>IF(D129="N","N/A",IF(OR(E129="",F129="",H129=""),"INCOMPLETE",IF(AND(L129&gt;=80,H129="E0"),"REVIEW",IF(AND(L129&gt;=80,OR(I129="N",J129="N")),"CORROBORATION REVIEW","OK"))))</f>
        <v/>
      </c>
      <c r="P129" s="6" t="n"/>
    </row>
    <row r="130">
      <c r="A130" s="8" t="inlineStr">
        <is>
          <t>D10</t>
        </is>
      </c>
      <c r="B130" s="8" t="inlineStr">
        <is>
          <t>I14</t>
        </is>
      </c>
      <c r="C130" s="8" t="inlineStr">
        <is>
          <t>Student Research Capability</t>
        </is>
      </c>
      <c r="D130" s="8" t="inlineStr">
        <is>
          <t>Y</t>
        </is>
      </c>
      <c r="E130" s="6" t="n"/>
      <c r="F130" s="6" t="n"/>
      <c r="G130" s="6" t="n"/>
      <c r="H130" s="8" t="inlineStr">
        <is>
          <t>E0</t>
        </is>
      </c>
      <c r="I130" s="8" t="inlineStr">
        <is>
          <t>N</t>
        </is>
      </c>
      <c r="J130" s="8" t="inlineStr">
        <is>
          <t>N</t>
        </is>
      </c>
      <c r="K130" s="6">
        <f>IF(H130="E0",0.20,IF(H130="E1",0.40,IF(H130="E2",0.65,IF(H130="E3",0.85,IF(H130="E4",1.00,0)))))</f>
        <v/>
      </c>
      <c r="L130" s="6">
        <f>IF(D130="N","",IF(OR(E130="",F130=""),"",IF(G130="N/A",100*((0.60*E130)+(0.40*F130))/5,IF(G130="",100*((0.60*E130)+(0.40*F130))/5,100*((0.45*E130)+(0.30*F130)+(0.25*G130))/5))))</f>
        <v/>
      </c>
      <c r="M130" s="6">
        <f>IF(D130="N","",IFERROR(VLOOKUP(A130,'P0-4_Required_Maturity'!$A$2:$I$12,9,FALSE),3))</f>
        <v/>
      </c>
      <c r="N130" s="6">
        <f>IF(OR(E130="",M130=""),"",M130-E130)</f>
        <v/>
      </c>
      <c r="O130" s="6">
        <f>IF(D130="N","N/A",IF(OR(E130="",F130="",H130=""),"INCOMPLETE",IF(AND(L130&gt;=80,H130="E0"),"REVIEW",IF(AND(L130&gt;=80,OR(I130="N",J130="N")),"CORROBORATION REVIEW","OK"))))</f>
        <v/>
      </c>
      <c r="P130" s="6" t="n"/>
    </row>
    <row r="131">
      <c r="A131" s="8" t="inlineStr">
        <is>
          <t>D11</t>
        </is>
      </c>
      <c r="B131" s="8" t="inlineStr">
        <is>
          <t>I01</t>
        </is>
      </c>
      <c r="C131" s="8" t="inlineStr">
        <is>
          <t>External Change Sensing</t>
        </is>
      </c>
      <c r="D131" s="8" t="inlineStr">
        <is>
          <t>Y</t>
        </is>
      </c>
      <c r="E131" s="6" t="n"/>
      <c r="F131" s="6" t="n"/>
      <c r="G131" s="6" t="n"/>
      <c r="H131" s="8" t="inlineStr">
        <is>
          <t>E0</t>
        </is>
      </c>
      <c r="I131" s="8" t="inlineStr">
        <is>
          <t>N</t>
        </is>
      </c>
      <c r="J131" s="8" t="inlineStr">
        <is>
          <t>N</t>
        </is>
      </c>
      <c r="K131" s="6">
        <f>IF(H131="E0",0.20,IF(H131="E1",0.40,IF(H131="E2",0.65,IF(H131="E3",0.85,IF(H131="E4",1.00,0)))))</f>
        <v/>
      </c>
      <c r="L131" s="6">
        <f>IF(D131="N","",IF(OR(E131="",F131=""),"",IF(G131="N/A",100*((0.60*E131)+(0.40*F131))/5,IF(G131="",100*((0.60*E131)+(0.40*F131))/5,100*((0.45*E131)+(0.30*F131)+(0.25*G131))/5))))</f>
        <v/>
      </c>
      <c r="M131" s="6">
        <f>IF(D131="N","",IFERROR(VLOOKUP(A131,'P0-4_Required_Maturity'!$A$2:$I$12,9,FALSE),3))</f>
        <v/>
      </c>
      <c r="N131" s="6">
        <f>IF(OR(E131="",M131=""),"",M131-E131)</f>
        <v/>
      </c>
      <c r="O131" s="6">
        <f>IF(D131="N","N/A",IF(OR(E131="",F131="",H131=""),"INCOMPLETE",IF(AND(L131&gt;=80,H131="E0"),"REVIEW",IF(AND(L131&gt;=80,OR(I131="N",J131="N")),"CORROBORATION REVIEW","OK"))))</f>
        <v/>
      </c>
      <c r="P131" s="6" t="n"/>
    </row>
    <row r="132">
      <c r="A132" s="8" t="inlineStr">
        <is>
          <t>D11</t>
        </is>
      </c>
      <c r="B132" s="8" t="inlineStr">
        <is>
          <t>I02</t>
        </is>
      </c>
      <c r="C132" s="8" t="inlineStr">
        <is>
          <t>Strategic Response Agility</t>
        </is>
      </c>
      <c r="D132" s="8" t="inlineStr">
        <is>
          <t>Y</t>
        </is>
      </c>
      <c r="E132" s="6" t="n"/>
      <c r="F132" s="6" t="n"/>
      <c r="G132" s="6" t="n"/>
      <c r="H132" s="8" t="inlineStr">
        <is>
          <t>E0</t>
        </is>
      </c>
      <c r="I132" s="8" t="inlineStr">
        <is>
          <t>N</t>
        </is>
      </c>
      <c r="J132" s="8" t="inlineStr">
        <is>
          <t>N</t>
        </is>
      </c>
      <c r="K132" s="6">
        <f>IF(H132="E0",0.20,IF(H132="E1",0.40,IF(H132="E2",0.65,IF(H132="E3",0.85,IF(H132="E4",1.00,0)))))</f>
        <v/>
      </c>
      <c r="L132" s="6">
        <f>IF(D132="N","",IF(OR(E132="",F132=""),"",IF(G132="N/A",100*((0.60*E132)+(0.40*F132))/5,IF(G132="",100*((0.60*E132)+(0.40*F132))/5,100*((0.45*E132)+(0.30*F132)+(0.25*G132))/5))))</f>
        <v/>
      </c>
      <c r="M132" s="6">
        <f>IF(D132="N","",IFERROR(VLOOKUP(A132,'P0-4_Required_Maturity'!$A$2:$I$12,9,FALSE),3))</f>
        <v/>
      </c>
      <c r="N132" s="6">
        <f>IF(OR(E132="",M132=""),"",M132-E132)</f>
        <v/>
      </c>
      <c r="O132" s="6">
        <f>IF(D132="N","N/A",IF(OR(E132="",F132="",H132=""),"INCOMPLETE",IF(AND(L132&gt;=80,H132="E0"),"REVIEW",IF(AND(L132&gt;=80,OR(I132="N",J132="N")),"CORROBORATION REVIEW","OK"))))</f>
        <v/>
      </c>
      <c r="P132" s="6" t="n"/>
    </row>
    <row r="133">
      <c r="A133" s="8" t="inlineStr">
        <is>
          <t>D11</t>
        </is>
      </c>
      <c r="B133" s="8" t="inlineStr">
        <is>
          <t>I03</t>
        </is>
      </c>
      <c r="C133" s="8" t="inlineStr">
        <is>
          <t>Adaptive Decision Architecture</t>
        </is>
      </c>
      <c r="D133" s="8" t="inlineStr">
        <is>
          <t>Y</t>
        </is>
      </c>
      <c r="E133" s="6" t="n"/>
      <c r="F133" s="6" t="n"/>
      <c r="G133" s="6" t="n"/>
      <c r="H133" s="8" t="inlineStr">
        <is>
          <t>E0</t>
        </is>
      </c>
      <c r="I133" s="8" t="inlineStr">
        <is>
          <t>N</t>
        </is>
      </c>
      <c r="J133" s="8" t="inlineStr">
        <is>
          <t>N</t>
        </is>
      </c>
      <c r="K133" s="6">
        <f>IF(H133="E0",0.20,IF(H133="E1",0.40,IF(H133="E2",0.65,IF(H133="E3",0.85,IF(H133="E4",1.00,0)))))</f>
        <v/>
      </c>
      <c r="L133" s="6">
        <f>IF(D133="N","",IF(OR(E133="",F133=""),"",IF(G133="N/A",100*((0.60*E133)+(0.40*F133))/5,IF(G133="",100*((0.60*E133)+(0.40*F133))/5,100*((0.45*E133)+(0.30*F133)+(0.25*G133))/5))))</f>
        <v/>
      </c>
      <c r="M133" s="6">
        <f>IF(D133="N","",IFERROR(VLOOKUP(A133,'P0-4_Required_Maturity'!$A$2:$I$12,9,FALSE),3))</f>
        <v/>
      </c>
      <c r="N133" s="6">
        <f>IF(OR(E133="",M133=""),"",M133-E133)</f>
        <v/>
      </c>
      <c r="O133" s="6">
        <f>IF(D133="N","N/A",IF(OR(E133="",F133="",H133=""),"INCOMPLETE",IF(AND(L133&gt;=80,H133="E0"),"REVIEW",IF(AND(L133&gt;=80,OR(I133="N",J133="N")),"CORROBORATION REVIEW","OK"))))</f>
        <v/>
      </c>
      <c r="P133" s="6" t="n"/>
    </row>
    <row r="134">
      <c r="A134" s="8" t="inlineStr">
        <is>
          <t>D11</t>
        </is>
      </c>
      <c r="B134" s="8" t="inlineStr">
        <is>
          <t>I04</t>
        </is>
      </c>
      <c r="C134" s="8" t="inlineStr">
        <is>
          <t>Resource Reallocation Agility</t>
        </is>
      </c>
      <c r="D134" s="8" t="inlineStr">
        <is>
          <t>Y</t>
        </is>
      </c>
      <c r="E134" s="6" t="n"/>
      <c r="F134" s="6" t="n"/>
      <c r="G134" s="6" t="n"/>
      <c r="H134" s="8" t="inlineStr">
        <is>
          <t>E0</t>
        </is>
      </c>
      <c r="I134" s="8" t="inlineStr">
        <is>
          <t>N</t>
        </is>
      </c>
      <c r="J134" s="8" t="inlineStr">
        <is>
          <t>N</t>
        </is>
      </c>
      <c r="K134" s="6">
        <f>IF(H134="E0",0.20,IF(H134="E1",0.40,IF(H134="E2",0.65,IF(H134="E3",0.85,IF(H134="E4",1.00,0)))))</f>
        <v/>
      </c>
      <c r="L134" s="6">
        <f>IF(D134="N","",IF(OR(E134="",F134=""),"",IF(G134="N/A",100*((0.60*E134)+(0.40*F134))/5,IF(G134="",100*((0.60*E134)+(0.40*F134))/5,100*((0.45*E134)+(0.30*F134)+(0.25*G134))/5))))</f>
        <v/>
      </c>
      <c r="M134" s="6">
        <f>IF(D134="N","",IFERROR(VLOOKUP(A134,'P0-4_Required_Maturity'!$A$2:$I$12,9,FALSE),3))</f>
        <v/>
      </c>
      <c r="N134" s="6">
        <f>IF(OR(E134="",M134=""),"",M134-E134)</f>
        <v/>
      </c>
      <c r="O134" s="6">
        <f>IF(D134="N","N/A",IF(OR(E134="",F134="",H134=""),"INCOMPLETE",IF(AND(L134&gt;=80,H134="E0"),"REVIEW",IF(AND(L134&gt;=80,OR(I134="N",J134="N")),"CORROBORATION REVIEW","OK"))))</f>
        <v/>
      </c>
      <c r="P134" s="6" t="n"/>
    </row>
    <row r="135">
      <c r="A135" s="8" t="inlineStr">
        <is>
          <t>D11</t>
        </is>
      </c>
      <c r="B135" s="8" t="inlineStr">
        <is>
          <t>I05</t>
        </is>
      </c>
      <c r="C135" s="8" t="inlineStr">
        <is>
          <t>Institutional Experimentation</t>
        </is>
      </c>
      <c r="D135" s="8" t="inlineStr">
        <is>
          <t>Y</t>
        </is>
      </c>
      <c r="E135" s="6" t="n"/>
      <c r="F135" s="6" t="n"/>
      <c r="G135" s="6" t="n"/>
      <c r="H135" s="8" t="inlineStr">
        <is>
          <t>E0</t>
        </is>
      </c>
      <c r="I135" s="8" t="inlineStr">
        <is>
          <t>N</t>
        </is>
      </c>
      <c r="J135" s="8" t="inlineStr">
        <is>
          <t>N</t>
        </is>
      </c>
      <c r="K135" s="6">
        <f>IF(H135="E0",0.20,IF(H135="E1",0.40,IF(H135="E2",0.65,IF(H135="E3",0.85,IF(H135="E4",1.00,0)))))</f>
        <v/>
      </c>
      <c r="L135" s="6">
        <f>IF(D135="N","",IF(OR(E135="",F135=""),"",IF(G135="N/A",100*((0.60*E135)+(0.40*F135))/5,IF(G135="",100*((0.60*E135)+(0.40*F135))/5,100*((0.45*E135)+(0.30*F135)+(0.25*G135))/5))))</f>
        <v/>
      </c>
      <c r="M135" s="6">
        <f>IF(D135="N","",IFERROR(VLOOKUP(A135,'P0-4_Required_Maturity'!$A$2:$I$12,9,FALSE),3))</f>
        <v/>
      </c>
      <c r="N135" s="6">
        <f>IF(OR(E135="",M135=""),"",M135-E135)</f>
        <v/>
      </c>
      <c r="O135" s="6">
        <f>IF(D135="N","N/A",IF(OR(E135="",F135="",H135=""),"INCOMPLETE",IF(AND(L135&gt;=80,H135="E0"),"REVIEW",IF(AND(L135&gt;=80,OR(I135="N",J135="N")),"CORROBORATION REVIEW","OK"))))</f>
        <v/>
      </c>
      <c r="P135" s="6" t="n"/>
    </row>
    <row r="136">
      <c r="A136" s="8" t="inlineStr">
        <is>
          <t>D11</t>
        </is>
      </c>
      <c r="B136" s="8" t="inlineStr">
        <is>
          <t>I06</t>
        </is>
      </c>
      <c r="C136" s="8" t="inlineStr">
        <is>
          <t>Failure-to-Learning Capability</t>
        </is>
      </c>
      <c r="D136" s="8" t="inlineStr">
        <is>
          <t>Y</t>
        </is>
      </c>
      <c r="E136" s="6" t="n"/>
      <c r="F136" s="6" t="n"/>
      <c r="G136" s="6" t="n"/>
      <c r="H136" s="8" t="inlineStr">
        <is>
          <t>E0</t>
        </is>
      </c>
      <c r="I136" s="8" t="inlineStr">
        <is>
          <t>N</t>
        </is>
      </c>
      <c r="J136" s="8" t="inlineStr">
        <is>
          <t>N</t>
        </is>
      </c>
      <c r="K136" s="6">
        <f>IF(H136="E0",0.20,IF(H136="E1",0.40,IF(H136="E2",0.65,IF(H136="E3",0.85,IF(H136="E4",1.00,0)))))</f>
        <v/>
      </c>
      <c r="L136" s="6">
        <f>IF(D136="N","",IF(OR(E136="",F136=""),"",IF(G136="N/A",100*((0.60*E136)+(0.40*F136))/5,IF(G136="",100*((0.60*E136)+(0.40*F136))/5,100*((0.45*E136)+(0.30*F136)+(0.25*G136))/5))))</f>
        <v/>
      </c>
      <c r="M136" s="6">
        <f>IF(D136="N","",IFERROR(VLOOKUP(A136,'P0-4_Required_Maturity'!$A$2:$I$12,9,FALSE),3))</f>
        <v/>
      </c>
      <c r="N136" s="6">
        <f>IF(OR(E136="",M136=""),"",M136-E136)</f>
        <v/>
      </c>
      <c r="O136" s="6">
        <f>IF(D136="N","N/A",IF(OR(E136="",F136="",H136=""),"INCOMPLETE",IF(AND(L136&gt;=80,H136="E0"),"REVIEW",IF(AND(L136&gt;=80,OR(I136="N",J136="N")),"CORROBORATION REVIEW","OK"))))</f>
        <v/>
      </c>
      <c r="P136" s="6" t="n"/>
    </row>
    <row r="137">
      <c r="A137" s="8" t="inlineStr">
        <is>
          <t>D11</t>
        </is>
      </c>
      <c r="B137" s="8" t="inlineStr">
        <is>
          <t>I07</t>
        </is>
      </c>
      <c r="C137" s="8" t="inlineStr">
        <is>
          <t>Change Management Capacity</t>
        </is>
      </c>
      <c r="D137" s="8" t="inlineStr">
        <is>
          <t>Y</t>
        </is>
      </c>
      <c r="E137" s="6" t="n"/>
      <c r="F137" s="6" t="n"/>
      <c r="G137" s="6" t="n"/>
      <c r="H137" s="8" t="inlineStr">
        <is>
          <t>E0</t>
        </is>
      </c>
      <c r="I137" s="8" t="inlineStr">
        <is>
          <t>N</t>
        </is>
      </c>
      <c r="J137" s="8" t="inlineStr">
        <is>
          <t>N</t>
        </is>
      </c>
      <c r="K137" s="6">
        <f>IF(H137="E0",0.20,IF(H137="E1",0.40,IF(H137="E2",0.65,IF(H137="E3",0.85,IF(H137="E4",1.00,0)))))</f>
        <v/>
      </c>
      <c r="L137" s="6">
        <f>IF(D137="N","",IF(OR(E137="",F137=""),"",IF(G137="N/A",100*((0.60*E137)+(0.40*F137))/5,IF(G137="",100*((0.60*E137)+(0.40*F137))/5,100*((0.45*E137)+(0.30*F137)+(0.25*G137))/5))))</f>
        <v/>
      </c>
      <c r="M137" s="6">
        <f>IF(D137="N","",IFERROR(VLOOKUP(A137,'P0-4_Required_Maturity'!$A$2:$I$12,9,FALSE),3))</f>
        <v/>
      </c>
      <c r="N137" s="6">
        <f>IF(OR(E137="",M137=""),"",M137-E137)</f>
        <v/>
      </c>
      <c r="O137" s="6">
        <f>IF(D137="N","N/A",IF(OR(E137="",F137="",H137=""),"INCOMPLETE",IF(AND(L137&gt;=80,H137="E0"),"REVIEW",IF(AND(L137&gt;=80,OR(I137="N",J137="N")),"CORROBORATION REVIEW","OK"))))</f>
        <v/>
      </c>
      <c r="P137" s="6" t="n"/>
    </row>
    <row r="138">
      <c r="A138" s="8" t="inlineStr">
        <is>
          <t>D11</t>
        </is>
      </c>
      <c r="B138" s="8" t="inlineStr">
        <is>
          <t>I08</t>
        </is>
      </c>
      <c r="C138" s="8" t="inlineStr">
        <is>
          <t>Adaptive Leadership Alignment</t>
        </is>
      </c>
      <c r="D138" s="8" t="inlineStr">
        <is>
          <t>Y</t>
        </is>
      </c>
      <c r="E138" s="6" t="n"/>
      <c r="F138" s="6" t="n"/>
      <c r="G138" s="6" t="n"/>
      <c r="H138" s="8" t="inlineStr">
        <is>
          <t>E0</t>
        </is>
      </c>
      <c r="I138" s="8" t="inlineStr">
        <is>
          <t>N</t>
        </is>
      </c>
      <c r="J138" s="8" t="inlineStr">
        <is>
          <t>N</t>
        </is>
      </c>
      <c r="K138" s="6">
        <f>IF(H138="E0",0.20,IF(H138="E1",0.40,IF(H138="E2",0.65,IF(H138="E3",0.85,IF(H138="E4",1.00,0)))))</f>
        <v/>
      </c>
      <c r="L138" s="6">
        <f>IF(D138="N","",IF(OR(E138="",F138=""),"",IF(G138="N/A",100*((0.60*E138)+(0.40*F138))/5,IF(G138="",100*((0.60*E138)+(0.40*F138))/5,100*((0.45*E138)+(0.30*F138)+(0.25*G138))/5))))</f>
        <v/>
      </c>
      <c r="M138" s="6">
        <f>IF(D138="N","",IFERROR(VLOOKUP(A138,'P0-4_Required_Maturity'!$A$2:$I$12,9,FALSE),3))</f>
        <v/>
      </c>
      <c r="N138" s="6">
        <f>IF(OR(E138="",M138=""),"",M138-E138)</f>
        <v/>
      </c>
      <c r="O138" s="6">
        <f>IF(D138="N","N/A",IF(OR(E138="",F138="",H138=""),"INCOMPLETE",IF(AND(L138&gt;=80,H138="E0"),"REVIEW",IF(AND(L138&gt;=80,OR(I138="N",J138="N")),"CORROBORATION REVIEW","OK"))))</f>
        <v/>
      </c>
      <c r="P138" s="6" t="n"/>
    </row>
    <row r="139">
      <c r="A139" s="8" t="inlineStr">
        <is>
          <t>D11</t>
        </is>
      </c>
      <c r="B139" s="8" t="inlineStr">
        <is>
          <t>I09</t>
        </is>
      </c>
      <c r="C139" s="8" t="inlineStr">
        <is>
          <t>Learner Signal Responsiveness</t>
        </is>
      </c>
      <c r="D139" s="8" t="inlineStr">
        <is>
          <t>Y</t>
        </is>
      </c>
      <c r="E139" s="6" t="n"/>
      <c r="F139" s="6" t="n"/>
      <c r="G139" s="6" t="n"/>
      <c r="H139" s="8" t="inlineStr">
        <is>
          <t>E0</t>
        </is>
      </c>
      <c r="I139" s="8" t="inlineStr">
        <is>
          <t>N</t>
        </is>
      </c>
      <c r="J139" s="8" t="inlineStr">
        <is>
          <t>N</t>
        </is>
      </c>
      <c r="K139" s="6">
        <f>IF(H139="E0",0.20,IF(H139="E1",0.40,IF(H139="E2",0.65,IF(H139="E3",0.85,IF(H139="E4",1.00,0)))))</f>
        <v/>
      </c>
      <c r="L139" s="6">
        <f>IF(D139="N","",IF(OR(E139="",F139=""),"",IF(G139="N/A",100*((0.60*E139)+(0.40*F139))/5,IF(G139="",100*((0.60*E139)+(0.40*F139))/5,100*((0.45*E139)+(0.30*F139)+(0.25*G139))/5))))</f>
        <v/>
      </c>
      <c r="M139" s="6">
        <f>IF(D139="N","",IFERROR(VLOOKUP(A139,'P0-4_Required_Maturity'!$A$2:$I$12,9,FALSE),3))</f>
        <v/>
      </c>
      <c r="N139" s="6">
        <f>IF(OR(E139="",M139=""),"",M139-E139)</f>
        <v/>
      </c>
      <c r="O139" s="6">
        <f>IF(D139="N","N/A",IF(OR(E139="",F139="",H139=""),"INCOMPLETE",IF(AND(L139&gt;=80,H139="E0"),"REVIEW",IF(AND(L139&gt;=80,OR(I139="N",J139="N")),"CORROBORATION REVIEW","OK"))))</f>
        <v/>
      </c>
      <c r="P139" s="6" t="n"/>
    </row>
    <row r="140">
      <c r="A140" s="8" t="inlineStr">
        <is>
          <t>D11</t>
        </is>
      </c>
      <c r="B140" s="8" t="inlineStr">
        <is>
          <t>I10</t>
        </is>
      </c>
      <c r="C140" s="8" t="inlineStr">
        <is>
          <t>Economic &amp; Workforce Responsiveness</t>
        </is>
      </c>
      <c r="D140" s="8" t="inlineStr">
        <is>
          <t>Y</t>
        </is>
      </c>
      <c r="E140" s="6" t="n"/>
      <c r="F140" s="6" t="n"/>
      <c r="G140" s="6" t="n"/>
      <c r="H140" s="8" t="inlineStr">
        <is>
          <t>E0</t>
        </is>
      </c>
      <c r="I140" s="8" t="inlineStr">
        <is>
          <t>N</t>
        </is>
      </c>
      <c r="J140" s="8" t="inlineStr">
        <is>
          <t>N</t>
        </is>
      </c>
      <c r="K140" s="6">
        <f>IF(H140="E0",0.20,IF(H140="E1",0.40,IF(H140="E2",0.65,IF(H140="E3",0.85,IF(H140="E4",1.00,0)))))</f>
        <v/>
      </c>
      <c r="L140" s="6">
        <f>IF(D140="N","",IF(OR(E140="",F140=""),"",IF(G140="N/A",100*((0.60*E140)+(0.40*F140))/5,IF(G140="",100*((0.60*E140)+(0.40*F140))/5,100*((0.45*E140)+(0.30*F140)+(0.25*G140))/5))))</f>
        <v/>
      </c>
      <c r="M140" s="6">
        <f>IF(D140="N","",IFERROR(VLOOKUP(A140,'P0-4_Required_Maturity'!$A$2:$I$12,9,FALSE),3))</f>
        <v/>
      </c>
      <c r="N140" s="6">
        <f>IF(OR(E140="",M140=""),"",M140-E140)</f>
        <v/>
      </c>
      <c r="O140" s="6">
        <f>IF(D140="N","N/A",IF(OR(E140="",F140="",H140=""),"INCOMPLETE",IF(AND(L140&gt;=80,H140="E0"),"REVIEW",IF(AND(L140&gt;=80,OR(I140="N",J140="N")),"CORROBORATION REVIEW","OK"))))</f>
        <v/>
      </c>
      <c r="P140" s="6" t="n"/>
    </row>
    <row r="141">
      <c r="A141" s="8" t="inlineStr">
        <is>
          <t>D11</t>
        </is>
      </c>
      <c r="B141" s="8" t="inlineStr">
        <is>
          <t>I11</t>
        </is>
      </c>
      <c r="C141" s="8" t="inlineStr">
        <is>
          <t>Scenario Planning Capability</t>
        </is>
      </c>
      <c r="D141" s="8" t="inlineStr">
        <is>
          <t>Y</t>
        </is>
      </c>
      <c r="E141" s="6" t="n"/>
      <c r="F141" s="6" t="n"/>
      <c r="G141" s="6" t="n"/>
      <c r="H141" s="8" t="inlineStr">
        <is>
          <t>E0</t>
        </is>
      </c>
      <c r="I141" s="8" t="inlineStr">
        <is>
          <t>N</t>
        </is>
      </c>
      <c r="J141" s="8" t="inlineStr">
        <is>
          <t>N</t>
        </is>
      </c>
      <c r="K141" s="6">
        <f>IF(H141="E0",0.20,IF(H141="E1",0.40,IF(H141="E2",0.65,IF(H141="E3",0.85,IF(H141="E4",1.00,0)))))</f>
        <v/>
      </c>
      <c r="L141" s="6">
        <f>IF(D141="N","",IF(OR(E141="",F141=""),"",IF(G141="N/A",100*((0.60*E141)+(0.40*F141))/5,IF(G141="",100*((0.60*E141)+(0.40*F141))/5,100*((0.45*E141)+(0.30*F141)+(0.25*G141))/5))))</f>
        <v/>
      </c>
      <c r="M141" s="6">
        <f>IF(D141="N","",IFERROR(VLOOKUP(A141,'P0-4_Required_Maturity'!$A$2:$I$12,9,FALSE),3))</f>
        <v/>
      </c>
      <c r="N141" s="6">
        <f>IF(OR(E141="",M141=""),"",M141-E141)</f>
        <v/>
      </c>
      <c r="O141" s="6">
        <f>IF(D141="N","N/A",IF(OR(E141="",F141="",H141=""),"INCOMPLETE",IF(AND(L141&gt;=80,H141="E0"),"REVIEW",IF(AND(L141&gt;=80,OR(I141="N",J141="N")),"CORROBORATION REVIEW","OK"))))</f>
        <v/>
      </c>
      <c r="P141" s="6" t="n"/>
    </row>
    <row r="142">
      <c r="A142" s="8" t="inlineStr">
        <is>
          <t>D11</t>
        </is>
      </c>
      <c r="B142" s="8" t="inlineStr">
        <is>
          <t>I12</t>
        </is>
      </c>
      <c r="C142" s="8" t="inlineStr">
        <is>
          <t>Institutional Resilience</t>
        </is>
      </c>
      <c r="D142" s="8" t="inlineStr">
        <is>
          <t>Y</t>
        </is>
      </c>
      <c r="E142" s="6" t="n"/>
      <c r="F142" s="6" t="n"/>
      <c r="G142" s="6" t="n"/>
      <c r="H142" s="8" t="inlineStr">
        <is>
          <t>E0</t>
        </is>
      </c>
      <c r="I142" s="8" t="inlineStr">
        <is>
          <t>N</t>
        </is>
      </c>
      <c r="J142" s="8" t="inlineStr">
        <is>
          <t>N</t>
        </is>
      </c>
      <c r="K142" s="6">
        <f>IF(H142="E0",0.20,IF(H142="E1",0.40,IF(H142="E2",0.65,IF(H142="E3",0.85,IF(H142="E4",1.00,0)))))</f>
        <v/>
      </c>
      <c r="L142" s="6">
        <f>IF(D142="N","",IF(OR(E142="",F142=""),"",IF(G142="N/A",100*((0.60*E142)+(0.40*F142))/5,IF(G142="",100*((0.60*E142)+(0.40*F142))/5,100*((0.45*E142)+(0.30*F142)+(0.25*G142))/5))))</f>
        <v/>
      </c>
      <c r="M142" s="6">
        <f>IF(D142="N","",IFERROR(VLOOKUP(A142,'P0-4_Required_Maturity'!$A$2:$I$12,9,FALSE),3))</f>
        <v/>
      </c>
      <c r="N142" s="6">
        <f>IF(OR(E142="",M142=""),"",M142-E142)</f>
        <v/>
      </c>
      <c r="O142" s="6">
        <f>IF(D142="N","N/A",IF(OR(E142="",F142="",H142=""),"INCOMPLETE",IF(AND(L142&gt;=80,H142="E0"),"REVIEW",IF(AND(L142&gt;=80,OR(I142="N",J142="N")),"CORROBORATION REVIEW","OK"))))</f>
        <v/>
      </c>
      <c r="P142" s="6" t="n"/>
    </row>
    <row r="143">
      <c r="A143" s="8" t="inlineStr">
        <is>
          <t>D11</t>
        </is>
      </c>
      <c r="B143" s="8" t="inlineStr">
        <is>
          <t>I13</t>
        </is>
      </c>
      <c r="C143" s="8" t="inlineStr">
        <is>
          <t>Institutional Learning System</t>
        </is>
      </c>
      <c r="D143" s="8" t="inlineStr">
        <is>
          <t>Y</t>
        </is>
      </c>
      <c r="E143" s="6" t="n"/>
      <c r="F143" s="6" t="n"/>
      <c r="G143" s="6" t="n"/>
      <c r="H143" s="8" t="inlineStr">
        <is>
          <t>E0</t>
        </is>
      </c>
      <c r="I143" s="8" t="inlineStr">
        <is>
          <t>N</t>
        </is>
      </c>
      <c r="J143" s="8" t="inlineStr">
        <is>
          <t>N</t>
        </is>
      </c>
      <c r="K143" s="6">
        <f>IF(H143="E0",0.20,IF(H143="E1",0.40,IF(H143="E2",0.65,IF(H143="E3",0.85,IF(H143="E4",1.00,0)))))</f>
        <v/>
      </c>
      <c r="L143" s="6">
        <f>IF(D143="N","",IF(OR(E143="",F143=""),"",IF(G143="N/A",100*((0.60*E143)+(0.40*F143))/5,IF(G143="",100*((0.60*E143)+(0.40*F143))/5,100*((0.45*E143)+(0.30*F143)+(0.25*G143))/5))))</f>
        <v/>
      </c>
      <c r="M143" s="6">
        <f>IF(D143="N","",IFERROR(VLOOKUP(A143,'P0-4_Required_Maturity'!$A$2:$I$12,9,FALSE),3))</f>
        <v/>
      </c>
      <c r="N143" s="6">
        <f>IF(OR(E143="",M143=""),"",M143-E143)</f>
        <v/>
      </c>
      <c r="O143" s="6">
        <f>IF(D143="N","N/A",IF(OR(E143="",F143="",H143=""),"INCOMPLETE",IF(AND(L143&gt;=80,H143="E0"),"REVIEW",IF(AND(L143&gt;=80,OR(I143="N",J143="N")),"CORROBORATION REVIEW","OK"))))</f>
        <v/>
      </c>
      <c r="P143" s="6" t="n"/>
    </row>
    <row r="144">
      <c r="A144" s="8" t="inlineStr">
        <is>
          <t>D11</t>
        </is>
      </c>
      <c r="B144" s="8" t="inlineStr">
        <is>
          <t>I14</t>
        </is>
      </c>
      <c r="C144" s="8" t="inlineStr">
        <is>
          <t>Future Transformation Capacity</t>
        </is>
      </c>
      <c r="D144" s="8" t="inlineStr">
        <is>
          <t>Y</t>
        </is>
      </c>
      <c r="E144" s="6" t="n"/>
      <c r="F144" s="6" t="n"/>
      <c r="G144" s="6" t="n"/>
      <c r="H144" s="8" t="inlineStr">
        <is>
          <t>E0</t>
        </is>
      </c>
      <c r="I144" s="8" t="inlineStr">
        <is>
          <t>N</t>
        </is>
      </c>
      <c r="J144" s="8" t="inlineStr">
        <is>
          <t>N</t>
        </is>
      </c>
      <c r="K144" s="6">
        <f>IF(H144="E0",0.20,IF(H144="E1",0.40,IF(H144="E2",0.65,IF(H144="E3",0.85,IF(H144="E4",1.00,0)))))</f>
        <v/>
      </c>
      <c r="L144" s="6">
        <f>IF(D144="N","",IF(OR(E144="",F144=""),"",IF(G144="N/A",100*((0.60*E144)+(0.40*F144))/5,IF(G144="",100*((0.60*E144)+(0.40*F144))/5,100*((0.45*E144)+(0.30*F144)+(0.25*G144))/5))))</f>
        <v/>
      </c>
      <c r="M144" s="6">
        <f>IF(D144="N","",IFERROR(VLOOKUP(A144,'P0-4_Required_Maturity'!$A$2:$I$12,9,FALSE),3))</f>
        <v/>
      </c>
      <c r="N144" s="6">
        <f>IF(OR(E144="",M144=""),"",M144-E144)</f>
        <v/>
      </c>
      <c r="O144" s="6">
        <f>IF(D144="N","N/A",IF(OR(E144="",F144="",H144=""),"INCOMPLETE",IF(AND(L144&gt;=80,H144="E0"),"REVIEW",IF(AND(L144&gt;=80,OR(I144="N",J144="N")),"CORROBORATION REVIEW","OK"))))</f>
        <v/>
      </c>
      <c r="P144" s="6"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60.140625" customWidth="1" min="2" max="2"/>
    <col width="22.140625" customWidth="1" min="3" max="3"/>
    <col width="27.140625" customWidth="1" min="4" max="4"/>
    <col width="60.7109375" customWidth="1" min="5" max="5"/>
  </cols>
  <sheetData>
    <row r="1">
      <c r="A1" s="7" t="inlineStr">
        <is>
          <t>Domain</t>
        </is>
      </c>
      <c r="B1" s="7" t="inlineStr">
        <is>
          <t>Domain Name</t>
        </is>
      </c>
      <c r="C1" s="7" t="inlineStr">
        <is>
          <t>Provisional Weight</t>
        </is>
      </c>
      <c r="D1" s="7" t="inlineStr">
        <is>
          <t>Baseline Required Maturity</t>
        </is>
      </c>
      <c r="E1" s="7" t="inlineStr">
        <is>
          <t>Validation Note</t>
        </is>
      </c>
    </row>
    <row r="2">
      <c r="A2" s="8" t="inlineStr">
        <is>
          <t>D01</t>
        </is>
      </c>
      <c r="B2" s="8" t="inlineStr">
        <is>
          <t>Institutional Strategy, Foresight &amp; AI Direction</t>
        </is>
      </c>
      <c r="C2" s="9" t="n">
        <v>0.1</v>
      </c>
      <c r="D2" s="8" t="n">
        <v>3</v>
      </c>
      <c r="E2" s="8" t="inlineStr">
        <is>
          <t>Provisional; validate through sensitivity and institution-type pilot.</t>
        </is>
      </c>
    </row>
    <row r="3">
      <c r="A3" s="8" t="inlineStr">
        <is>
          <t>D02</t>
        </is>
      </c>
      <c r="B3" s="8" t="inlineStr">
        <is>
          <t>Governance, Responsible AI &amp; Institutional Risk</t>
        </is>
      </c>
      <c r="C3" s="9" t="n">
        <v>0.12</v>
      </c>
      <c r="D3" s="8" t="n">
        <v>3</v>
      </c>
      <c r="E3" s="8" t="inlineStr">
        <is>
          <t>Provisional; validate through sensitivity and institution-type pilot.</t>
        </is>
      </c>
    </row>
    <row r="4">
      <c r="A4" s="8" t="inlineStr">
        <is>
          <t>D03</t>
        </is>
      </c>
      <c r="B4" s="8" t="inlineStr">
        <is>
          <t>Human Capability, Cognitive Readiness &amp; AI-Ready Education</t>
        </is>
      </c>
      <c r="C4" s="9" t="n">
        <v>0.12</v>
      </c>
      <c r="D4" s="8" t="n">
        <v>3</v>
      </c>
      <c r="E4" s="8" t="inlineStr">
        <is>
          <t>Provisional; validate through sensitivity and institution-type pilot.</t>
        </is>
      </c>
    </row>
    <row r="5">
      <c r="A5" s="8" t="inlineStr">
        <is>
          <t>D04</t>
        </is>
      </c>
      <c r="B5" s="8" t="inlineStr">
        <is>
          <t>Curriculum &amp; Programme Future Resilience</t>
        </is>
      </c>
      <c r="C5" s="9" t="n">
        <v>0.1</v>
      </c>
      <c r="D5" s="8" t="n">
        <v>3</v>
      </c>
      <c r="E5" s="8" t="inlineStr">
        <is>
          <t>Provisional; validate through sensitivity and institution-type pilot.</t>
        </is>
      </c>
    </row>
    <row r="6">
      <c r="A6" s="8" t="inlineStr">
        <is>
          <t>D05</t>
        </is>
      </c>
      <c r="B6" s="8" t="inlineStr">
        <is>
          <t>Faculty Capability &amp; Academic Workforce Transformation</t>
        </is>
      </c>
      <c r="C6" s="9" t="n">
        <v>0.1</v>
      </c>
      <c r="D6" s="8" t="n">
        <v>3</v>
      </c>
      <c r="E6" s="8" t="inlineStr">
        <is>
          <t>Provisional; validate through sensitivity and institution-type pilot.</t>
        </is>
      </c>
    </row>
    <row r="7">
      <c r="A7" s="8" t="inlineStr">
        <is>
          <t>D06</t>
        </is>
      </c>
      <c r="B7" s="8" t="inlineStr">
        <is>
          <t>Student Capability, Agency &amp; Future Readiness</t>
        </is>
      </c>
      <c r="C7" s="9" t="n">
        <v>0.1</v>
      </c>
      <c r="D7" s="8" t="n">
        <v>3</v>
      </c>
      <c r="E7" s="8" t="inlineStr">
        <is>
          <t>Provisional; validate through sensitivity and institution-type pilot.</t>
        </is>
      </c>
    </row>
    <row r="8">
      <c r="A8" s="8" t="inlineStr">
        <is>
          <t>D07</t>
        </is>
      </c>
      <c r="B8" s="8" t="inlineStr">
        <is>
          <t>Learning, Assessment &amp; Evidence of Capability</t>
        </is>
      </c>
      <c r="C8" s="9" t="n">
        <v>0.1</v>
      </c>
      <c r="D8" s="8" t="n">
        <v>3</v>
      </c>
      <c r="E8" s="8" t="inlineStr">
        <is>
          <t>Provisional; validate through sensitivity and institution-type pilot.</t>
        </is>
      </c>
    </row>
    <row r="9">
      <c r="A9" s="8" t="inlineStr">
        <is>
          <t>D08</t>
        </is>
      </c>
      <c r="B9" s="8" t="inlineStr">
        <is>
          <t>Digital, Data &amp; Institutional Intelligence</t>
        </is>
      </c>
      <c r="C9" s="9" t="n">
        <v>0.08</v>
      </c>
      <c r="D9" s="8" t="n">
        <v>3</v>
      </c>
      <c r="E9" s="8" t="inlineStr">
        <is>
          <t>Provisional; validate through sensitivity and institution-type pilot.</t>
        </is>
      </c>
    </row>
    <row r="10">
      <c r="A10" s="8" t="inlineStr">
        <is>
          <t>D09</t>
        </is>
      </c>
      <c r="B10" s="8" t="inlineStr">
        <is>
          <t>Employability, Industry &amp; Economic Relevance</t>
        </is>
      </c>
      <c r="C10" s="9" t="n">
        <v>0.09</v>
      </c>
      <c r="D10" s="8" t="n">
        <v>3</v>
      </c>
      <c r="E10" s="8" t="inlineStr">
        <is>
          <t>Provisional; validate through sensitivity and institution-type pilot.</t>
        </is>
      </c>
    </row>
    <row r="11">
      <c r="A11" s="8" t="inlineStr">
        <is>
          <t>D10</t>
        </is>
      </c>
      <c r="B11" s="8" t="inlineStr">
        <is>
          <t>Research, Innovation &amp; Knowledge Creation</t>
        </is>
      </c>
      <c r="C11" s="9" t="n">
        <v>0.05</v>
      </c>
      <c r="D11" s="8" t="n">
        <v>3</v>
      </c>
      <c r="E11" s="8" t="inlineStr">
        <is>
          <t>Provisional; validate through sensitivity and institution-type pilot.</t>
        </is>
      </c>
    </row>
    <row r="12">
      <c r="A12" s="8" t="inlineStr">
        <is>
          <t>D11</t>
        </is>
      </c>
      <c r="B12" s="8" t="inlineStr">
        <is>
          <t>Institutional Adaptability &amp; AI Resilience</t>
        </is>
      </c>
      <c r="C12" s="9" t="n">
        <v>0.04</v>
      </c>
      <c r="D12" s="8" t="n">
        <v>3</v>
      </c>
      <c r="E12" s="8" t="inlineStr">
        <is>
          <t>Provisional; validate through sensitivity and institution-type pilot.</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20.140625" customWidth="1" min="2" max="2"/>
    <col width="17.140625" customWidth="1" min="4" max="4"/>
    <col width="22.140625" customWidth="1" min="5" max="5"/>
    <col width="14.140625" customWidth="1" min="7" max="7"/>
    <col width="20.140625" customWidth="1" min="8" max="8"/>
  </cols>
  <sheetData>
    <row r="1">
      <c r="A1" s="7" t="inlineStr">
        <is>
          <t>Domain</t>
        </is>
      </c>
      <c r="B1" s="7" t="inlineStr">
        <is>
          <t>Domain Score /100</t>
        </is>
      </c>
      <c r="C1" s="7" t="inlineStr">
        <is>
          <t>Applicable Metrics</t>
        </is>
      </c>
      <c r="D1" s="7" t="inlineStr">
        <is>
          <t>N/A Metrics</t>
        </is>
      </c>
      <c r="E1" s="7" t="inlineStr">
        <is>
          <t>Average Confidence</t>
        </is>
      </c>
      <c r="F1" s="7" t="inlineStr">
        <is>
          <t>Weighted Contribution</t>
        </is>
      </c>
      <c r="G1" s="7" t="inlineStr">
        <is>
          <t>Weight</t>
        </is>
      </c>
      <c r="H1" s="7" t="inlineStr">
        <is>
          <t>Domain Status</t>
        </is>
      </c>
    </row>
    <row r="2">
      <c r="A2" s="8" t="inlineStr">
        <is>
          <t>D01</t>
        </is>
      </c>
      <c r="B2" s="6">
        <f>IFERROR(AVERAGEIF('P0-3_Scorecard'!$A$2:$A$144,A2,'P0-3_Scorecard'!$L$2:$L$144),"")</f>
        <v/>
      </c>
      <c r="C2" s="6">
        <f>COUNTIFS('P0-3_Scorecard'!$A$2:$A$144,A2,'P0-3_Scorecard'!$D$2:$D$144,"Y")</f>
        <v/>
      </c>
      <c r="D2" s="6">
        <f>COUNTIFS('P0-3_Scorecard'!$A$2:$A$144,A2,'P0-3_Scorecard'!$D$2:$D$144,"N")</f>
        <v/>
      </c>
      <c r="E2" s="6">
        <f>IFERROR(AVERAGEIF('P0-3_Scorecard'!$A$2:$A$144,A2,'P0-3_Scorecard'!$K$2:$K$144),"")</f>
        <v/>
      </c>
      <c r="F2" s="6">
        <f>IF(B2="","",B2*G2)</f>
        <v/>
      </c>
      <c r="G2" s="9" t="n">
        <v>0.1</v>
      </c>
      <c r="H2" s="6">
        <f>IF(B2="","NOT SCORED",IF(B2&gt;=80,"STRONG",IF(B2&gt;=60,"DEVELOPING","PRIORITY")))</f>
        <v/>
      </c>
    </row>
    <row r="3">
      <c r="A3" s="8" t="inlineStr">
        <is>
          <t>D02</t>
        </is>
      </c>
      <c r="B3" s="6">
        <f>IFERROR(AVERAGEIF('P0-3_Scorecard'!$A$2:$A$144,A3,'P0-3_Scorecard'!$L$2:$L$144),"")</f>
        <v/>
      </c>
      <c r="C3" s="6">
        <f>COUNTIFS('P0-3_Scorecard'!$A$2:$A$144,A3,'P0-3_Scorecard'!$D$2:$D$144,"Y")</f>
        <v/>
      </c>
      <c r="D3" s="6">
        <f>COUNTIFS('P0-3_Scorecard'!$A$2:$A$144,A3,'P0-3_Scorecard'!$D$2:$D$144,"N")</f>
        <v/>
      </c>
      <c r="E3" s="6">
        <f>IFERROR(AVERAGEIF('P0-3_Scorecard'!$A$2:$A$144,A3,'P0-3_Scorecard'!$K$2:$K$144),"")</f>
        <v/>
      </c>
      <c r="F3" s="6">
        <f>IF(B3="","",B3*G3)</f>
        <v/>
      </c>
      <c r="G3" s="9" t="n">
        <v>0.12</v>
      </c>
      <c r="H3" s="6">
        <f>IF(B3="","NOT SCORED",IF(B3&gt;=80,"STRONG",IF(B3&gt;=60,"DEVELOPING","PRIORITY")))</f>
        <v/>
      </c>
    </row>
    <row r="4">
      <c r="A4" s="8" t="inlineStr">
        <is>
          <t>D03</t>
        </is>
      </c>
      <c r="B4" s="6">
        <f>IFERROR(AVERAGEIF('P0-3_Scorecard'!$A$2:$A$144,A4,'P0-3_Scorecard'!$L$2:$L$144),"")</f>
        <v/>
      </c>
      <c r="C4" s="6">
        <f>COUNTIFS('P0-3_Scorecard'!$A$2:$A$144,A4,'P0-3_Scorecard'!$D$2:$D$144,"Y")</f>
        <v/>
      </c>
      <c r="D4" s="6">
        <f>COUNTIFS('P0-3_Scorecard'!$A$2:$A$144,A4,'P0-3_Scorecard'!$D$2:$D$144,"N")</f>
        <v/>
      </c>
      <c r="E4" s="6">
        <f>IFERROR(AVERAGEIF('P0-3_Scorecard'!$A$2:$A$144,A4,'P0-3_Scorecard'!$K$2:$K$144),"")</f>
        <v/>
      </c>
      <c r="F4" s="6">
        <f>IF(B4="","",B4*G4)</f>
        <v/>
      </c>
      <c r="G4" s="9" t="n">
        <v>0.12</v>
      </c>
      <c r="H4" s="6">
        <f>IF(B4="","NOT SCORED",IF(B4&gt;=80,"STRONG",IF(B4&gt;=60,"DEVELOPING","PRIORITY")))</f>
        <v/>
      </c>
    </row>
    <row r="5">
      <c r="A5" s="8" t="inlineStr">
        <is>
          <t>D04</t>
        </is>
      </c>
      <c r="B5" s="6">
        <f>IFERROR(AVERAGEIF('P0-3_Scorecard'!$A$2:$A$144,A5,'P0-3_Scorecard'!$L$2:$L$144),"")</f>
        <v/>
      </c>
      <c r="C5" s="6">
        <f>COUNTIFS('P0-3_Scorecard'!$A$2:$A$144,A5,'P0-3_Scorecard'!$D$2:$D$144,"Y")</f>
        <v/>
      </c>
      <c r="D5" s="6">
        <f>COUNTIFS('P0-3_Scorecard'!$A$2:$A$144,A5,'P0-3_Scorecard'!$D$2:$D$144,"N")</f>
        <v/>
      </c>
      <c r="E5" s="6">
        <f>IFERROR(AVERAGEIF('P0-3_Scorecard'!$A$2:$A$144,A5,'P0-3_Scorecard'!$K$2:$K$144),"")</f>
        <v/>
      </c>
      <c r="F5" s="6">
        <f>IF(B5="","",B5*G5)</f>
        <v/>
      </c>
      <c r="G5" s="9" t="n">
        <v>0.1</v>
      </c>
      <c r="H5" s="6">
        <f>IF(B5="","NOT SCORED",IF(B5&gt;=80,"STRONG",IF(B5&gt;=60,"DEVELOPING","PRIORITY")))</f>
        <v/>
      </c>
    </row>
    <row r="6">
      <c r="A6" s="8" t="inlineStr">
        <is>
          <t>D05</t>
        </is>
      </c>
      <c r="B6" s="6">
        <f>IFERROR(AVERAGEIF('P0-3_Scorecard'!$A$2:$A$144,A6,'P0-3_Scorecard'!$L$2:$L$144),"")</f>
        <v/>
      </c>
      <c r="C6" s="6">
        <f>COUNTIFS('P0-3_Scorecard'!$A$2:$A$144,A6,'P0-3_Scorecard'!$D$2:$D$144,"Y")</f>
        <v/>
      </c>
      <c r="D6" s="6">
        <f>COUNTIFS('P0-3_Scorecard'!$A$2:$A$144,A6,'P0-3_Scorecard'!$D$2:$D$144,"N")</f>
        <v/>
      </c>
      <c r="E6" s="6">
        <f>IFERROR(AVERAGEIF('P0-3_Scorecard'!$A$2:$A$144,A6,'P0-3_Scorecard'!$K$2:$K$144),"")</f>
        <v/>
      </c>
      <c r="F6" s="6">
        <f>IF(B6="","",B6*G6)</f>
        <v/>
      </c>
      <c r="G6" s="9" t="n">
        <v>0.1</v>
      </c>
      <c r="H6" s="6">
        <f>IF(B6="","NOT SCORED",IF(B6&gt;=80,"STRONG",IF(B6&gt;=60,"DEVELOPING","PRIORITY")))</f>
        <v/>
      </c>
    </row>
    <row r="7">
      <c r="A7" s="8" t="inlineStr">
        <is>
          <t>D06</t>
        </is>
      </c>
      <c r="B7" s="6">
        <f>IFERROR(AVERAGEIF('P0-3_Scorecard'!$A$2:$A$144,A7,'P0-3_Scorecard'!$L$2:$L$144),"")</f>
        <v/>
      </c>
      <c r="C7" s="6">
        <f>COUNTIFS('P0-3_Scorecard'!$A$2:$A$144,A7,'P0-3_Scorecard'!$D$2:$D$144,"Y")</f>
        <v/>
      </c>
      <c r="D7" s="6">
        <f>COUNTIFS('P0-3_Scorecard'!$A$2:$A$144,A7,'P0-3_Scorecard'!$D$2:$D$144,"N")</f>
        <v/>
      </c>
      <c r="E7" s="6">
        <f>IFERROR(AVERAGEIF('P0-3_Scorecard'!$A$2:$A$144,A7,'P0-3_Scorecard'!$K$2:$K$144),"")</f>
        <v/>
      </c>
      <c r="F7" s="6">
        <f>IF(B7="","",B7*G7)</f>
        <v/>
      </c>
      <c r="G7" s="9" t="n">
        <v>0.1</v>
      </c>
      <c r="H7" s="6">
        <f>IF(B7="","NOT SCORED",IF(B7&gt;=80,"STRONG",IF(B7&gt;=60,"DEVELOPING","PRIORITY")))</f>
        <v/>
      </c>
    </row>
    <row r="8">
      <c r="A8" s="8" t="inlineStr">
        <is>
          <t>D07</t>
        </is>
      </c>
      <c r="B8" s="6">
        <f>IFERROR(AVERAGEIF('P0-3_Scorecard'!$A$2:$A$144,A8,'P0-3_Scorecard'!$L$2:$L$144),"")</f>
        <v/>
      </c>
      <c r="C8" s="6">
        <f>COUNTIFS('P0-3_Scorecard'!$A$2:$A$144,A8,'P0-3_Scorecard'!$D$2:$D$144,"Y")</f>
        <v/>
      </c>
      <c r="D8" s="6">
        <f>COUNTIFS('P0-3_Scorecard'!$A$2:$A$144,A8,'P0-3_Scorecard'!$D$2:$D$144,"N")</f>
        <v/>
      </c>
      <c r="E8" s="6">
        <f>IFERROR(AVERAGEIF('P0-3_Scorecard'!$A$2:$A$144,A8,'P0-3_Scorecard'!$K$2:$K$144),"")</f>
        <v/>
      </c>
      <c r="F8" s="6">
        <f>IF(B8="","",B8*G8)</f>
        <v/>
      </c>
      <c r="G8" s="9" t="n">
        <v>0.1</v>
      </c>
      <c r="H8" s="6">
        <f>IF(B8="","NOT SCORED",IF(B8&gt;=80,"STRONG",IF(B8&gt;=60,"DEVELOPING","PRIORITY")))</f>
        <v/>
      </c>
    </row>
    <row r="9">
      <c r="A9" s="8" t="inlineStr">
        <is>
          <t>D08</t>
        </is>
      </c>
      <c r="B9" s="6">
        <f>IFERROR(AVERAGEIF('P0-3_Scorecard'!$A$2:$A$144,A9,'P0-3_Scorecard'!$L$2:$L$144),"")</f>
        <v/>
      </c>
      <c r="C9" s="6">
        <f>COUNTIFS('P0-3_Scorecard'!$A$2:$A$144,A9,'P0-3_Scorecard'!$D$2:$D$144,"Y")</f>
        <v/>
      </c>
      <c r="D9" s="6">
        <f>COUNTIFS('P0-3_Scorecard'!$A$2:$A$144,A9,'P0-3_Scorecard'!$D$2:$D$144,"N")</f>
        <v/>
      </c>
      <c r="E9" s="6">
        <f>IFERROR(AVERAGEIF('P0-3_Scorecard'!$A$2:$A$144,A9,'P0-3_Scorecard'!$K$2:$K$144),"")</f>
        <v/>
      </c>
      <c r="F9" s="6">
        <f>IF(B9="","",B9*G9)</f>
        <v/>
      </c>
      <c r="G9" s="9" t="n">
        <v>0.08</v>
      </c>
      <c r="H9" s="6">
        <f>IF(B9="","NOT SCORED",IF(B9&gt;=80,"STRONG",IF(B9&gt;=60,"DEVELOPING","PRIORITY")))</f>
        <v/>
      </c>
    </row>
    <row r="10">
      <c r="A10" s="8" t="inlineStr">
        <is>
          <t>D09</t>
        </is>
      </c>
      <c r="B10" s="6">
        <f>IFERROR(AVERAGEIF('P0-3_Scorecard'!$A$2:$A$144,A10,'P0-3_Scorecard'!$L$2:$L$144),"")</f>
        <v/>
      </c>
      <c r="C10" s="6">
        <f>COUNTIFS('P0-3_Scorecard'!$A$2:$A$144,A10,'P0-3_Scorecard'!$D$2:$D$144,"Y")</f>
        <v/>
      </c>
      <c r="D10" s="6">
        <f>COUNTIFS('P0-3_Scorecard'!$A$2:$A$144,A10,'P0-3_Scorecard'!$D$2:$D$144,"N")</f>
        <v/>
      </c>
      <c r="E10" s="6">
        <f>IFERROR(AVERAGEIF('P0-3_Scorecard'!$A$2:$A$144,A10,'P0-3_Scorecard'!$K$2:$K$144),"")</f>
        <v/>
      </c>
      <c r="F10" s="6">
        <f>IF(B10="","",B10*G10)</f>
        <v/>
      </c>
      <c r="G10" s="9" t="n">
        <v>0.09</v>
      </c>
      <c r="H10" s="6">
        <f>IF(B10="","NOT SCORED",IF(B10&gt;=80,"STRONG",IF(B10&gt;=60,"DEVELOPING","PRIORITY")))</f>
        <v/>
      </c>
    </row>
    <row r="11">
      <c r="A11" s="8" t="inlineStr">
        <is>
          <t>D10</t>
        </is>
      </c>
      <c r="B11" s="6">
        <f>IFERROR(AVERAGEIF('P0-3_Scorecard'!$A$2:$A$144,A11,'P0-3_Scorecard'!$L$2:$L$144),"")</f>
        <v/>
      </c>
      <c r="C11" s="6">
        <f>COUNTIFS('P0-3_Scorecard'!$A$2:$A$144,A11,'P0-3_Scorecard'!$D$2:$D$144,"Y")</f>
        <v/>
      </c>
      <c r="D11" s="6">
        <f>COUNTIFS('P0-3_Scorecard'!$A$2:$A$144,A11,'P0-3_Scorecard'!$D$2:$D$144,"N")</f>
        <v/>
      </c>
      <c r="E11" s="6">
        <f>IFERROR(AVERAGEIF('P0-3_Scorecard'!$A$2:$A$144,A11,'P0-3_Scorecard'!$K$2:$K$144),"")</f>
        <v/>
      </c>
      <c r="F11" s="6">
        <f>IF(B11="","",B11*G11)</f>
        <v/>
      </c>
      <c r="G11" s="9" t="n">
        <v>0.05</v>
      </c>
      <c r="H11" s="6">
        <f>IF(B11="","NOT SCORED",IF(B11&gt;=80,"STRONG",IF(B11&gt;=60,"DEVELOPING","PRIORITY")))</f>
        <v/>
      </c>
    </row>
    <row r="12">
      <c r="A12" s="8" t="inlineStr">
        <is>
          <t>D11</t>
        </is>
      </c>
      <c r="B12" s="6">
        <f>IFERROR(AVERAGEIF('P0-3_Scorecard'!$A$2:$A$144,A12,'P0-3_Scorecard'!$L$2:$L$144),"")</f>
        <v/>
      </c>
      <c r="C12" s="6">
        <f>COUNTIFS('P0-3_Scorecard'!$A$2:$A$144,A12,'P0-3_Scorecard'!$D$2:$D$144,"Y")</f>
        <v/>
      </c>
      <c r="D12" s="6">
        <f>COUNTIFS('P0-3_Scorecard'!$A$2:$A$144,A12,'P0-3_Scorecard'!$D$2:$D$144,"N")</f>
        <v/>
      </c>
      <c r="E12" s="6">
        <f>IFERROR(AVERAGEIF('P0-3_Scorecard'!$A$2:$A$144,A12,'P0-3_Scorecard'!$K$2:$K$144),"")</f>
        <v/>
      </c>
      <c r="F12" s="6">
        <f>IF(B12="","",B12*G12)</f>
        <v/>
      </c>
      <c r="G12" s="9" t="n">
        <v>0.04</v>
      </c>
      <c r="H12" s="6">
        <f>IF(B12="","NOT SCORED",IF(B12&gt;=80,"STRONG",IF(B12&gt;=60,"DEVELOPING","PRIORITY")))</f>
        <v/>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34.140625" customWidth="1" min="1" max="1"/>
    <col width="60.7109375" customWidth="1" min="2" max="2"/>
  </cols>
  <sheetData>
    <row r="1">
      <c r="A1" s="7" t="inlineStr">
        <is>
          <t>P0-3 OVERALL INDEX</t>
        </is>
      </c>
      <c r="B1" s="7" t="inlineStr">
        <is>
          <t>Value</t>
        </is>
      </c>
    </row>
    <row r="2">
      <c r="A2" s="8" t="inlineStr">
        <is>
          <t>Overall ARUI /100</t>
        </is>
      </c>
      <c r="B2" s="6">
        <f>SUM('P0-3_Domain_Aggregation'!F2:F12)</f>
        <v/>
      </c>
    </row>
    <row r="3">
      <c r="A3" s="8" t="inlineStr">
        <is>
          <t>Weighted domain coverage</t>
        </is>
      </c>
      <c r="B3" s="6">
        <f>SUMPRODUCT('P0-3_Domain_Aggregation'!G2:G12,--('P0-3_Domain_Aggregation'!B2:B12&lt;&gt;""))</f>
        <v/>
      </c>
    </row>
    <row r="4">
      <c r="A4" s="8" t="inlineStr">
        <is>
          <t>Average confidence</t>
        </is>
      </c>
      <c r="B4" s="6">
        <f>IFERROR(SUMPRODUCT('P0-3_Domain_Aggregation'!E2:E12,'P0-3_Domain_Aggregation'!G2:G12)/B3,"")</f>
        <v/>
      </c>
    </row>
    <row r="5">
      <c r="A5" s="8" t="inlineStr">
        <is>
          <t>Interpretation</t>
        </is>
      </c>
      <c r="B5" s="8" t="inlineStr">
        <is>
          <t>Diagnostic only until P0-3 validation gates pass.</t>
        </is>
      </c>
    </row>
    <row r="6">
      <c r="A6" s="8" t="inlineStr">
        <is>
          <t>Public benchmark status</t>
        </is>
      </c>
      <c r="B6" s="8" t="inlineStr">
        <is>
          <t>BLOCKED</t>
        </is>
      </c>
    </row>
    <row r="7">
      <c r="A7" s="8" t="inlineStr">
        <is>
          <t>Certification status</t>
        </is>
      </c>
      <c r="B7" s="8" t="inlineStr">
        <is>
          <t>NOT A CERTIFICATION ENGINE</t>
        </is>
      </c>
    </row>
    <row r="8">
      <c r="A8" s="8" t="inlineStr">
        <is>
          <t>Pay-for-score protection</t>
        </is>
      </c>
      <c r="B8" s="8" t="inlineStr">
        <is>
          <t>Assessment fees may pay for assessment work; they must not influence score, rank, verification or recognition.</t>
        </is>
      </c>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4.140625" customWidth="1" min="1" max="1"/>
    <col width="44.140625" customWidth="1" min="2" max="2"/>
    <col width="54.140625" customWidth="1" min="3" max="3"/>
    <col width="50.140625" customWidth="1" min="5" max="5"/>
  </cols>
  <sheetData>
    <row r="1">
      <c r="A1" s="7" t="inlineStr">
        <is>
          <t>Variable</t>
        </is>
      </c>
      <c r="B1" s="7" t="inlineStr">
        <is>
          <t>Allowed inputs / bands</t>
        </is>
      </c>
      <c r="C1" s="7" t="inlineStr">
        <is>
          <t>Effect on scoring</t>
        </is>
      </c>
      <c r="D1" s="7" t="inlineStr">
        <is>
          <t>Effect on evidence burden</t>
        </is>
      </c>
      <c r="E1" s="7" t="inlineStr">
        <is>
          <t>Effect on required maturity</t>
        </is>
      </c>
      <c r="F1" s="7" t="inlineStr">
        <is>
          <t>Governance rule</t>
        </is>
      </c>
    </row>
    <row r="2">
      <c r="A2" s="8" t="inlineStr">
        <is>
          <t>Institution type</t>
        </is>
      </c>
      <c r="B2" s="8" t="inlineStr">
        <is>
          <t>University; Deemed; Autonomous; College; Specialist; Other</t>
        </is>
      </c>
      <c r="C2" s="8" t="inlineStr">
        <is>
          <t>No automatic bonus/penalty</t>
        </is>
      </c>
      <c r="D2" s="8" t="inlineStr">
        <is>
          <t>Adjust sample design proportionately</t>
        </is>
      </c>
      <c r="E2" s="8" t="inlineStr">
        <is>
          <t>Mandate-sensitive only</t>
        </is>
      </c>
      <c r="F2" s="8" t="inlineStr">
        <is>
          <t>Assessor must document applicability</t>
        </is>
      </c>
    </row>
    <row r="3">
      <c r="A3" s="8" t="inlineStr">
        <is>
          <t>Scale</t>
        </is>
      </c>
      <c r="B3" s="8" t="inlineStr">
        <is>
          <t>Student/FTE bands</t>
        </is>
      </c>
      <c r="C3" s="8" t="inlineStr">
        <is>
          <t>No automatic bonus/penalty</t>
        </is>
      </c>
      <c r="D3" s="8" t="inlineStr">
        <is>
          <t>Smaller populations may use proportionate samples</t>
        </is>
      </c>
      <c r="E3" s="8" t="inlineStr">
        <is>
          <t>None unless mandate/operating complexity changes</t>
        </is>
      </c>
      <c r="F3" s="8" t="inlineStr">
        <is>
          <t>Same construct standard</t>
        </is>
      </c>
    </row>
    <row r="4">
      <c r="A4" s="8" t="inlineStr">
        <is>
          <t>Geography</t>
        </is>
      </c>
      <c r="B4" s="8" t="inlineStr">
        <is>
          <t>Metro; urban; semi-urban; rural; multi-campus; remote</t>
        </is>
      </c>
      <c r="C4" s="8" t="inlineStr">
        <is>
          <t>No automatic bonus/penalty</t>
        </is>
      </c>
      <c r="D4" s="8" t="inlineStr">
        <is>
          <t>Evidence access/sample design may adapt</t>
        </is>
      </c>
      <c r="E4" s="8" t="inlineStr">
        <is>
          <t>None by geography alone</t>
        </is>
      </c>
      <c r="F4" s="8" t="inlineStr">
        <is>
          <t>Do not lower maturity expectation</t>
        </is>
      </c>
    </row>
    <row r="5">
      <c r="A5" s="8" t="inlineStr">
        <is>
          <t>Discipline mix</t>
        </is>
      </c>
      <c r="B5" s="8" t="inlineStr">
        <is>
          <t>Technical; professional; humanities; health; mixed</t>
        </is>
      </c>
      <c r="C5" s="8" t="inlineStr">
        <is>
          <t>No automatic bonus/penalty</t>
        </is>
      </c>
      <c r="D5" s="8" t="inlineStr">
        <is>
          <t>Examples/tasks branch by discipline</t>
        </is>
      </c>
      <c r="E5" s="8" t="inlineStr">
        <is>
          <t>Consequence/exposure may alter required maturity</t>
        </is>
      </c>
      <c r="F5" s="8" t="inlineStr">
        <is>
          <t>Construct remains invariant</t>
        </is>
      </c>
    </row>
    <row r="6">
      <c r="A6" s="8" t="inlineStr">
        <is>
          <t>Resource envelope</t>
        </is>
      </c>
      <c r="B6" s="8" t="inlineStr">
        <is>
          <t>Low/medium/high or documented resource profile</t>
        </is>
      </c>
      <c r="C6" s="8" t="inlineStr">
        <is>
          <t>No score bonus</t>
        </is>
      </c>
      <c r="D6" s="8" t="inlineStr">
        <is>
          <t>Evidence burden may be proportionate</t>
        </is>
      </c>
      <c r="E6" s="8" t="inlineStr">
        <is>
          <t>Does not lower target maturity</t>
        </is>
      </c>
      <c r="F6" s="8" t="inlineStr">
        <is>
          <t>No pay-to-score</t>
        </is>
      </c>
    </row>
    <row r="7">
      <c r="A7" s="8" t="inlineStr">
        <is>
          <t>Student profile</t>
        </is>
      </c>
      <c r="B7" s="8" t="inlineStr">
        <is>
          <t>First-generation; working; residential; online; mixed etc.</t>
        </is>
      </c>
      <c r="C7" s="8" t="inlineStr">
        <is>
          <t>No automatic bonus/penalty</t>
        </is>
      </c>
      <c r="D7" s="8" t="inlineStr">
        <is>
          <t>Sample and support evidence may adapt</t>
        </is>
      </c>
      <c r="E7" s="8" t="inlineStr">
        <is>
          <t>Mandate/exposure only</t>
        </is>
      </c>
      <c r="F7" s="8" t="inlineStr">
        <is>
          <t>Protect equity interpretation</t>
        </is>
      </c>
    </row>
    <row r="8">
      <c r="A8" s="8" t="inlineStr">
        <is>
          <t>Research intensity</t>
        </is>
      </c>
      <c r="B8" s="8" t="inlineStr">
        <is>
          <t>Low/medium/high</t>
        </is>
      </c>
      <c r="C8" s="8" t="inlineStr">
        <is>
          <t>No automatic bonus/penalty</t>
        </is>
      </c>
      <c r="D8" s="8" t="inlineStr">
        <is>
          <t>Research evidence branch</t>
        </is>
      </c>
      <c r="E8" s="8" t="inlineStr">
        <is>
          <t>Higher research consequence may increase R for D10</t>
        </is>
      </c>
      <c r="F8" s="8" t="inlineStr">
        <is>
          <t>Do not penalise non-research institutions for N/A constructs</t>
        </is>
      </c>
    </row>
    <row r="9">
      <c r="A9" s="8" t="inlineStr">
        <is>
          <t>AI exposure</t>
        </is>
      </c>
      <c r="B9" s="8" t="inlineStr">
        <is>
          <t>Low/medium/high/critical</t>
        </is>
      </c>
      <c r="C9" s="8" t="inlineStr">
        <is>
          <t>No automatic bonus/penalty</t>
        </is>
      </c>
      <c r="D9" s="8" t="inlineStr">
        <is>
          <t>Higher exposure can increase evidence depth</t>
        </is>
      </c>
      <c r="E9" s="8" t="inlineStr">
        <is>
          <t>May increase R where consequential exposure is material</t>
        </is>
      </c>
      <c r="F9" s="8" t="inlineStr">
        <is>
          <t>Document exposure basis</t>
        </is>
      </c>
    </row>
    <row r="10">
      <c r="A10" s="8" t="inlineStr">
        <is>
          <t>Institutional trajectory</t>
        </is>
      </c>
      <c r="B10" s="8" t="inlineStr">
        <is>
          <t>Stable; expanding; restructuring; turnaround; strategic transition</t>
        </is>
      </c>
      <c r="C10" s="8" t="inlineStr">
        <is>
          <t>No automatic bonus/penalty</t>
        </is>
      </c>
      <c r="D10" s="8" t="inlineStr">
        <is>
          <t>Use recent change evidence</t>
        </is>
      </c>
      <c r="E10" s="8" t="inlineStr">
        <is>
          <t>May affect transformation urgency, not capability score</t>
        </is>
      </c>
      <c r="F10" s="8" t="inlineStr">
        <is>
          <t>Do not convert difficulty into leniency</t>
        </is>
      </c>
    </row>
    <row r="11">
      <c r="A11" s="8" t="inlineStr">
        <is>
          <t>Context calibration formula</t>
        </is>
      </c>
      <c r="B11" s="8" t="inlineStr">
        <is>
          <t>R = clamp(0,5, Base mandate + Exposure adjustment + Consequence adjustment + Trajectory adjustment)</t>
        </is>
      </c>
      <c r="C11" s="8" t="inlineStr">
        <is>
          <t>Apply only to required maturity R, never raw capability score</t>
        </is>
      </c>
      <c r="D11" s="8" t="inlineStr">
        <is>
          <t>Evidence burden adjusted separately</t>
        </is>
      </c>
      <c r="E11" s="8" t="inlineStr">
        <is>
          <t>Target only</t>
        </is>
      </c>
      <c r="F11" s="8" t="inlineStr">
        <is>
          <t>All adjustments require documented rationale</t>
        </is>
      </c>
    </row>
    <row r="12"/>
    <row r="13">
      <c r="A13" t="inlineStr">
        <is>
          <t>P0-4 UPDATE</t>
        </is>
      </c>
      <c r="B13" t="inlineStr">
        <is>
          <t>Context calibration is now executable through P0-4_Context_Profile and P0-4_Required_Maturity; resource envelope affects evidence burden, not target maturity.</t>
        </is>
      </c>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0.140625" customWidth="1" min="1" max="1"/>
    <col width="57.140625" customWidth="1" min="3" max="3"/>
    <col width="60.7109375" customWidth="1" min="5" max="5"/>
  </cols>
  <sheetData>
    <row r="1">
      <c r="A1" s="7" t="inlineStr">
        <is>
          <t>Evidence Level</t>
        </is>
      </c>
      <c r="B1" s="7" t="inlineStr">
        <is>
          <t>Base Confidence</t>
        </is>
      </c>
      <c r="C1" s="7" t="inlineStr">
        <is>
          <t>Meaning</t>
        </is>
      </c>
      <c r="D1" s="7" t="inlineStr">
        <is>
          <t>Typical use</t>
        </is>
      </c>
      <c r="E1" s="7" t="inlineStr">
        <is>
          <t>High-score condition</t>
        </is>
      </c>
    </row>
    <row r="2">
      <c r="A2" s="8" t="inlineStr">
        <is>
          <t>E0</t>
        </is>
      </c>
      <c r="B2" s="11" t="n">
        <v>0.2</v>
      </c>
      <c r="C2" s="8" t="inlineStr">
        <is>
          <t>Description/claim only</t>
        </is>
      </c>
      <c r="D2" s="8" t="inlineStr">
        <is>
          <t>Discovery, not sufficient for high maturity</t>
        </is>
      </c>
      <c r="E2" s="8" t="inlineStr">
        <is>
          <t>Cannot support high maturity alone</t>
        </is>
      </c>
    </row>
    <row r="3">
      <c r="A3" s="8" t="inlineStr">
        <is>
          <t>E1</t>
        </is>
      </c>
      <c r="B3" s="11" t="n">
        <v>0.4</v>
      </c>
      <c r="C3" s="8" t="inlineStr">
        <is>
          <t>Institutional artefact</t>
        </is>
      </c>
      <c r="D3" s="8" t="inlineStr">
        <is>
          <t>Policy, plan, curriculum, framework</t>
        </is>
      </c>
      <c r="E3" s="8" t="inlineStr">
        <is>
          <t>Must show implementation for score ≥3</t>
        </is>
      </c>
    </row>
    <row r="4">
      <c r="A4" s="8" t="inlineStr">
        <is>
          <t>E2</t>
        </is>
      </c>
      <c r="B4" s="11" t="n">
        <v>0.65</v>
      </c>
      <c r="C4" s="8" t="inlineStr">
        <is>
          <t>Operational evidence</t>
        </is>
      </c>
      <c r="D4" s="8" t="inlineStr">
        <is>
          <t>Dated operating records, samples, workflow traces</t>
        </is>
      </c>
      <c r="E4" s="8" t="inlineStr">
        <is>
          <t>Score ≥3 requires direct operational/demonstration evidence</t>
        </is>
      </c>
    </row>
    <row r="5">
      <c r="A5" s="8" t="inlineStr">
        <is>
          <t>E3</t>
        </is>
      </c>
      <c r="B5" s="11" t="n">
        <v>0.85</v>
      </c>
      <c r="C5" s="8" t="inlineStr">
        <is>
          <t>Outcome evidence</t>
        </is>
      </c>
      <c r="D5" s="8" t="inlineStr">
        <is>
          <t>Measured outcomes linked to construct</t>
        </is>
      </c>
      <c r="E5" s="8" t="inlineStr">
        <is>
          <t>Required/preferred for claimed outcome strength</t>
        </is>
      </c>
    </row>
    <row r="6">
      <c r="A6" s="8" t="inlineStr">
        <is>
          <t>E4</t>
        </is>
      </c>
      <c r="B6" s="11" t="n">
        <v>1</v>
      </c>
      <c r="C6" s="8" t="inlineStr">
        <is>
          <t>Independent/triangulated evidence</t>
        </is>
      </c>
      <c r="D6" s="8" t="inlineStr">
        <is>
          <t>External validation or independent corroboration</t>
        </is>
      </c>
      <c r="E6" s="8" t="inlineStr">
        <is>
          <t>Preferred for high-stakes/high maturity claims</t>
        </is>
      </c>
    </row>
    <row r="7">
      <c r="A7" s="8" t="inlineStr">
        <is>
          <t>Adjustment</t>
        </is>
      </c>
      <c r="B7" s="8" t="inlineStr">
        <is>
          <t>Rule</t>
        </is>
      </c>
      <c r="C7" s="6" t="n"/>
      <c r="D7" s="6" t="n"/>
      <c r="E7" s="6" t="n"/>
    </row>
    <row r="8">
      <c r="A8" s="8" t="inlineStr">
        <is>
          <t>Corroboration</t>
        </is>
      </c>
      <c r="B8" s="8" t="inlineStr">
        <is>
          <t>For metric score ≥80, require corroboration unless intrinsically single-source.</t>
        </is>
      </c>
      <c r="C8" s="6" t="n"/>
      <c r="D8" s="6" t="n"/>
      <c r="E8" s="6" t="n"/>
    </row>
    <row r="9">
      <c r="A9" s="8" t="inlineStr">
        <is>
          <t>Independence</t>
        </is>
      </c>
      <c r="B9" s="8" t="inlineStr">
        <is>
          <t>For high-stakes/high maturity claims, independent source preferred/required by metric rule.</t>
        </is>
      </c>
      <c r="C9" s="6" t="n"/>
      <c r="D9" s="6" t="n"/>
      <c r="E9" s="6" t="n"/>
    </row>
    <row r="10">
      <c r="A10" s="8" t="inlineStr">
        <is>
          <t>Separation</t>
        </is>
      </c>
      <c r="B10" s="8" t="inlineStr">
        <is>
          <t>Confidence is reported separately and does not multiply capability score.</t>
        </is>
      </c>
      <c r="C10" s="6" t="n"/>
      <c r="D10" s="6" t="n"/>
      <c r="E10" s="6"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11.140625" customWidth="1" min="2" max="2"/>
    <col width="60.7109375" customWidth="1" min="4" max="4"/>
    <col width="60.140625" customWidth="1" min="5" max="5"/>
    <col width="57.140625" customWidth="1" min="6" max="6"/>
    <col width="37.140625" customWidth="1" min="7" max="7"/>
  </cols>
  <sheetData>
    <row r="1">
      <c r="A1" s="7" t="inlineStr">
        <is>
          <t>Rule ID</t>
        </is>
      </c>
      <c r="B1" s="7" t="inlineStr">
        <is>
          <t>From</t>
        </is>
      </c>
      <c r="C1" s="7" t="inlineStr">
        <is>
          <t>To</t>
        </is>
      </c>
      <c r="D1" s="7" t="inlineStr">
        <is>
          <t>Executable logic</t>
        </is>
      </c>
      <c r="E1" s="7" t="inlineStr">
        <is>
          <t>Trigger condition</t>
        </is>
      </c>
      <c r="F1" s="7" t="inlineStr">
        <is>
          <t>Scoring protection</t>
        </is>
      </c>
      <c r="G1" s="7" t="inlineStr">
        <is>
          <t>Action</t>
        </is>
      </c>
    </row>
    <row r="2">
      <c r="A2" s="8" t="inlineStr">
        <is>
          <t>CD01</t>
        </is>
      </c>
      <c r="B2" s="8" t="inlineStr">
        <is>
          <t>D01</t>
        </is>
      </c>
      <c r="C2" s="8" t="inlineStr">
        <is>
          <t>D03</t>
        </is>
      </c>
      <c r="D2" s="8" t="inlineStr">
        <is>
          <t>Compare D01 strategic priority evidence with D03 capability architecture/evidence.</t>
        </is>
      </c>
      <c r="E2" s="8" t="inlineStr">
        <is>
          <t>Priority exists but no mapped capability development/evidence.</t>
        </is>
      </c>
      <c r="F2" s="8" t="inlineStr">
        <is>
          <t>No D01 uplift from strategic statements alone.</t>
        </is>
      </c>
      <c r="G2" s="8" t="inlineStr">
        <is>
          <t>D03 deep-dive</t>
        </is>
      </c>
    </row>
    <row r="3">
      <c r="A3" s="8" t="inlineStr">
        <is>
          <t>CD02</t>
        </is>
      </c>
      <c r="B3" s="8" t="inlineStr">
        <is>
          <t>D01</t>
        </is>
      </c>
      <c r="C3" s="8" t="inlineStr">
        <is>
          <t>D02</t>
        </is>
      </c>
      <c r="D3" s="8" t="inlineStr">
        <is>
          <t>Compare consequential AI activities with D02 governance ownership/risk controls.</t>
        </is>
      </c>
      <c r="E3" s="8" t="inlineStr">
        <is>
          <t>Consequential activity exceeds documented governance coverage.</t>
        </is>
      </c>
      <c r="F3" s="8" t="inlineStr">
        <is>
          <t>D02 gap remains separate.</t>
        </is>
      </c>
      <c r="G3" s="8" t="inlineStr">
        <is>
          <t>Governance review</t>
        </is>
      </c>
    </row>
    <row r="4">
      <c r="A4" s="8" t="inlineStr">
        <is>
          <t>CD03</t>
        </is>
      </c>
      <c r="B4" s="8" t="inlineStr">
        <is>
          <t>D03</t>
        </is>
      </c>
      <c r="C4" s="8" t="inlineStr">
        <is>
          <t>D04</t>
        </is>
      </c>
      <c r="D4" s="8" t="inlineStr">
        <is>
          <t>Trace priority human capabilities to programme outcome maps and review evidence.</t>
        </is>
      </c>
      <c r="E4" s="8" t="inlineStr">
        <is>
          <t>Capability target has no operational curriculum mapping where applicable.</t>
        </is>
      </c>
      <c r="F4" s="8" t="inlineStr">
        <is>
          <t>Do not score D03 from D04 activity.</t>
        </is>
      </c>
      <c r="G4" s="8" t="inlineStr">
        <is>
          <t>Capability-to-curriculum review</t>
        </is>
      </c>
    </row>
    <row r="5">
      <c r="A5" s="8" t="inlineStr">
        <is>
          <t>CD04</t>
        </is>
      </c>
      <c r="B5" s="8" t="inlineStr">
        <is>
          <t>D03</t>
        </is>
      </c>
      <c r="C5" s="8" t="inlineStr">
        <is>
          <t>D07</t>
        </is>
      </c>
      <c r="D5" s="8" t="inlineStr">
        <is>
          <t>Check target capabilities against actual assessment demonstrations.</t>
        </is>
      </c>
      <c r="E5" s="8" t="inlineStr">
        <is>
          <t>Capability is stated but not demonstrated in sampled assessment.</t>
        </is>
      </c>
      <c r="F5" s="8" t="inlineStr">
        <is>
          <t>D03 score cannot be raised by assessment quality.</t>
        </is>
      </c>
      <c r="G5" s="8" t="inlineStr">
        <is>
          <t>Assessment alignment review</t>
        </is>
      </c>
    </row>
    <row r="6">
      <c r="A6" s="8" t="inlineStr">
        <is>
          <t>CD05</t>
        </is>
      </c>
      <c r="B6" s="8" t="inlineStr">
        <is>
          <t>D06</t>
        </is>
      </c>
      <c r="C6" s="8" t="inlineStr">
        <is>
          <t>D09</t>
        </is>
      </c>
      <c r="D6" s="8" t="inlineStr">
        <is>
          <t>Compare student capability evidence with portfolio/recruiter/placement evidence.</t>
        </is>
      </c>
      <c r="E6" s="8" t="inlineStr">
        <is>
          <t>Student claims materially exceed external validation or vice versa.</t>
        </is>
      </c>
      <c r="F6" s="8" t="inlineStr">
        <is>
          <t>D06 owns lived capability; D09 owns external validation.</t>
        </is>
      </c>
      <c r="G6" s="8" t="inlineStr">
        <is>
          <t>Signalling review</t>
        </is>
      </c>
    </row>
    <row r="7">
      <c r="A7" s="8" t="inlineStr">
        <is>
          <t>CD06</t>
        </is>
      </c>
      <c r="B7" s="8" t="inlineStr">
        <is>
          <t>D08</t>
        </is>
      </c>
      <c r="C7" s="8" t="inlineStr">
        <is>
          <t>D11</t>
        </is>
      </c>
      <c r="D7" s="8" t="inlineStr">
        <is>
          <t>Trace intelligence availability into actual decisions/actions.</t>
        </is>
      </c>
      <c r="E7" s="8" t="inlineStr">
        <is>
          <t>Strong data availability with weak action pathway.</t>
        </is>
      </c>
      <c r="F7" s="8" t="inlineStr">
        <is>
          <t>Data availability is not resilience.</t>
        </is>
      </c>
      <c r="G7" s="8" t="inlineStr">
        <is>
          <t>Intelligence-to-action review</t>
        </is>
      </c>
    </row>
    <row r="8">
      <c r="A8" s="8" t="inlineStr">
        <is>
          <t>CD07</t>
        </is>
      </c>
      <c r="B8" s="8" t="inlineStr">
        <is>
          <t>D09</t>
        </is>
      </c>
      <c r="C8" s="8" t="inlineStr">
        <is>
          <t>D04</t>
        </is>
      </c>
      <c r="D8" s="8" t="inlineStr">
        <is>
          <t>Trace material labour-market signals into programme response.</t>
        </is>
      </c>
      <c r="E8" s="8" t="inlineStr">
        <is>
          <t>Material signal exists but no appropriate programme response.</t>
        </is>
      </c>
      <c r="F8" s="8" t="inlineStr">
        <is>
          <t>Signal belongs D09; programme change belongs D04.</t>
        </is>
      </c>
      <c r="G8" s="8" t="inlineStr">
        <is>
          <t>Signal-to-curriculum review</t>
        </is>
      </c>
    </row>
    <row r="9">
      <c r="A9" s="8" t="inlineStr">
        <is>
          <t>CD08</t>
        </is>
      </c>
      <c r="B9" s="8" t="inlineStr">
        <is>
          <t>D10</t>
        </is>
      </c>
      <c r="C9" s="8" t="inlineStr">
        <is>
          <t>D11</t>
        </is>
      </c>
      <c r="D9" s="8" t="inlineStr">
        <is>
          <t>Trace research/innovation learning into institutional decisions.</t>
        </is>
      </c>
      <c r="E9" s="8" t="inlineStr">
        <is>
          <t>Learning is claimed but not visible in decisions/changes.</t>
        </is>
      </c>
      <c r="F9" s="8" t="inlineStr">
        <is>
          <t>No duplicate research/resilience scoring.</t>
        </is>
      </c>
      <c r="G9" s="8" t="inlineStr">
        <is>
          <t>Learning-loop review</t>
        </is>
      </c>
    </row>
    <row r="10">
      <c r="A10" s="8" t="inlineStr">
        <is>
          <t>CD09</t>
        </is>
      </c>
      <c r="B10" s="8" t="inlineStr">
        <is>
          <t>D11</t>
        </is>
      </c>
      <c r="C10" s="8" t="inlineStr">
        <is>
          <t>D01</t>
        </is>
      </c>
      <c r="D10" s="8" t="inlineStr">
        <is>
          <t>Trace major adaptation events into strategic assumptions and resource decisions.</t>
        </is>
      </c>
      <c r="E10" s="8" t="inlineStr">
        <is>
          <t>Adaptation occurred but strategic assumptions did not update where relevant.</t>
        </is>
      </c>
      <c r="F10" s="8" t="inlineStr">
        <is>
          <t>D11 owns adaptation; D01 owns direction.</t>
        </is>
      </c>
      <c r="G10" s="8" t="inlineStr">
        <is>
          <t>Strategic learning review</t>
        </is>
      </c>
    </row>
    <row r="11">
      <c r="A11" s="8" t="inlineStr">
        <is>
          <t>CD10</t>
        </is>
      </c>
      <c r="B11" s="8" t="inlineStr">
        <is>
          <t>D02</t>
        </is>
      </c>
      <c r="C11" s="8" t="inlineStr">
        <is>
          <t>D08</t>
        </is>
      </c>
      <c r="D11" s="8" t="inlineStr">
        <is>
          <t>Map governance requirements to actual technical/data controls.</t>
        </is>
      </c>
      <c r="E11" s="8" t="inlineStr">
        <is>
          <t>Policy/control requirement has no technical implementation evidence where applicable.</t>
        </is>
      </c>
      <c r="F11" s="8" t="inlineStr">
        <is>
          <t>D02 owns policy/control; D08 owns implementation.</t>
        </is>
      </c>
      <c r="G11" s="8" t="inlineStr">
        <is>
          <t>Policy-to-implementation review</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140625" customWidth="1" min="1" max="1"/>
    <col width="60.7109375" customWidth="1" min="2" max="3"/>
    <col width="24.140625" customWidth="1" min="4" max="4"/>
  </cols>
  <sheetData>
    <row r="1">
      <c r="A1" s="7" t="inlineStr">
        <is>
          <t>Test</t>
        </is>
      </c>
      <c r="B1" s="7" t="inlineStr">
        <is>
          <t>Specification</t>
        </is>
      </c>
      <c r="C1" s="7" t="inlineStr">
        <is>
          <t>Pass criterion</t>
        </is>
      </c>
      <c r="D1" s="7" t="inlineStr">
        <is>
          <t>Status</t>
        </is>
      </c>
    </row>
    <row r="2">
      <c r="A2" s="8" t="inlineStr">
        <is>
          <t>Domain weight sensitivity</t>
        </is>
      </c>
      <c r="B2" s="8" t="inlineStr">
        <is>
          <t>Recalculate overall score under ±20% relative perturbation of each domain weight, renormalising to 100%.</t>
        </is>
      </c>
      <c r="C2" s="8" t="inlineStr">
        <is>
          <t>No single domain causes material instability; predefine threshold before pilot.</t>
        </is>
      </c>
      <c r="D2" s="8" t="inlineStr">
        <is>
          <t>PENDING PILOT</t>
        </is>
      </c>
    </row>
    <row r="3">
      <c r="A3" s="8" t="inlineStr">
        <is>
          <t>Metric coefficient sensitivity</t>
        </is>
      </c>
      <c r="B3" s="8" t="inlineStr">
        <is>
          <t>Test M/I/O coefficient alternatives around 45/30/25 and N/A 60/40.</t>
        </is>
      </c>
      <c r="C3" s="8" t="inlineStr">
        <is>
          <t>Rank/order and diagnostic conclusions remain acceptably stable.</t>
        </is>
      </c>
      <c r="D3" s="8" t="inlineStr">
        <is>
          <t>PENDING PILOT</t>
        </is>
      </c>
    </row>
    <row r="4">
      <c r="A4" s="8" t="inlineStr">
        <is>
          <t>N/A sensitivity</t>
        </is>
      </c>
      <c r="B4" s="8" t="inlineStr">
        <is>
          <t>Compare strict N/A exclusion vs documented proportional aggregation.</t>
        </is>
      </c>
      <c r="C4" s="8" t="inlineStr">
        <is>
          <t>No material score inflation through N/A usage.</t>
        </is>
      </c>
      <c r="D4" s="8" t="inlineStr">
        <is>
          <t>PENDING PILOT</t>
        </is>
      </c>
    </row>
    <row r="5">
      <c r="A5" s="8" t="inlineStr">
        <is>
          <t>Evidence-confidence sensitivity</t>
        </is>
      </c>
      <c r="B5" s="8" t="inlineStr">
        <is>
          <t>Confirm reporting confidence separately does not distort capability rankings.</t>
        </is>
      </c>
      <c r="C5" s="8" t="inlineStr">
        <is>
          <t>Capability score remains evidence-independent except for validity gates.</t>
        </is>
      </c>
      <c r="D5" s="8" t="inlineStr">
        <is>
          <t>PENDING PILOT</t>
        </is>
      </c>
    </row>
    <row r="6">
      <c r="A6" s="8" t="inlineStr">
        <is>
          <t>Institution-type sensitivity</t>
        </is>
      </c>
      <c r="B6" s="8" t="inlineStr">
        <is>
          <t>Run known groups across different institutional types and discipline mixes.</t>
        </is>
      </c>
      <c r="C6" s="8" t="inlineStr">
        <is>
          <t>Expected group differences explainable and not resource-biased.</t>
        </is>
      </c>
      <c r="D6" s="8" t="inlineStr">
        <is>
          <t>PENDING PILOT</t>
        </is>
      </c>
    </row>
    <row r="7">
      <c r="A7" s="8" t="inlineStr">
        <is>
          <t>Required maturity sensitivity</t>
        </is>
      </c>
      <c r="B7" s="8" t="inlineStr">
        <is>
          <t>Vary exposure/consequence/mandate adjustments.</t>
        </is>
      </c>
      <c r="C7" s="8" t="inlineStr">
        <is>
          <t>Transformation priorities are stable and interpretable.</t>
        </is>
      </c>
      <c r="D7" s="8" t="inlineStr">
        <is>
          <t>PENDING PILOT</t>
        </is>
      </c>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34.140625" customWidth="1" min="2" max="2"/>
    <col width="60.7109375" customWidth="1" min="3" max="4"/>
    <col width="24.140625" customWidth="1" min="5" max="5"/>
  </cols>
  <sheetData>
    <row r="1">
      <c r="A1" s="7" t="inlineStr">
        <is>
          <t>Gate</t>
        </is>
      </c>
      <c r="B1" s="7" t="inlineStr">
        <is>
          <t>Test</t>
        </is>
      </c>
      <c r="C1" s="7" t="inlineStr">
        <is>
          <t>Minimum design</t>
        </is>
      </c>
      <c r="D1" s="7" t="inlineStr">
        <is>
          <t>Output</t>
        </is>
      </c>
      <c r="E1" s="7" t="inlineStr">
        <is>
          <t>Status</t>
        </is>
      </c>
    </row>
    <row r="2">
      <c r="A2" s="8" t="inlineStr">
        <is>
          <t>V-G01</t>
        </is>
      </c>
      <c r="B2" s="8" t="inlineStr">
        <is>
          <t>Coefficient calibration</t>
        </is>
      </c>
      <c r="C2" s="8" t="inlineStr">
        <is>
          <t>Pilot institutions across types; compare alternative coefficient sets</t>
        </is>
      </c>
      <c r="D2" s="8" t="inlineStr">
        <is>
          <t>Selected coefficient set + sensitivity report</t>
        </is>
      </c>
      <c r="E2" s="8" t="inlineStr">
        <is>
          <t>PENDING</t>
        </is>
      </c>
    </row>
    <row r="3">
      <c r="A3" s="8" t="inlineStr">
        <is>
          <t>V-G02</t>
        </is>
      </c>
      <c r="B3" s="8" t="inlineStr">
        <is>
          <t>Maturity inter-rater reliability</t>
        </is>
      </c>
      <c r="C3" s="8" t="inlineStr">
        <is>
          <t>At least two trained assessors independently score same sample</t>
        </is>
      </c>
      <c r="D3" s="8" t="inlineStr">
        <is>
          <t>Agreement statistic + adjudication rules</t>
        </is>
      </c>
      <c r="E3" s="8" t="inlineStr">
        <is>
          <t>PENDING</t>
        </is>
      </c>
    </row>
    <row r="4">
      <c r="A4" s="8" t="inlineStr">
        <is>
          <t>V-G03</t>
        </is>
      </c>
      <c r="B4" s="8" t="inlineStr">
        <is>
          <t>Test-retest stability</t>
        </is>
      </c>
      <c r="C4" s="8" t="inlineStr">
        <is>
          <t>Repeat assessment after defined interval with stable evidence</t>
        </is>
      </c>
      <c r="D4" s="8" t="inlineStr">
        <is>
          <t>Stability statistic + drift analysis</t>
        </is>
      </c>
      <c r="E4" s="8" t="inlineStr">
        <is>
          <t>PENDING</t>
        </is>
      </c>
    </row>
    <row r="5">
      <c r="A5" s="8" t="inlineStr">
        <is>
          <t>V-G04</t>
        </is>
      </c>
      <c r="B5" s="8" t="inlineStr">
        <is>
          <t>Known-groups validity</t>
        </is>
      </c>
      <c r="C5" s="8" t="inlineStr">
        <is>
          <t>Compare institutions expected to differ on readiness constructs</t>
        </is>
      </c>
      <c r="D5" s="8" t="inlineStr">
        <is>
          <t>Known-groups effect evidence</t>
        </is>
      </c>
      <c r="E5" s="8" t="inlineStr">
        <is>
          <t>PENDING</t>
        </is>
      </c>
    </row>
    <row r="6">
      <c r="A6" s="8" t="inlineStr">
        <is>
          <t>V-G05</t>
        </is>
      </c>
      <c r="B6" s="8" t="inlineStr">
        <is>
          <t>Convergent validity</t>
        </is>
      </c>
      <c r="C6" s="8" t="inlineStr">
        <is>
          <t>Compare with credible external/internal readiness measures where construct overlap is legitimate</t>
        </is>
      </c>
      <c r="D6" s="8" t="inlineStr">
        <is>
          <t>Correlation/convergence analysis</t>
        </is>
      </c>
      <c r="E6" s="8" t="inlineStr">
        <is>
          <t>PENDING</t>
        </is>
      </c>
    </row>
    <row r="7">
      <c r="A7" s="8" t="inlineStr">
        <is>
          <t>V-G06</t>
        </is>
      </c>
      <c r="B7" s="8" t="inlineStr">
        <is>
          <t>Weight sensitivity</t>
        </is>
      </c>
      <c r="C7" s="8" t="inlineStr">
        <is>
          <t>Stress-test domain weights and coefficient sets</t>
        </is>
      </c>
      <c r="D7" s="8" t="inlineStr">
        <is>
          <t>Stability thresholds met</t>
        </is>
      </c>
      <c r="E7" s="8" t="inlineStr">
        <is>
          <t>PENDING</t>
        </is>
      </c>
    </row>
    <row r="8">
      <c r="A8" s="8" t="inlineStr">
        <is>
          <t>V-G07</t>
        </is>
      </c>
      <c r="B8" s="8" t="inlineStr">
        <is>
          <t>Public benchmark readiness</t>
        </is>
      </c>
      <c r="C8" s="8" t="inlineStr">
        <is>
          <t>Only after V-G01–V-G06 pass and governance/COI controls are active</t>
        </is>
      </c>
      <c r="D8" s="8" t="inlineStr">
        <is>
          <t>Public release decision</t>
        </is>
      </c>
      <c r="E8" s="8" t="inlineStr">
        <is>
          <t>BLOCKED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60.7109375" customWidth="1" min="2" max="2"/>
    <col width="20.140625" customWidth="1" min="3" max="3"/>
    <col width="60.7109375" customWidth="1" min="4" max="4"/>
  </cols>
  <sheetData>
    <row r="1">
      <c r="A1" s="7" t="inlineStr">
        <is>
          <t>Gate</t>
        </is>
      </c>
      <c r="B1" s="7" t="inlineStr">
        <is>
          <t>Requirement</t>
        </is>
      </c>
      <c r="C1" s="7" t="inlineStr">
        <is>
          <t>Status</t>
        </is>
      </c>
      <c r="D1" s="7" t="inlineStr">
        <is>
          <t>Evidence / next action</t>
        </is>
      </c>
    </row>
    <row r="2">
      <c r="A2" s="8" t="inlineStr">
        <is>
          <t>S-G01</t>
        </is>
      </c>
      <c r="B2" s="8" t="inlineStr">
        <is>
          <t>All 143 metrics have operational scoring rule</t>
        </is>
      </c>
      <c r="C2" s="8" t="inlineStr">
        <is>
          <t>PASS</t>
        </is>
      </c>
      <c r="D2" s="8" t="inlineStr">
        <is>
          <t>143 metric rules created.</t>
        </is>
      </c>
    </row>
    <row r="3">
      <c r="A3" s="8" t="inlineStr">
        <is>
          <t>S-G02</t>
        </is>
      </c>
      <c r="B3" s="8" t="inlineStr">
        <is>
          <t>Maturity and implementation inputs are explicitly separated</t>
        </is>
      </c>
      <c r="C3" s="8" t="inlineStr">
        <is>
          <t>PASS</t>
        </is>
      </c>
      <c r="D3" s="8" t="inlineStr">
        <is>
          <t>Scorecard has M and I fields.</t>
        </is>
      </c>
    </row>
    <row r="4">
      <c r="A4" s="8" t="inlineStr">
        <is>
          <t>S-G03</t>
        </is>
      </c>
      <c r="B4" s="8" t="inlineStr">
        <is>
          <t>Outcome is optional only under legitimate N/A rule</t>
        </is>
      </c>
      <c r="C4" s="8" t="inlineStr">
        <is>
          <t>PASS</t>
        </is>
      </c>
      <c r="D4" s="8" t="inlineStr">
        <is>
          <t>Outcome/N/A rule encoded.</t>
        </is>
      </c>
    </row>
    <row r="5">
      <c r="A5" s="8" t="inlineStr">
        <is>
          <t>S-G04</t>
        </is>
      </c>
      <c r="B5" s="8" t="inlineStr">
        <is>
          <t>Evidence confidence is separate from capability score</t>
        </is>
      </c>
      <c r="C5" s="8" t="inlineStr">
        <is>
          <t>PASS</t>
        </is>
      </c>
      <c r="D5" s="8" t="inlineStr">
        <is>
          <t>Confidence column and evidence rules retained.</t>
        </is>
      </c>
    </row>
    <row r="6">
      <c r="A6" s="8" t="inlineStr">
        <is>
          <t>S-G05</t>
        </is>
      </c>
      <c r="B6" s="8" t="inlineStr">
        <is>
          <t>Domain aggregation is executable</t>
        </is>
      </c>
      <c r="C6" s="8" t="inlineStr">
        <is>
          <t>PASS</t>
        </is>
      </c>
      <c r="D6" s="8" t="inlineStr">
        <is>
          <t>Formula-driven domain aggregation sheet.</t>
        </is>
      </c>
    </row>
    <row r="7">
      <c r="A7" s="8" t="inlineStr">
        <is>
          <t>S-G06</t>
        </is>
      </c>
      <c r="B7" s="8" t="inlineStr">
        <is>
          <t>Overall index aggregation is executable</t>
        </is>
      </c>
      <c r="C7" s="8" t="inlineStr">
        <is>
          <t>PASS</t>
        </is>
      </c>
      <c r="D7" s="8" t="inlineStr">
        <is>
          <t>Formula-driven overall index sheet.</t>
        </is>
      </c>
    </row>
    <row r="8">
      <c r="A8" s="8" t="inlineStr">
        <is>
          <t>S-G07</t>
        </is>
      </c>
      <c r="B8" s="8" t="inlineStr">
        <is>
          <t>Context calibration does not grant score bonus</t>
        </is>
      </c>
      <c r="C8" s="8" t="inlineStr">
        <is>
          <t>PASS</t>
        </is>
      </c>
      <c r="D8" s="8" t="inlineStr">
        <is>
          <t>Calibration sheet constrains context to proportionality/required maturity.</t>
        </is>
      </c>
    </row>
    <row r="9">
      <c r="A9" s="8" t="inlineStr">
        <is>
          <t>S-G08</t>
        </is>
      </c>
      <c r="B9" s="8" t="inlineStr">
        <is>
          <t>Cross-domain scoring protections are executable</t>
        </is>
      </c>
      <c r="C9" s="8" t="inlineStr">
        <is>
          <t>PASS</t>
        </is>
      </c>
      <c r="D9" s="8" t="inlineStr">
        <is>
          <t>10 canonical cross-domain rules encoded.</t>
        </is>
      </c>
    </row>
    <row r="10">
      <c r="A10" s="8" t="inlineStr">
        <is>
          <t>S-G09</t>
        </is>
      </c>
      <c r="B10" s="8" t="inlineStr">
        <is>
          <t>Coefficient/weight empirical validation</t>
        </is>
      </c>
      <c r="C10" s="8" t="inlineStr">
        <is>
          <t>PENDING</t>
        </is>
      </c>
      <c r="D10" s="8" t="inlineStr">
        <is>
          <t>Pilot and sensitivity testing.</t>
        </is>
      </c>
    </row>
    <row r="11">
      <c r="A11" s="8" t="inlineStr">
        <is>
          <t>S-G10</t>
        </is>
      </c>
      <c r="B11" s="8" t="inlineStr">
        <is>
          <t>Inter-rater reliability</t>
        </is>
      </c>
      <c r="C11" s="8" t="inlineStr">
        <is>
          <t>PENDING</t>
        </is>
      </c>
      <c r="D11" s="8" t="inlineStr">
        <is>
          <t>Assessor calibration study.</t>
        </is>
      </c>
    </row>
    <row r="12">
      <c r="A12" s="8" t="inlineStr">
        <is>
          <t>S-G11</t>
        </is>
      </c>
      <c r="B12" s="8" t="inlineStr">
        <is>
          <t>Test-retest reliability</t>
        </is>
      </c>
      <c r="C12" s="8" t="inlineStr">
        <is>
          <t>PENDING</t>
        </is>
      </c>
      <c r="D12" s="8" t="inlineStr">
        <is>
          <t>Repeated assessment study.</t>
        </is>
      </c>
    </row>
    <row r="13">
      <c r="A13" s="8" t="inlineStr">
        <is>
          <t>S-G12</t>
        </is>
      </c>
      <c r="B13" s="8" t="inlineStr">
        <is>
          <t>Known-groups/convergent validity</t>
        </is>
      </c>
      <c r="C13" s="8" t="inlineStr">
        <is>
          <t>PENDING</t>
        </is>
      </c>
      <c r="D13" s="8" t="inlineStr">
        <is>
          <t>External criterion and pilot data.</t>
        </is>
      </c>
    </row>
    <row r="14">
      <c r="A14" s="8" t="inlineStr">
        <is>
          <t>S-G13</t>
        </is>
      </c>
      <c r="B14" s="8" t="inlineStr">
        <is>
          <t>Public benchmark/recognition</t>
        </is>
      </c>
      <c r="C14" s="8" t="inlineStr">
        <is>
          <t>BLOCKED</t>
        </is>
      </c>
      <c r="D14" s="8" t="inlineStr">
        <is>
          <t>Remain diagnostic until validation gates pass.</t>
        </is>
      </c>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140625" customWidth="1" min="1" max="1"/>
    <col width="60.7109375" customWidth="1" min="2" max="2"/>
  </cols>
  <sheetData>
    <row r="1">
      <c r="A1" s="7" t="inlineStr">
        <is>
          <t>Version</t>
        </is>
      </c>
      <c r="B1" s="7" t="inlineStr">
        <is>
          <t>P0-3</t>
        </is>
      </c>
    </row>
    <row r="2">
      <c r="A2" s="8" t="inlineStr">
        <is>
          <t>Base</t>
        </is>
      </c>
      <c r="B2" s="8" t="inlineStr">
        <is>
          <t>P0-2 Remediated ALL GREEN</t>
        </is>
      </c>
    </row>
    <row r="3">
      <c r="A3" s="8" t="inlineStr">
        <is>
          <t>Change</t>
        </is>
      </c>
      <c r="B3" s="8" t="inlineStr">
        <is>
          <t>Added executable provisional metric, domain and overall scoring architecture for all 143 metrics.</t>
        </is>
      </c>
    </row>
    <row r="4">
      <c r="A4" s="8" t="inlineStr">
        <is>
          <t>Preserved</t>
        </is>
      </c>
      <c r="B4" s="8" t="inlineStr">
        <is>
          <t>All D01–D11 domains, metrics, cards, questions, remediation rules, maturity anchors and P0-2 audit layers retained.</t>
        </is>
      </c>
    </row>
    <row r="5">
      <c r="A5" s="8" t="inlineStr">
        <is>
          <t>Important</t>
        </is>
      </c>
      <c r="B5" s="8" t="inlineStr">
        <is>
          <t>GREEN in P0-2 means measurement-path completeness. P0-3 scoring is operational but remains provisional until empirical validation.</t>
        </is>
      </c>
    </row>
    <row r="6">
      <c r="A6" s="8" t="inlineStr">
        <is>
          <t>Next</t>
        </is>
      </c>
      <c r="B6" s="8" t="inlineStr">
        <is>
          <t>Pilot scoring, coefficient sensitivity, inter-rater calibration, test-retest, known-groups and convergent validity; then P0-4 context calibration and benchmark governance.</t>
        </is>
      </c>
    </row>
  </sheetData>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0" customWidth="1" min="2" max="2"/>
  </cols>
  <sheetData>
    <row r="1">
      <c r="A1" s="12" t="inlineStr">
        <is>
          <t>P0-4 CONTEXT PROFILE</t>
        </is>
      </c>
    </row>
    <row r="2">
      <c r="A2" t="inlineStr">
        <is>
          <t>Purpose</t>
        </is>
      </c>
      <c r="B2" t="inlineStr">
        <is>
          <t>User/assessor inputs used to determine institution-specific required maturity and evidence burden. Context never directly adds points to capability score.</t>
        </is>
      </c>
    </row>
    <row r="3">
      <c r="A3" s="13" t="inlineStr">
        <is>
          <t>Input</t>
        </is>
      </c>
      <c r="B3" t="inlineStr">
        <is>
          <t>Selected value</t>
        </is>
      </c>
    </row>
    <row r="4">
      <c r="A4" s="13" t="inlineStr">
        <is>
          <t>Institution type</t>
        </is>
      </c>
      <c r="B4" t="inlineStr">
        <is>
          <t>University</t>
        </is>
      </c>
    </row>
    <row r="5">
      <c r="A5" s="13" t="inlineStr">
        <is>
          <t>Institution mandate</t>
        </is>
      </c>
      <c r="B5" t="inlineStr">
        <is>
          <t>Broad teaching + research</t>
        </is>
      </c>
    </row>
    <row r="6">
      <c r="A6" s="13" t="inlineStr">
        <is>
          <t>AI exposure</t>
        </is>
      </c>
      <c r="B6" t="inlineStr">
        <is>
          <t>Moderate</t>
        </is>
      </c>
    </row>
    <row r="7">
      <c r="A7" s="13" t="inlineStr">
        <is>
          <t>Disciplinary consequence</t>
        </is>
      </c>
      <c r="B7" t="inlineStr">
        <is>
          <t>Moderate</t>
        </is>
      </c>
    </row>
    <row r="8">
      <c r="A8" s="13" t="inlineStr">
        <is>
          <t>Institutional trajectory</t>
        </is>
      </c>
      <c r="B8" t="inlineStr">
        <is>
          <t>Stable / incremental change</t>
        </is>
      </c>
    </row>
    <row r="9">
      <c r="A9" s="13" t="inlineStr">
        <is>
          <t>Scale</t>
        </is>
      </c>
      <c r="B9" t="inlineStr">
        <is>
          <t>Medium</t>
        </is>
      </c>
    </row>
    <row r="10">
      <c r="A10" s="13" t="inlineStr">
        <is>
          <t>Geography / operating context</t>
        </is>
      </c>
      <c r="B10" t="inlineStr">
        <is>
          <t>India / mixed urban-regional</t>
        </is>
      </c>
    </row>
    <row r="11">
      <c r="A11" s="13" t="inlineStr">
        <is>
          <t>Resource envelope</t>
        </is>
      </c>
      <c r="B11" t="inlineStr">
        <is>
          <t>Medium</t>
        </is>
      </c>
    </row>
    <row r="12">
      <c r="A12" s="13" t="inlineStr">
        <is>
          <t>Research intensity</t>
        </is>
      </c>
      <c r="B12" t="inlineStr">
        <is>
          <t>Moderate</t>
        </is>
      </c>
    </row>
    <row r="13">
      <c r="A13" s="13" t="inlineStr">
        <is>
          <t>Student profile complexity</t>
        </is>
      </c>
      <c r="B13" t="inlineStr">
        <is>
          <t>Moderate</t>
        </is>
      </c>
    </row>
    <row r="14">
      <c r="A14" s="13" t="inlineStr">
        <is>
          <t>Context completeness</t>
        </is>
      </c>
      <c r="B14" s="14">
        <f>IF(COUNTA(B4:B13)=10,"COMPLETE","INCOMPLETE")</f>
        <v/>
      </c>
    </row>
    <row r="15">
      <c r="A15" t="inlineStr">
        <is>
          <t>Governance rule</t>
        </is>
      </c>
      <c r="B15" t="inlineStr">
        <is>
          <t>Assessor must document rationale for non-default selections; missing context cannot be used to lower required maturity.</t>
        </is>
      </c>
    </row>
  </sheetData>
  <mergeCells count="1">
    <mergeCell ref="A1:B1"/>
  </mergeCells>
  <dataValidations count="10">
    <dataValidation sqref="B4" showDropDown="0" showInputMessage="0" showErrorMessage="0" allowBlank="0" type="list">
      <formula1>"University,Deemed University,Autonomous College,Specialist Institution,Other"</formula1>
    </dataValidation>
    <dataValidation sqref="B5" showDropDown="0" showInputMessage="0" showErrorMessage="0" allowBlank="0" type="list">
      <formula1>"Broad teaching + research,Teaching-intensive,Research-intensive,Professional/professional-regulated,Specialist/niche"</formula1>
    </dataValidation>
    <dataValidation sqref="B6" showDropDown="0" showInputMessage="0" showErrorMessage="0" allowBlank="0" type="list">
      <formula1>"Low,Moderate,High,Critical"</formula1>
    </dataValidation>
    <dataValidation sqref="B7" showDropDown="0" showInputMessage="0" showErrorMessage="0" allowBlank="0" type="list">
      <formula1>"Low,Moderate,High,Critical"</formula1>
    </dataValidation>
    <dataValidation sqref="B8" showDropDown="0" showInputMessage="0" showErrorMessage="0" allowBlank="0" type="list">
      <formula1>"Declining,Stable / incremental change,Transforming,High-growth / expansion"</formula1>
    </dataValidation>
    <dataValidation sqref="B9" showDropDown="0" showInputMessage="0" showErrorMessage="0" allowBlank="0" type="list">
      <formula1>"Small,Medium,Large,Very large"</formula1>
    </dataValidation>
    <dataValidation sqref="B10" showDropDown="0" showInputMessage="0" showErrorMessage="0" allowBlank="0" type="list">
      <formula1>"India / mixed urban-regional,Metro-dominant,Regional/rural,Multi-campus / distributed,International / transnational"</formula1>
    </dataValidation>
    <dataValidation sqref="B11" showDropDown="0" showInputMessage="0" showErrorMessage="0" allowBlank="0" type="list">
      <formula1>"Constrained,Low-medium,Medium,High"</formula1>
    </dataValidation>
    <dataValidation sqref="B12" showDropDown="0" showInputMessage="0" showErrorMessage="0" allowBlank="0" type="list">
      <formula1>"Low,Moderate,High,Very high"</formula1>
    </dataValidation>
    <dataValidation sqref="B13" showDropDown="0" showInputMessage="0" showErrorMessage="0" allowBlank="0" type="list">
      <formula1>"Low,Moderate,High,Very high"</formula1>
    </dataValidation>
  </dataValidation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2" customWidth="1" min="3" max="3"/>
    <col width="65" customWidth="1" min="4" max="4"/>
    <col width="60" customWidth="1" min="5" max="5"/>
  </cols>
  <sheetData>
    <row r="1">
      <c r="A1" s="15" t="inlineStr">
        <is>
          <t>Variable</t>
        </is>
      </c>
      <c r="B1" s="15" t="inlineStr">
        <is>
          <t>Level</t>
        </is>
      </c>
      <c r="C1" s="15" t="inlineStr">
        <is>
          <t>Factor</t>
        </is>
      </c>
      <c r="D1" s="15" t="inlineStr">
        <is>
          <t>Interpretation</t>
        </is>
      </c>
      <c r="E1" s="15" t="inlineStr">
        <is>
          <t>Target vs evidence effect</t>
        </is>
      </c>
    </row>
    <row r="2">
      <c r="A2" t="inlineStr">
        <is>
          <t>Institution mandate</t>
        </is>
      </c>
      <c r="B2" t="inlineStr">
        <is>
          <t>Teaching-intensive</t>
        </is>
      </c>
      <c r="C2" t="n">
        <v>0</v>
      </c>
      <c r="D2" t="inlineStr">
        <is>
          <t>Context factor increases required maturity pressure only where relevant.</t>
        </is>
      </c>
      <c r="E2" t="inlineStr">
        <is>
          <t>Required maturity / evidence burden; never a capability score bonus.</t>
        </is>
      </c>
    </row>
    <row r="3">
      <c r="A3" t="inlineStr">
        <is>
          <t>Institution mandate</t>
        </is>
      </c>
      <c r="B3" t="inlineStr">
        <is>
          <t>Broad teaching + research</t>
        </is>
      </c>
      <c r="C3" t="n">
        <v>0.25</v>
      </c>
      <c r="D3" t="inlineStr">
        <is>
          <t>Context factor increases required maturity pressure only where relevant.</t>
        </is>
      </c>
      <c r="E3" t="inlineStr">
        <is>
          <t>Required maturity / evidence burden; never a capability score bonus.</t>
        </is>
      </c>
    </row>
    <row r="4">
      <c r="A4" t="inlineStr">
        <is>
          <t>Institution mandate</t>
        </is>
      </c>
      <c r="B4" t="inlineStr">
        <is>
          <t>Research-intensive</t>
        </is>
      </c>
      <c r="C4" t="n">
        <v>0.5</v>
      </c>
      <c r="D4" t="inlineStr">
        <is>
          <t>Context factor increases required maturity pressure only where relevant.</t>
        </is>
      </c>
      <c r="E4" t="inlineStr">
        <is>
          <t>Required maturity / evidence burden; never a capability score bonus.</t>
        </is>
      </c>
    </row>
    <row r="5">
      <c r="A5" t="inlineStr">
        <is>
          <t>Institution mandate</t>
        </is>
      </c>
      <c r="B5" t="inlineStr">
        <is>
          <t>Professional/professional-regulated</t>
        </is>
      </c>
      <c r="C5" t="n">
        <v>0.5</v>
      </c>
      <c r="D5" t="inlineStr">
        <is>
          <t>Context factor increases required maturity pressure only where relevant.</t>
        </is>
      </c>
      <c r="E5" t="inlineStr">
        <is>
          <t>Required maturity / evidence burden; never a capability score bonus.</t>
        </is>
      </c>
    </row>
    <row r="6">
      <c r="A6" t="inlineStr">
        <is>
          <t>Institution mandate</t>
        </is>
      </c>
      <c r="B6" t="inlineStr">
        <is>
          <t>Specialist/niche</t>
        </is>
      </c>
      <c r="C6" t="n">
        <v>0.25</v>
      </c>
      <c r="D6" t="inlineStr">
        <is>
          <t>Context factor increases required maturity pressure only where relevant.</t>
        </is>
      </c>
      <c r="E6" t="inlineStr">
        <is>
          <t>Required maturity / evidence burden; never a capability score bonus.</t>
        </is>
      </c>
    </row>
    <row r="7">
      <c r="A7" t="inlineStr">
        <is>
          <t>AI exposure</t>
        </is>
      </c>
      <c r="B7" t="inlineStr">
        <is>
          <t>Low</t>
        </is>
      </c>
      <c r="C7" t="n">
        <v>0</v>
      </c>
      <c r="D7" t="inlineStr">
        <is>
          <t>Context factor increases required maturity pressure only where relevant.</t>
        </is>
      </c>
      <c r="E7" t="inlineStr">
        <is>
          <t>Required maturity / evidence burden; never a capability score bonus.</t>
        </is>
      </c>
    </row>
    <row r="8">
      <c r="A8" t="inlineStr">
        <is>
          <t>AI exposure</t>
        </is>
      </c>
      <c r="B8" t="inlineStr">
        <is>
          <t>Moderate</t>
        </is>
      </c>
      <c r="C8" t="n">
        <v>0.25</v>
      </c>
      <c r="D8" t="inlineStr">
        <is>
          <t>Context factor increases required maturity pressure only where relevant.</t>
        </is>
      </c>
      <c r="E8" t="inlineStr">
        <is>
          <t>Required maturity / evidence burden; never a capability score bonus.</t>
        </is>
      </c>
    </row>
    <row r="9">
      <c r="A9" t="inlineStr">
        <is>
          <t>AI exposure</t>
        </is>
      </c>
      <c r="B9" t="inlineStr">
        <is>
          <t>High</t>
        </is>
      </c>
      <c r="C9" t="n">
        <v>0.5</v>
      </c>
      <c r="D9" t="inlineStr">
        <is>
          <t>Context factor increases required maturity pressure only where relevant.</t>
        </is>
      </c>
      <c r="E9" t="inlineStr">
        <is>
          <t>Required maturity / evidence burden; never a capability score bonus.</t>
        </is>
      </c>
    </row>
    <row r="10">
      <c r="A10" t="inlineStr">
        <is>
          <t>AI exposure</t>
        </is>
      </c>
      <c r="B10" t="inlineStr">
        <is>
          <t>Critical</t>
        </is>
      </c>
      <c r="C10" t="n">
        <v>0.75</v>
      </c>
      <c r="D10" t="inlineStr">
        <is>
          <t>Context factor increases required maturity pressure only where relevant.</t>
        </is>
      </c>
      <c r="E10" t="inlineStr">
        <is>
          <t>Required maturity / evidence burden; never a capability score bonus.</t>
        </is>
      </c>
    </row>
    <row r="11">
      <c r="A11" t="inlineStr">
        <is>
          <t>Disciplinary consequence</t>
        </is>
      </c>
      <c r="B11" t="inlineStr">
        <is>
          <t>Low</t>
        </is>
      </c>
      <c r="C11" t="n">
        <v>0</v>
      </c>
      <c r="D11" t="inlineStr">
        <is>
          <t>Context factor increases required maturity pressure only where relevant.</t>
        </is>
      </c>
      <c r="E11" t="inlineStr">
        <is>
          <t>Required maturity / evidence burden; never a capability score bonus.</t>
        </is>
      </c>
    </row>
    <row r="12">
      <c r="A12" t="inlineStr">
        <is>
          <t>Disciplinary consequence</t>
        </is>
      </c>
      <c r="B12" t="inlineStr">
        <is>
          <t>Moderate</t>
        </is>
      </c>
      <c r="C12" t="n">
        <v>0.25</v>
      </c>
      <c r="D12" t="inlineStr">
        <is>
          <t>Context factor increases required maturity pressure only where relevant.</t>
        </is>
      </c>
      <c r="E12" t="inlineStr">
        <is>
          <t>Required maturity / evidence burden; never a capability score bonus.</t>
        </is>
      </c>
    </row>
    <row r="13">
      <c r="A13" t="inlineStr">
        <is>
          <t>Disciplinary consequence</t>
        </is>
      </c>
      <c r="B13" t="inlineStr">
        <is>
          <t>High</t>
        </is>
      </c>
      <c r="C13" t="n">
        <v>0.5</v>
      </c>
      <c r="D13" t="inlineStr">
        <is>
          <t>Context factor increases required maturity pressure only where relevant.</t>
        </is>
      </c>
      <c r="E13" t="inlineStr">
        <is>
          <t>Required maturity / evidence burden; never a capability score bonus.</t>
        </is>
      </c>
    </row>
    <row r="14">
      <c r="A14" t="inlineStr">
        <is>
          <t>Disciplinary consequence</t>
        </is>
      </c>
      <c r="B14" t="inlineStr">
        <is>
          <t>Critical</t>
        </is>
      </c>
      <c r="C14" t="n">
        <v>0.75</v>
      </c>
      <c r="D14" t="inlineStr">
        <is>
          <t>Context factor increases required maturity pressure only where relevant.</t>
        </is>
      </c>
      <c r="E14" t="inlineStr">
        <is>
          <t>Required maturity / evidence burden; never a capability score bonus.</t>
        </is>
      </c>
    </row>
    <row r="15">
      <c r="A15" t="inlineStr">
        <is>
          <t>Institutional trajectory</t>
        </is>
      </c>
      <c r="B15" t="inlineStr">
        <is>
          <t>Declining</t>
        </is>
      </c>
      <c r="C15" t="n">
        <v>0</v>
      </c>
      <c r="D15" t="inlineStr">
        <is>
          <t>Context factor increases required maturity pressure only where relevant.</t>
        </is>
      </c>
      <c r="E15" t="inlineStr">
        <is>
          <t>Required maturity / evidence burden; never a capability score bonus.</t>
        </is>
      </c>
    </row>
    <row r="16">
      <c r="A16" t="inlineStr">
        <is>
          <t>Institutional trajectory</t>
        </is>
      </c>
      <c r="B16" t="inlineStr">
        <is>
          <t>Stable / incremental change</t>
        </is>
      </c>
      <c r="C16" t="n">
        <v>0.1</v>
      </c>
      <c r="D16" t="inlineStr">
        <is>
          <t>Context factor increases required maturity pressure only where relevant.</t>
        </is>
      </c>
      <c r="E16" t="inlineStr">
        <is>
          <t>Required maturity / evidence burden; never a capability score bonus.</t>
        </is>
      </c>
    </row>
    <row r="17">
      <c r="A17" t="inlineStr">
        <is>
          <t>Institutional trajectory</t>
        </is>
      </c>
      <c r="B17" t="inlineStr">
        <is>
          <t>Transforming</t>
        </is>
      </c>
      <c r="C17" t="n">
        <v>0.25</v>
      </c>
      <c r="D17" t="inlineStr">
        <is>
          <t>Context factor increases required maturity pressure only where relevant.</t>
        </is>
      </c>
      <c r="E17" t="inlineStr">
        <is>
          <t>Required maturity / evidence burden; never a capability score bonus.</t>
        </is>
      </c>
    </row>
    <row r="18">
      <c r="A18" t="inlineStr">
        <is>
          <t>Institutional trajectory</t>
        </is>
      </c>
      <c r="B18" t="inlineStr">
        <is>
          <t>High-growth / expansion</t>
        </is>
      </c>
      <c r="C18" t="n">
        <v>0.35</v>
      </c>
      <c r="D18" t="inlineStr">
        <is>
          <t>Context factor increases required maturity pressure only where relevant.</t>
        </is>
      </c>
      <c r="E18" t="inlineStr">
        <is>
          <t>Required maturity / evidence burden; never a capability score bonus.</t>
        </is>
      </c>
    </row>
  </sheetData>
  <autoFilter ref="A1:E18"/>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0" customWidth="1" min="3" max="3"/>
    <col width="22" customWidth="1" min="4" max="4"/>
    <col width="24" customWidth="1" min="5" max="5"/>
    <col width="22" customWidth="1" min="6" max="6"/>
    <col width="12" customWidth="1" min="7" max="7"/>
    <col width="10" customWidth="1" min="8" max="8"/>
    <col width="10" customWidth="1" min="9" max="9"/>
    <col width="65" customWidth="1" min="10" max="10"/>
  </cols>
  <sheetData>
    <row r="1">
      <c r="A1" s="15" t="inlineStr">
        <is>
          <t>Domain</t>
        </is>
      </c>
      <c r="B1" s="15" t="inlineStr">
        <is>
          <t>Domain Name</t>
        </is>
      </c>
      <c r="C1" s="15" t="inlineStr">
        <is>
          <t>Mandate Sensitivity</t>
        </is>
      </c>
      <c r="D1" s="15" t="inlineStr">
        <is>
          <t>AI Exposure Sensitivity</t>
        </is>
      </c>
      <c r="E1" s="15" t="inlineStr">
        <is>
          <t>Consequence Sensitivity</t>
        </is>
      </c>
      <c r="F1" s="15" t="inlineStr">
        <is>
          <t>Trajectory Sensitivity</t>
        </is>
      </c>
      <c r="G1" s="15" t="inlineStr">
        <is>
          <t>Baseline R</t>
        </is>
      </c>
      <c r="H1" s="15" t="inlineStr">
        <is>
          <t>Min R</t>
        </is>
      </c>
      <c r="I1" s="15" t="inlineStr">
        <is>
          <t>Max R</t>
        </is>
      </c>
      <c r="J1" s="15" t="inlineStr">
        <is>
          <t>Rationale</t>
        </is>
      </c>
    </row>
    <row r="2">
      <c r="A2" t="inlineStr">
        <is>
          <t>D01</t>
        </is>
      </c>
      <c r="B2" t="inlineStr">
        <is>
          <t>Institutional Strategy, Foresight &amp; AI Direction</t>
        </is>
      </c>
      <c r="C2" t="n">
        <v>0.8</v>
      </c>
      <c r="D2" t="n">
        <v>0.8</v>
      </c>
      <c r="E2" t="n">
        <v>0.4</v>
      </c>
      <c r="F2" t="n">
        <v>0.8</v>
      </c>
      <c r="G2" t="n">
        <v>3</v>
      </c>
      <c r="H2" t="n">
        <v>1</v>
      </c>
      <c r="I2" t="n">
        <v>5</v>
      </c>
      <c r="J2" t="inlineStr">
        <is>
          <t>Sensitivity controls how strongly context pressures required maturity; it is not a score multiplier.</t>
        </is>
      </c>
    </row>
    <row r="3">
      <c r="A3" t="inlineStr">
        <is>
          <t>D02</t>
        </is>
      </c>
      <c r="B3" t="inlineStr">
        <is>
          <t>Governance, Responsible AI &amp; Institutional Risk</t>
        </is>
      </c>
      <c r="C3" t="n">
        <v>0.7</v>
      </c>
      <c r="D3" t="n">
        <v>0.9</v>
      </c>
      <c r="E3" t="n">
        <v>1</v>
      </c>
      <c r="F3" t="n">
        <v>0.5</v>
      </c>
      <c r="G3" t="n">
        <v>3</v>
      </c>
      <c r="H3" t="n">
        <v>1</v>
      </c>
      <c r="I3" t="n">
        <v>5</v>
      </c>
      <c r="J3" t="inlineStr">
        <is>
          <t>Sensitivity controls how strongly context pressures required maturity; it is not a score multiplier.</t>
        </is>
      </c>
    </row>
    <row r="4">
      <c r="A4" t="inlineStr">
        <is>
          <t>D03</t>
        </is>
      </c>
      <c r="B4" t="inlineStr">
        <is>
          <t>Human Capability, Cognitive Readiness &amp; AI-Ready Education</t>
        </is>
      </c>
      <c r="C4" t="n">
        <v>0.9</v>
      </c>
      <c r="D4" t="n">
        <v>0.8</v>
      </c>
      <c r="E4" t="n">
        <v>0.6</v>
      </c>
      <c r="F4" t="n">
        <v>0.5</v>
      </c>
      <c r="G4" t="n">
        <v>3</v>
      </c>
      <c r="H4" t="n">
        <v>1</v>
      </c>
      <c r="I4" t="n">
        <v>5</v>
      </c>
      <c r="J4" t="inlineStr">
        <is>
          <t>Sensitivity controls how strongly context pressures required maturity; it is not a score multiplier.</t>
        </is>
      </c>
    </row>
    <row r="5">
      <c r="A5" t="inlineStr">
        <is>
          <t>D04</t>
        </is>
      </c>
      <c r="B5" t="inlineStr">
        <is>
          <t>Curriculum &amp; Programme Future Resilience</t>
        </is>
      </c>
      <c r="C5" t="n">
        <v>0.9</v>
      </c>
      <c r="D5" t="n">
        <v>0.8</v>
      </c>
      <c r="E5" t="n">
        <v>0.8</v>
      </c>
      <c r="F5" t="n">
        <v>0.6</v>
      </c>
      <c r="G5" t="n">
        <v>3</v>
      </c>
      <c r="H5" t="n">
        <v>1</v>
      </c>
      <c r="I5" t="n">
        <v>5</v>
      </c>
      <c r="J5" t="inlineStr">
        <is>
          <t>Sensitivity controls how strongly context pressures required maturity; it is not a score multiplier.</t>
        </is>
      </c>
    </row>
    <row r="6">
      <c r="A6" t="inlineStr">
        <is>
          <t>D05</t>
        </is>
      </c>
      <c r="B6" t="inlineStr">
        <is>
          <t>Faculty Capability &amp; Academic Workforce Transformation</t>
        </is>
      </c>
      <c r="C6" t="n">
        <v>0.8</v>
      </c>
      <c r="D6" t="n">
        <v>0.8</v>
      </c>
      <c r="E6" t="n">
        <v>0.6</v>
      </c>
      <c r="F6" t="n">
        <v>0.6</v>
      </c>
      <c r="G6" t="n">
        <v>3</v>
      </c>
      <c r="H6" t="n">
        <v>1</v>
      </c>
      <c r="I6" t="n">
        <v>5</v>
      </c>
      <c r="J6" t="inlineStr">
        <is>
          <t>Sensitivity controls how strongly context pressures required maturity; it is not a score multiplier.</t>
        </is>
      </c>
    </row>
    <row r="7">
      <c r="A7" t="inlineStr">
        <is>
          <t>D06</t>
        </is>
      </c>
      <c r="B7" t="inlineStr">
        <is>
          <t>Student Capability, Agency &amp; Future Readiness</t>
        </is>
      </c>
      <c r="C7" t="n">
        <v>0.8</v>
      </c>
      <c r="D7" t="n">
        <v>0.8</v>
      </c>
      <c r="E7" t="n">
        <v>0.7</v>
      </c>
      <c r="F7" t="n">
        <v>0.5</v>
      </c>
      <c r="G7" t="n">
        <v>3</v>
      </c>
      <c r="H7" t="n">
        <v>1</v>
      </c>
      <c r="I7" t="n">
        <v>5</v>
      </c>
      <c r="J7" t="inlineStr">
        <is>
          <t>Sensitivity controls how strongly context pressures required maturity; it is not a score multiplier.</t>
        </is>
      </c>
    </row>
    <row r="8">
      <c r="A8" t="inlineStr">
        <is>
          <t>D07</t>
        </is>
      </c>
      <c r="B8" t="inlineStr">
        <is>
          <t>Learning, Assessment &amp; Evidence of Capability</t>
        </is>
      </c>
      <c r="C8" t="n">
        <v>0.9</v>
      </c>
      <c r="D8" t="n">
        <v>0.9</v>
      </c>
      <c r="E8" t="n">
        <v>0.9</v>
      </c>
      <c r="F8" t="n">
        <v>0.5</v>
      </c>
      <c r="G8" t="n">
        <v>3</v>
      </c>
      <c r="H8" t="n">
        <v>1</v>
      </c>
      <c r="I8" t="n">
        <v>5</v>
      </c>
      <c r="J8" t="inlineStr">
        <is>
          <t>Sensitivity controls how strongly context pressures required maturity; it is not a score multiplier.</t>
        </is>
      </c>
    </row>
    <row r="9">
      <c r="A9" t="inlineStr">
        <is>
          <t>D08</t>
        </is>
      </c>
      <c r="B9" t="inlineStr">
        <is>
          <t>Digital, Data &amp; Institutional Intelligence</t>
        </is>
      </c>
      <c r="C9" t="n">
        <v>0.6</v>
      </c>
      <c r="D9" t="n">
        <v>1</v>
      </c>
      <c r="E9" t="n">
        <v>0.8</v>
      </c>
      <c r="F9" t="n">
        <v>0.6</v>
      </c>
      <c r="G9" t="n">
        <v>3</v>
      </c>
      <c r="H9" t="n">
        <v>1</v>
      </c>
      <c r="I9" t="n">
        <v>5</v>
      </c>
      <c r="J9" t="inlineStr">
        <is>
          <t>Sensitivity controls how strongly context pressures required maturity; it is not a score multiplier.</t>
        </is>
      </c>
    </row>
    <row r="10">
      <c r="A10" t="inlineStr">
        <is>
          <t>D09</t>
        </is>
      </c>
      <c r="B10" t="inlineStr">
        <is>
          <t>Employability, Industry &amp; Economic Relevance</t>
        </is>
      </c>
      <c r="C10" t="n">
        <v>0.7</v>
      </c>
      <c r="D10" t="n">
        <v>0.8</v>
      </c>
      <c r="E10" t="n">
        <v>0.6</v>
      </c>
      <c r="F10" t="n">
        <v>0.8</v>
      </c>
      <c r="G10" t="n">
        <v>3</v>
      </c>
      <c r="H10" t="n">
        <v>1</v>
      </c>
      <c r="I10" t="n">
        <v>5</v>
      </c>
      <c r="J10" t="inlineStr">
        <is>
          <t>Sensitivity controls how strongly context pressures required maturity; it is not a score multiplier.</t>
        </is>
      </c>
    </row>
    <row r="11">
      <c r="A11" t="inlineStr">
        <is>
          <t>D10</t>
        </is>
      </c>
      <c r="B11" t="inlineStr">
        <is>
          <t>Research, Innovation &amp; Knowledge Creation</t>
        </is>
      </c>
      <c r="C11" t="n">
        <v>0.7</v>
      </c>
      <c r="D11" t="n">
        <v>0.8</v>
      </c>
      <c r="E11" t="n">
        <v>0.8</v>
      </c>
      <c r="F11" t="n">
        <v>0.7</v>
      </c>
      <c r="G11" t="n">
        <v>3</v>
      </c>
      <c r="H11" t="n">
        <v>1</v>
      </c>
      <c r="I11" t="n">
        <v>5</v>
      </c>
      <c r="J11" t="inlineStr">
        <is>
          <t>Sensitivity controls how strongly context pressures required maturity; it is not a score multiplier.</t>
        </is>
      </c>
    </row>
    <row r="12">
      <c r="A12" t="inlineStr">
        <is>
          <t>D11</t>
        </is>
      </c>
      <c r="B12" t="inlineStr">
        <is>
          <t>Institutional Adaptability &amp; AI Resilience</t>
        </is>
      </c>
      <c r="C12" t="n">
        <v>0.8</v>
      </c>
      <c r="D12" t="n">
        <v>0.8</v>
      </c>
      <c r="E12" t="n">
        <v>0.7</v>
      </c>
      <c r="F12" t="n">
        <v>1</v>
      </c>
      <c r="G12" t="n">
        <v>3</v>
      </c>
      <c r="H12" t="n">
        <v>1</v>
      </c>
      <c r="I12" t="n">
        <v>5</v>
      </c>
      <c r="J12" t="inlineStr">
        <is>
          <t>Sensitivity controls how strongly context pressures required maturity; it is not a score multiplier.</t>
        </is>
      </c>
    </row>
  </sheetData>
  <autoFilter ref="A1:J12"/>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2" customWidth="1" min="3" max="3"/>
    <col width="16" customWidth="1" min="4" max="4"/>
    <col width="18" customWidth="1" min="5" max="5"/>
    <col width="20" customWidth="1" min="6" max="6"/>
    <col width="18" customWidth="1" min="7" max="7"/>
    <col width="18" customWidth="1" min="8" max="8"/>
    <col width="18" customWidth="1" min="9" max="9"/>
    <col width="70" customWidth="1" min="10" max="10"/>
    <col width="25" customWidth="1" min="11" max="11"/>
  </cols>
  <sheetData>
    <row r="1">
      <c r="A1" s="15" t="inlineStr">
        <is>
          <t>Domain</t>
        </is>
      </c>
      <c r="B1" s="15" t="inlineStr">
        <is>
          <t>Domain Name</t>
        </is>
      </c>
      <c r="C1" s="15" t="inlineStr">
        <is>
          <t>Baseline R</t>
        </is>
      </c>
      <c r="D1" s="15" t="inlineStr">
        <is>
          <t>Mandate Factor</t>
        </is>
      </c>
      <c r="E1" s="15" t="inlineStr">
        <is>
          <t>AI Exposure Factor</t>
        </is>
      </c>
      <c r="F1" s="15" t="inlineStr">
        <is>
          <t>Consequence Factor</t>
        </is>
      </c>
      <c r="G1" s="15" t="inlineStr">
        <is>
          <t>Trajectory Factor</t>
        </is>
      </c>
      <c r="H1" s="15" t="inlineStr">
        <is>
          <t>Context Pressure</t>
        </is>
      </c>
      <c r="I1" s="15" t="inlineStr">
        <is>
          <t>Required Maturity R</t>
        </is>
      </c>
      <c r="J1" s="15" t="inlineStr">
        <is>
          <t>Rationale / Trigger</t>
        </is>
      </c>
      <c r="K1" s="15" t="inlineStr">
        <is>
          <t>Evidence Burden Multiplier</t>
        </is>
      </c>
    </row>
    <row r="2">
      <c r="A2" t="inlineStr">
        <is>
          <t>D01</t>
        </is>
      </c>
      <c r="B2" t="inlineStr">
        <is>
          <t>Institutional Strategy, Foresight &amp; AI Direction</t>
        </is>
      </c>
      <c r="C2" t="n">
        <v>3</v>
      </c>
      <c r="D2">
        <f>SUMIFS('P0-4_Context_Factors'!$C$2:$C$17,'P0-4_Context_Factors'!$A$2:$A$17,"Institution mandate",'P0-4_Context_Factors'!$B$2:$B$17,'P0-4_Context_Profile'!$B$5)*'P0-4_Domain_Sensitivity'!$C2</f>
        <v/>
      </c>
      <c r="E2">
        <f>SUMIFS('P0-4_Context_Factors'!$C$2:$C$17,'P0-4_Context_Factors'!$A$2:$A$17,"AI exposure",'P0-4_Context_Factors'!$B$2:$B$17,'P0-4_Context_Profile'!$B$6)*'P0-4_Domain_Sensitivity'!$D2</f>
        <v/>
      </c>
      <c r="F2">
        <f>SUMIFS('P0-4_Context_Factors'!$C$2:$C$17,'P0-4_Context_Factors'!$A$2:$A$17,"Disciplinary consequence",'P0-4_Context_Factors'!$B$2:$B$17,'P0-4_Context_Profile'!$B$7)*'P0-4_Domain_Sensitivity'!$E2</f>
        <v/>
      </c>
      <c r="G2">
        <f>SUMIFS('P0-4_Context_Factors'!$C$2:$C$17,'P0-4_Context_Factors'!$A$2:$A$17,"Institutional trajectory",'P0-4_Context_Factors'!$B$2:$B$17,'P0-4_Context_Profile'!$B$8)*'P0-4_Domain_Sensitivity'!$F2</f>
        <v/>
      </c>
      <c r="H2">
        <f>D2+E2+F2+G2</f>
        <v/>
      </c>
      <c r="I2" s="16">
        <f>MIN(5,MAX(1,ROUND(C2+H2,0)))</f>
        <v/>
      </c>
      <c r="J2" t="inlineStr">
        <is>
          <t>Higher required maturity is triggered by stronger mandate, AI exposure, disciplinary consequence and/or rapid transformation pressure.</t>
        </is>
      </c>
      <c r="K2">
        <f>IF('P0-4_Context_Profile'!$B$11="Constrained",0.85,IF('P0-4_Context_Profile'!$B$11="Low-medium",0.95,IF('P0-4_Context_Profile'!$B$11="Medium",1,IF('P0-4_Context_Profile'!$B$11="High",1.10,1.20))))</f>
        <v/>
      </c>
    </row>
    <row r="3">
      <c r="A3" t="inlineStr">
        <is>
          <t>D02</t>
        </is>
      </c>
      <c r="B3" t="inlineStr">
        <is>
          <t>Governance, Responsible AI &amp; Institutional Risk</t>
        </is>
      </c>
      <c r="C3" t="n">
        <v>3</v>
      </c>
      <c r="D3">
        <f>SUMIFS('P0-4_Context_Factors'!$C$2:$C$17,'P0-4_Context_Factors'!$A$2:$A$17,"Institution mandate",'P0-4_Context_Factors'!$B$2:$B$17,'P0-4_Context_Profile'!$B$5)*'P0-4_Domain_Sensitivity'!$C3</f>
        <v/>
      </c>
      <c r="E3">
        <f>SUMIFS('P0-4_Context_Factors'!$C$2:$C$17,'P0-4_Context_Factors'!$A$2:$A$17,"AI exposure",'P0-4_Context_Factors'!$B$2:$B$17,'P0-4_Context_Profile'!$B$6)*'P0-4_Domain_Sensitivity'!$D3</f>
        <v/>
      </c>
      <c r="F3">
        <f>SUMIFS('P0-4_Context_Factors'!$C$2:$C$17,'P0-4_Context_Factors'!$A$2:$A$17,"Disciplinary consequence",'P0-4_Context_Factors'!$B$2:$B$17,'P0-4_Context_Profile'!$B$7)*'P0-4_Domain_Sensitivity'!$E3</f>
        <v/>
      </c>
      <c r="G3">
        <f>SUMIFS('P0-4_Context_Factors'!$C$2:$C$17,'P0-4_Context_Factors'!$A$2:$A$17,"Institutional trajectory",'P0-4_Context_Factors'!$B$2:$B$17,'P0-4_Context_Profile'!$B$8)*'P0-4_Domain_Sensitivity'!$F3</f>
        <v/>
      </c>
      <c r="H3">
        <f>D3+E3+F3+G3</f>
        <v/>
      </c>
      <c r="I3" s="16">
        <f>MIN(5,MAX(1,ROUND(C3+H3,0)))</f>
        <v/>
      </c>
      <c r="J3" t="inlineStr">
        <is>
          <t>Higher required maturity is triggered by stronger mandate, AI exposure, disciplinary consequence and/or rapid transformation pressure.</t>
        </is>
      </c>
      <c r="K3">
        <f>IF('P0-4_Context_Profile'!$B$11="Constrained",0.85,IF('P0-4_Context_Profile'!$B$11="Low-medium",0.95,IF('P0-4_Context_Profile'!$B$11="Medium",1,IF('P0-4_Context_Profile'!$B$11="High",1.10,1.20))))</f>
        <v/>
      </c>
    </row>
    <row r="4">
      <c r="A4" t="inlineStr">
        <is>
          <t>D03</t>
        </is>
      </c>
      <c r="B4" t="inlineStr">
        <is>
          <t>Human Capability, Cognitive Readiness &amp; AI-Ready Education</t>
        </is>
      </c>
      <c r="C4" t="n">
        <v>3</v>
      </c>
      <c r="D4">
        <f>SUMIFS('P0-4_Context_Factors'!$C$2:$C$17,'P0-4_Context_Factors'!$A$2:$A$17,"Institution mandate",'P0-4_Context_Factors'!$B$2:$B$17,'P0-4_Context_Profile'!$B$5)*'P0-4_Domain_Sensitivity'!$C4</f>
        <v/>
      </c>
      <c r="E4">
        <f>SUMIFS('P0-4_Context_Factors'!$C$2:$C$17,'P0-4_Context_Factors'!$A$2:$A$17,"AI exposure",'P0-4_Context_Factors'!$B$2:$B$17,'P0-4_Context_Profile'!$B$6)*'P0-4_Domain_Sensitivity'!$D4</f>
        <v/>
      </c>
      <c r="F4">
        <f>SUMIFS('P0-4_Context_Factors'!$C$2:$C$17,'P0-4_Context_Factors'!$A$2:$A$17,"Disciplinary consequence",'P0-4_Context_Factors'!$B$2:$B$17,'P0-4_Context_Profile'!$B$7)*'P0-4_Domain_Sensitivity'!$E4</f>
        <v/>
      </c>
      <c r="G4">
        <f>SUMIFS('P0-4_Context_Factors'!$C$2:$C$17,'P0-4_Context_Factors'!$A$2:$A$17,"Institutional trajectory",'P0-4_Context_Factors'!$B$2:$B$17,'P0-4_Context_Profile'!$B$8)*'P0-4_Domain_Sensitivity'!$F4</f>
        <v/>
      </c>
      <c r="H4">
        <f>D4+E4+F4+G4</f>
        <v/>
      </c>
      <c r="I4" s="16">
        <f>MIN(5,MAX(1,ROUND(C4+H4,0)))</f>
        <v/>
      </c>
      <c r="J4" t="inlineStr">
        <is>
          <t>Higher required maturity is triggered by stronger mandate, AI exposure, disciplinary consequence and/or rapid transformation pressure.</t>
        </is>
      </c>
      <c r="K4">
        <f>IF('P0-4_Context_Profile'!$B$11="Constrained",0.85,IF('P0-4_Context_Profile'!$B$11="Low-medium",0.95,IF('P0-4_Context_Profile'!$B$11="Medium",1,IF('P0-4_Context_Profile'!$B$11="High",1.10,1.20))))</f>
        <v/>
      </c>
    </row>
    <row r="5">
      <c r="A5" t="inlineStr">
        <is>
          <t>D04</t>
        </is>
      </c>
      <c r="B5" t="inlineStr">
        <is>
          <t>Curriculum &amp; Programme Future Resilience</t>
        </is>
      </c>
      <c r="C5" t="n">
        <v>3</v>
      </c>
      <c r="D5">
        <f>SUMIFS('P0-4_Context_Factors'!$C$2:$C$17,'P0-4_Context_Factors'!$A$2:$A$17,"Institution mandate",'P0-4_Context_Factors'!$B$2:$B$17,'P0-4_Context_Profile'!$B$5)*'P0-4_Domain_Sensitivity'!$C5</f>
        <v/>
      </c>
      <c r="E5">
        <f>SUMIFS('P0-4_Context_Factors'!$C$2:$C$17,'P0-4_Context_Factors'!$A$2:$A$17,"AI exposure",'P0-4_Context_Factors'!$B$2:$B$17,'P0-4_Context_Profile'!$B$6)*'P0-4_Domain_Sensitivity'!$D5</f>
        <v/>
      </c>
      <c r="F5">
        <f>SUMIFS('P0-4_Context_Factors'!$C$2:$C$17,'P0-4_Context_Factors'!$A$2:$A$17,"Disciplinary consequence",'P0-4_Context_Factors'!$B$2:$B$17,'P0-4_Context_Profile'!$B$7)*'P0-4_Domain_Sensitivity'!$E5</f>
        <v/>
      </c>
      <c r="G5">
        <f>SUMIFS('P0-4_Context_Factors'!$C$2:$C$17,'P0-4_Context_Factors'!$A$2:$A$17,"Institutional trajectory",'P0-4_Context_Factors'!$B$2:$B$17,'P0-4_Context_Profile'!$B$8)*'P0-4_Domain_Sensitivity'!$F5</f>
        <v/>
      </c>
      <c r="H5">
        <f>D5+E5+F5+G5</f>
        <v/>
      </c>
      <c r="I5" s="16">
        <f>MIN(5,MAX(1,ROUND(C5+H5,0)))</f>
        <v/>
      </c>
      <c r="J5" t="inlineStr">
        <is>
          <t>Higher required maturity is triggered by stronger mandate, AI exposure, disciplinary consequence and/or rapid transformation pressure.</t>
        </is>
      </c>
      <c r="K5">
        <f>IF('P0-4_Context_Profile'!$B$11="Constrained",0.85,IF('P0-4_Context_Profile'!$B$11="Low-medium",0.95,IF('P0-4_Context_Profile'!$B$11="Medium",1,IF('P0-4_Context_Profile'!$B$11="High",1.10,1.20))))</f>
        <v/>
      </c>
    </row>
    <row r="6">
      <c r="A6" t="inlineStr">
        <is>
          <t>D05</t>
        </is>
      </c>
      <c r="B6" t="inlineStr">
        <is>
          <t>Faculty Capability &amp; Academic Workforce Transformation</t>
        </is>
      </c>
      <c r="C6" t="n">
        <v>3</v>
      </c>
      <c r="D6">
        <f>SUMIFS('P0-4_Context_Factors'!$C$2:$C$17,'P0-4_Context_Factors'!$A$2:$A$17,"Institution mandate",'P0-4_Context_Factors'!$B$2:$B$17,'P0-4_Context_Profile'!$B$5)*'P0-4_Domain_Sensitivity'!$C6</f>
        <v/>
      </c>
      <c r="E6">
        <f>SUMIFS('P0-4_Context_Factors'!$C$2:$C$17,'P0-4_Context_Factors'!$A$2:$A$17,"AI exposure",'P0-4_Context_Factors'!$B$2:$B$17,'P0-4_Context_Profile'!$B$6)*'P0-4_Domain_Sensitivity'!$D6</f>
        <v/>
      </c>
      <c r="F6">
        <f>SUMIFS('P0-4_Context_Factors'!$C$2:$C$17,'P0-4_Context_Factors'!$A$2:$A$17,"Disciplinary consequence",'P0-4_Context_Factors'!$B$2:$B$17,'P0-4_Context_Profile'!$B$7)*'P0-4_Domain_Sensitivity'!$E6</f>
        <v/>
      </c>
      <c r="G6">
        <f>SUMIFS('P0-4_Context_Factors'!$C$2:$C$17,'P0-4_Context_Factors'!$A$2:$A$17,"Institutional trajectory",'P0-4_Context_Factors'!$B$2:$B$17,'P0-4_Context_Profile'!$B$8)*'P0-4_Domain_Sensitivity'!$F6</f>
        <v/>
      </c>
      <c r="H6">
        <f>D6+E6+F6+G6</f>
        <v/>
      </c>
      <c r="I6" s="16">
        <f>MIN(5,MAX(1,ROUND(C6+H6,0)))</f>
        <v/>
      </c>
      <c r="J6" t="inlineStr">
        <is>
          <t>Higher required maturity is triggered by stronger mandate, AI exposure, disciplinary consequence and/or rapid transformation pressure.</t>
        </is>
      </c>
      <c r="K6">
        <f>IF('P0-4_Context_Profile'!$B$11="Constrained",0.85,IF('P0-4_Context_Profile'!$B$11="Low-medium",0.95,IF('P0-4_Context_Profile'!$B$11="Medium",1,IF('P0-4_Context_Profile'!$B$11="High",1.10,1.20))))</f>
        <v/>
      </c>
    </row>
    <row r="7">
      <c r="A7" t="inlineStr">
        <is>
          <t>D06</t>
        </is>
      </c>
      <c r="B7" t="inlineStr">
        <is>
          <t>Student Capability, Agency &amp; Future Readiness</t>
        </is>
      </c>
      <c r="C7" t="n">
        <v>3</v>
      </c>
      <c r="D7">
        <f>SUMIFS('P0-4_Context_Factors'!$C$2:$C$17,'P0-4_Context_Factors'!$A$2:$A$17,"Institution mandate",'P0-4_Context_Factors'!$B$2:$B$17,'P0-4_Context_Profile'!$B$5)*'P0-4_Domain_Sensitivity'!$C7</f>
        <v/>
      </c>
      <c r="E7">
        <f>SUMIFS('P0-4_Context_Factors'!$C$2:$C$17,'P0-4_Context_Factors'!$A$2:$A$17,"AI exposure",'P0-4_Context_Factors'!$B$2:$B$17,'P0-4_Context_Profile'!$B$6)*'P0-4_Domain_Sensitivity'!$D7</f>
        <v/>
      </c>
      <c r="F7">
        <f>SUMIFS('P0-4_Context_Factors'!$C$2:$C$17,'P0-4_Context_Factors'!$A$2:$A$17,"Disciplinary consequence",'P0-4_Context_Factors'!$B$2:$B$17,'P0-4_Context_Profile'!$B$7)*'P0-4_Domain_Sensitivity'!$E7</f>
        <v/>
      </c>
      <c r="G7">
        <f>SUMIFS('P0-4_Context_Factors'!$C$2:$C$17,'P0-4_Context_Factors'!$A$2:$A$17,"Institutional trajectory",'P0-4_Context_Factors'!$B$2:$B$17,'P0-4_Context_Profile'!$B$8)*'P0-4_Domain_Sensitivity'!$F7</f>
        <v/>
      </c>
      <c r="H7">
        <f>D7+E7+F7+G7</f>
        <v/>
      </c>
      <c r="I7" s="16">
        <f>MIN(5,MAX(1,ROUND(C7+H7,0)))</f>
        <v/>
      </c>
      <c r="J7" t="inlineStr">
        <is>
          <t>Higher required maturity is triggered by stronger mandate, AI exposure, disciplinary consequence and/or rapid transformation pressure.</t>
        </is>
      </c>
      <c r="K7">
        <f>IF('P0-4_Context_Profile'!$B$11="Constrained",0.85,IF('P0-4_Context_Profile'!$B$11="Low-medium",0.95,IF('P0-4_Context_Profile'!$B$11="Medium",1,IF('P0-4_Context_Profile'!$B$11="High",1.10,1.20))))</f>
        <v/>
      </c>
    </row>
    <row r="8">
      <c r="A8" t="inlineStr">
        <is>
          <t>D07</t>
        </is>
      </c>
      <c r="B8" t="inlineStr">
        <is>
          <t>Learning, Assessment &amp; Evidence of Capability</t>
        </is>
      </c>
      <c r="C8" t="n">
        <v>3</v>
      </c>
      <c r="D8">
        <f>SUMIFS('P0-4_Context_Factors'!$C$2:$C$17,'P0-4_Context_Factors'!$A$2:$A$17,"Institution mandate",'P0-4_Context_Factors'!$B$2:$B$17,'P0-4_Context_Profile'!$B$5)*'P0-4_Domain_Sensitivity'!$C8</f>
        <v/>
      </c>
      <c r="E8">
        <f>SUMIFS('P0-4_Context_Factors'!$C$2:$C$17,'P0-4_Context_Factors'!$A$2:$A$17,"AI exposure",'P0-4_Context_Factors'!$B$2:$B$17,'P0-4_Context_Profile'!$B$6)*'P0-4_Domain_Sensitivity'!$D8</f>
        <v/>
      </c>
      <c r="F8">
        <f>SUMIFS('P0-4_Context_Factors'!$C$2:$C$17,'P0-4_Context_Factors'!$A$2:$A$17,"Disciplinary consequence",'P0-4_Context_Factors'!$B$2:$B$17,'P0-4_Context_Profile'!$B$7)*'P0-4_Domain_Sensitivity'!$E8</f>
        <v/>
      </c>
      <c r="G8">
        <f>SUMIFS('P0-4_Context_Factors'!$C$2:$C$17,'P0-4_Context_Factors'!$A$2:$A$17,"Institutional trajectory",'P0-4_Context_Factors'!$B$2:$B$17,'P0-4_Context_Profile'!$B$8)*'P0-4_Domain_Sensitivity'!$F8</f>
        <v/>
      </c>
      <c r="H8">
        <f>D8+E8+F8+G8</f>
        <v/>
      </c>
      <c r="I8" s="16">
        <f>MIN(5,MAX(1,ROUND(C8+H8,0)))</f>
        <v/>
      </c>
      <c r="J8" t="inlineStr">
        <is>
          <t>Higher required maturity is triggered by stronger mandate, AI exposure, disciplinary consequence and/or rapid transformation pressure.</t>
        </is>
      </c>
      <c r="K8">
        <f>IF('P0-4_Context_Profile'!$B$11="Constrained",0.85,IF('P0-4_Context_Profile'!$B$11="Low-medium",0.95,IF('P0-4_Context_Profile'!$B$11="Medium",1,IF('P0-4_Context_Profile'!$B$11="High",1.10,1.20))))</f>
        <v/>
      </c>
    </row>
    <row r="9">
      <c r="A9" t="inlineStr">
        <is>
          <t>D08</t>
        </is>
      </c>
      <c r="B9" t="inlineStr">
        <is>
          <t>Digital, Data &amp; Institutional Intelligence</t>
        </is>
      </c>
      <c r="C9" t="n">
        <v>3</v>
      </c>
      <c r="D9">
        <f>SUMIFS('P0-4_Context_Factors'!$C$2:$C$17,'P0-4_Context_Factors'!$A$2:$A$17,"Institution mandate",'P0-4_Context_Factors'!$B$2:$B$17,'P0-4_Context_Profile'!$B$5)*'P0-4_Domain_Sensitivity'!$C9</f>
        <v/>
      </c>
      <c r="E9">
        <f>SUMIFS('P0-4_Context_Factors'!$C$2:$C$17,'P0-4_Context_Factors'!$A$2:$A$17,"AI exposure",'P0-4_Context_Factors'!$B$2:$B$17,'P0-4_Context_Profile'!$B$6)*'P0-4_Domain_Sensitivity'!$D9</f>
        <v/>
      </c>
      <c r="F9">
        <f>SUMIFS('P0-4_Context_Factors'!$C$2:$C$17,'P0-4_Context_Factors'!$A$2:$A$17,"Disciplinary consequence",'P0-4_Context_Factors'!$B$2:$B$17,'P0-4_Context_Profile'!$B$7)*'P0-4_Domain_Sensitivity'!$E9</f>
        <v/>
      </c>
      <c r="G9">
        <f>SUMIFS('P0-4_Context_Factors'!$C$2:$C$17,'P0-4_Context_Factors'!$A$2:$A$17,"Institutional trajectory",'P0-4_Context_Factors'!$B$2:$B$17,'P0-4_Context_Profile'!$B$8)*'P0-4_Domain_Sensitivity'!$F9</f>
        <v/>
      </c>
      <c r="H9">
        <f>D9+E9+F9+G9</f>
        <v/>
      </c>
      <c r="I9" s="16">
        <f>MIN(5,MAX(1,ROUND(C9+H9,0)))</f>
        <v/>
      </c>
      <c r="J9" t="inlineStr">
        <is>
          <t>Higher required maturity is triggered by stronger mandate, AI exposure, disciplinary consequence and/or rapid transformation pressure.</t>
        </is>
      </c>
      <c r="K9">
        <f>IF('P0-4_Context_Profile'!$B$11="Constrained",0.85,IF('P0-4_Context_Profile'!$B$11="Low-medium",0.95,IF('P0-4_Context_Profile'!$B$11="Medium",1,IF('P0-4_Context_Profile'!$B$11="High",1.10,1.20))))</f>
        <v/>
      </c>
    </row>
    <row r="10">
      <c r="A10" t="inlineStr">
        <is>
          <t>D09</t>
        </is>
      </c>
      <c r="B10" t="inlineStr">
        <is>
          <t>Employability, Industry &amp; Economic Relevance</t>
        </is>
      </c>
      <c r="C10" t="n">
        <v>3</v>
      </c>
      <c r="D10">
        <f>SUMIFS('P0-4_Context_Factors'!$C$2:$C$17,'P0-4_Context_Factors'!$A$2:$A$17,"Institution mandate",'P0-4_Context_Factors'!$B$2:$B$17,'P0-4_Context_Profile'!$B$5)*'P0-4_Domain_Sensitivity'!$C10</f>
        <v/>
      </c>
      <c r="E10">
        <f>SUMIFS('P0-4_Context_Factors'!$C$2:$C$17,'P0-4_Context_Factors'!$A$2:$A$17,"AI exposure",'P0-4_Context_Factors'!$B$2:$B$17,'P0-4_Context_Profile'!$B$6)*'P0-4_Domain_Sensitivity'!$D10</f>
        <v/>
      </c>
      <c r="F10">
        <f>SUMIFS('P0-4_Context_Factors'!$C$2:$C$17,'P0-4_Context_Factors'!$A$2:$A$17,"Disciplinary consequence",'P0-4_Context_Factors'!$B$2:$B$17,'P0-4_Context_Profile'!$B$7)*'P0-4_Domain_Sensitivity'!$E10</f>
        <v/>
      </c>
      <c r="G10">
        <f>SUMIFS('P0-4_Context_Factors'!$C$2:$C$17,'P0-4_Context_Factors'!$A$2:$A$17,"Institutional trajectory",'P0-4_Context_Factors'!$B$2:$B$17,'P0-4_Context_Profile'!$B$8)*'P0-4_Domain_Sensitivity'!$F10</f>
        <v/>
      </c>
      <c r="H10">
        <f>D10+E10+F10+G10</f>
        <v/>
      </c>
      <c r="I10" s="16">
        <f>MIN(5,MAX(1,ROUND(C10+H10,0)))</f>
        <v/>
      </c>
      <c r="J10" t="inlineStr">
        <is>
          <t>Higher required maturity is triggered by stronger mandate, AI exposure, disciplinary consequence and/or rapid transformation pressure.</t>
        </is>
      </c>
      <c r="K10">
        <f>IF('P0-4_Context_Profile'!$B$11="Constrained",0.85,IF('P0-4_Context_Profile'!$B$11="Low-medium",0.95,IF('P0-4_Context_Profile'!$B$11="Medium",1,IF('P0-4_Context_Profile'!$B$11="High",1.10,1.20))))</f>
        <v/>
      </c>
    </row>
    <row r="11">
      <c r="A11" t="inlineStr">
        <is>
          <t>D10</t>
        </is>
      </c>
      <c r="B11" t="inlineStr">
        <is>
          <t>Research, Innovation &amp; Knowledge Creation</t>
        </is>
      </c>
      <c r="C11" t="n">
        <v>3</v>
      </c>
      <c r="D11">
        <f>SUMIFS('P0-4_Context_Factors'!$C$2:$C$17,'P0-4_Context_Factors'!$A$2:$A$17,"Institution mandate",'P0-4_Context_Factors'!$B$2:$B$17,'P0-4_Context_Profile'!$B$5)*'P0-4_Domain_Sensitivity'!$C11</f>
        <v/>
      </c>
      <c r="E11">
        <f>SUMIFS('P0-4_Context_Factors'!$C$2:$C$17,'P0-4_Context_Factors'!$A$2:$A$17,"AI exposure",'P0-4_Context_Factors'!$B$2:$B$17,'P0-4_Context_Profile'!$B$6)*'P0-4_Domain_Sensitivity'!$D11</f>
        <v/>
      </c>
      <c r="F11">
        <f>SUMIFS('P0-4_Context_Factors'!$C$2:$C$17,'P0-4_Context_Factors'!$A$2:$A$17,"Disciplinary consequence",'P0-4_Context_Factors'!$B$2:$B$17,'P0-4_Context_Profile'!$B$7)*'P0-4_Domain_Sensitivity'!$E11</f>
        <v/>
      </c>
      <c r="G11">
        <f>SUMIFS('P0-4_Context_Factors'!$C$2:$C$17,'P0-4_Context_Factors'!$A$2:$A$17,"Institutional trajectory",'P0-4_Context_Factors'!$B$2:$B$17,'P0-4_Context_Profile'!$B$8)*'P0-4_Domain_Sensitivity'!$F11</f>
        <v/>
      </c>
      <c r="H11">
        <f>D11+E11+F11+G11</f>
        <v/>
      </c>
      <c r="I11" s="16">
        <f>MIN(5,MAX(1,ROUND(C11+H11,0)))</f>
        <v/>
      </c>
      <c r="J11" t="inlineStr">
        <is>
          <t>Higher required maturity is triggered by stronger mandate, AI exposure, disciplinary consequence and/or rapid transformation pressure.</t>
        </is>
      </c>
      <c r="K11">
        <f>IF('P0-4_Context_Profile'!$B$11="Constrained",0.85,IF('P0-4_Context_Profile'!$B$11="Low-medium",0.95,IF('P0-4_Context_Profile'!$B$11="Medium",1,IF('P0-4_Context_Profile'!$B$11="High",1.10,1.20))))</f>
        <v/>
      </c>
    </row>
    <row r="12">
      <c r="A12" t="inlineStr">
        <is>
          <t>D11</t>
        </is>
      </c>
      <c r="B12" t="inlineStr">
        <is>
          <t>Institutional Adaptability &amp; AI Resilience</t>
        </is>
      </c>
      <c r="C12" t="n">
        <v>3</v>
      </c>
      <c r="D12">
        <f>SUMIFS('P0-4_Context_Factors'!$C$2:$C$17,'P0-4_Context_Factors'!$A$2:$A$17,"Institution mandate",'P0-4_Context_Factors'!$B$2:$B$17,'P0-4_Context_Profile'!$B$5)*'P0-4_Domain_Sensitivity'!$C12</f>
        <v/>
      </c>
      <c r="E12">
        <f>SUMIFS('P0-4_Context_Factors'!$C$2:$C$17,'P0-4_Context_Factors'!$A$2:$A$17,"AI exposure",'P0-4_Context_Factors'!$B$2:$B$17,'P0-4_Context_Profile'!$B$6)*'P0-4_Domain_Sensitivity'!$D12</f>
        <v/>
      </c>
      <c r="F12">
        <f>SUMIFS('P0-4_Context_Factors'!$C$2:$C$17,'P0-4_Context_Factors'!$A$2:$A$17,"Disciplinary consequence",'P0-4_Context_Factors'!$B$2:$B$17,'P0-4_Context_Profile'!$B$7)*'P0-4_Domain_Sensitivity'!$E12</f>
        <v/>
      </c>
      <c r="G12">
        <f>SUMIFS('P0-4_Context_Factors'!$C$2:$C$17,'P0-4_Context_Factors'!$A$2:$A$17,"Institutional trajectory",'P0-4_Context_Factors'!$B$2:$B$17,'P0-4_Context_Profile'!$B$8)*'P0-4_Domain_Sensitivity'!$F12</f>
        <v/>
      </c>
      <c r="H12">
        <f>D12+E12+F12+G12</f>
        <v/>
      </c>
      <c r="I12" s="16">
        <f>MIN(5,MAX(1,ROUND(C12+H12,0)))</f>
        <v/>
      </c>
      <c r="J12" t="inlineStr">
        <is>
          <t>Higher required maturity is triggered by stronger mandate, AI exposure, disciplinary consequence and/or rapid transformation pressure.</t>
        </is>
      </c>
      <c r="K12">
        <f>IF('P0-4_Context_Profile'!$B$11="Constrained",0.85,IF('P0-4_Context_Profile'!$B$11="Low-medium",0.95,IF('P0-4_Context_Profile'!$B$11="Medium",1,IF('P0-4_Context_Profile'!$B$11="High",1.10,1.20))))</f>
        <v/>
      </c>
    </row>
  </sheetData>
  <autoFilter ref="A1:K12"/>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5" customWidth="1" min="3" max="3"/>
    <col width="40" customWidth="1" min="4" max="4"/>
    <col width="18" customWidth="1" min="5" max="5"/>
  </cols>
  <sheetData>
    <row r="1">
      <c r="A1" s="15" t="inlineStr">
        <is>
          <t>Field</t>
        </is>
      </c>
      <c r="B1" s="15" t="inlineStr">
        <is>
          <t>Required assessor rationale</t>
        </is>
      </c>
      <c r="C1" s="15" t="inlineStr">
        <is>
          <t>Example evidence / basis</t>
        </is>
      </c>
      <c r="D1" s="15" t="inlineStr">
        <is>
          <t>Effect</t>
        </is>
      </c>
      <c r="E1" s="15" t="inlineStr">
        <is>
          <t>Approval</t>
        </is>
      </c>
    </row>
    <row r="2">
      <c r="A2" t="inlineStr">
        <is>
          <t>Institution type</t>
        </is>
      </c>
      <c r="B2" t="inlineStr">
        <is>
          <t>Record why the selected context level is appropriate for this institution.</t>
        </is>
      </c>
      <c r="C2" t="inlineStr">
        <is>
          <t>Institution profile, strategic plan, programme portfolio, operating data, external environment or assessor evidence.</t>
        </is>
      </c>
      <c r="D2" t="inlineStr">
        <is>
          <t>Target/evidence burden only; no direct score bonus.</t>
        </is>
      </c>
      <c r="E2" t="inlineStr">
        <is>
          <t>Assessor</t>
        </is>
      </c>
    </row>
    <row r="3">
      <c r="A3" t="inlineStr">
        <is>
          <t>Institution mandate</t>
        </is>
      </c>
      <c r="B3" t="inlineStr">
        <is>
          <t>Record why the selected context level is appropriate for this institution.</t>
        </is>
      </c>
      <c r="C3" t="inlineStr">
        <is>
          <t>Institution profile, strategic plan, programme portfolio, operating data, external environment or assessor evidence.</t>
        </is>
      </c>
      <c r="D3" t="inlineStr">
        <is>
          <t>Target/evidence burden only; no direct score bonus.</t>
        </is>
      </c>
      <c r="E3" t="inlineStr">
        <is>
          <t>Assessor</t>
        </is>
      </c>
    </row>
    <row r="4">
      <c r="A4" t="inlineStr">
        <is>
          <t>AI exposure</t>
        </is>
      </c>
      <c r="B4" t="inlineStr">
        <is>
          <t>Record why the selected context level is appropriate for this institution.</t>
        </is>
      </c>
      <c r="C4" t="inlineStr">
        <is>
          <t>Institution profile, strategic plan, programme portfolio, operating data, external environment or assessor evidence.</t>
        </is>
      </c>
      <c r="D4" t="inlineStr">
        <is>
          <t>Target/evidence burden only; no direct score bonus.</t>
        </is>
      </c>
      <c r="E4" t="inlineStr">
        <is>
          <t>Assessor</t>
        </is>
      </c>
    </row>
    <row r="5">
      <c r="A5" t="inlineStr">
        <is>
          <t>Disciplinary consequence</t>
        </is>
      </c>
      <c r="B5" t="inlineStr">
        <is>
          <t>Record why the selected context level is appropriate for this institution.</t>
        </is>
      </c>
      <c r="C5" t="inlineStr">
        <is>
          <t>Institution profile, strategic plan, programme portfolio, operating data, external environment or assessor evidence.</t>
        </is>
      </c>
      <c r="D5" t="inlineStr">
        <is>
          <t>Target/evidence burden only; no direct score bonus.</t>
        </is>
      </c>
      <c r="E5" t="inlineStr">
        <is>
          <t>Assessor</t>
        </is>
      </c>
    </row>
    <row r="6">
      <c r="A6" t="inlineStr">
        <is>
          <t>Institutional trajectory</t>
        </is>
      </c>
      <c r="B6" t="inlineStr">
        <is>
          <t>Record why the selected context level is appropriate for this institution.</t>
        </is>
      </c>
      <c r="C6" t="inlineStr">
        <is>
          <t>Institution profile, strategic plan, programme portfolio, operating data, external environment or assessor evidence.</t>
        </is>
      </c>
      <c r="D6" t="inlineStr">
        <is>
          <t>Target/evidence burden only; no direct score bonus.</t>
        </is>
      </c>
      <c r="E6" t="inlineStr">
        <is>
          <t>Assessor</t>
        </is>
      </c>
    </row>
    <row r="7">
      <c r="A7" t="inlineStr">
        <is>
          <t>Scale</t>
        </is>
      </c>
      <c r="B7" t="inlineStr">
        <is>
          <t>Record why the selected context level is appropriate for this institution.</t>
        </is>
      </c>
      <c r="C7" t="inlineStr">
        <is>
          <t>Institution profile, strategic plan, programme portfolio, operating data, external environment or assessor evidence.</t>
        </is>
      </c>
      <c r="D7" t="inlineStr">
        <is>
          <t>Target/evidence burden only; no direct score bonus.</t>
        </is>
      </c>
      <c r="E7" t="inlineStr">
        <is>
          <t>Assessor</t>
        </is>
      </c>
    </row>
    <row r="8">
      <c r="A8" t="inlineStr">
        <is>
          <t>Geography / operating context</t>
        </is>
      </c>
      <c r="B8" t="inlineStr">
        <is>
          <t>Record why the selected context level is appropriate for this institution.</t>
        </is>
      </c>
      <c r="C8" t="inlineStr">
        <is>
          <t>Institution profile, strategic plan, programme portfolio, operating data, external environment or assessor evidence.</t>
        </is>
      </c>
      <c r="D8" t="inlineStr">
        <is>
          <t>Target/evidence burden only; no direct score bonus.</t>
        </is>
      </c>
      <c r="E8" t="inlineStr">
        <is>
          <t>Assessor</t>
        </is>
      </c>
    </row>
    <row r="9">
      <c r="A9" t="inlineStr">
        <is>
          <t>Resource envelope</t>
        </is>
      </c>
      <c r="B9" t="inlineStr">
        <is>
          <t>Record why the selected context level is appropriate for this institution.</t>
        </is>
      </c>
      <c r="C9" t="inlineStr">
        <is>
          <t>Institution profile, strategic plan, programme portfolio, operating data, external environment or assessor evidence.</t>
        </is>
      </c>
      <c r="D9" t="inlineStr">
        <is>
          <t>Target/evidence burden only; no direct score bonus.</t>
        </is>
      </c>
      <c r="E9" t="inlineStr">
        <is>
          <t>Assessor</t>
        </is>
      </c>
    </row>
    <row r="10">
      <c r="A10" t="inlineStr">
        <is>
          <t>Research intensity</t>
        </is>
      </c>
      <c r="B10" t="inlineStr">
        <is>
          <t>Record why the selected context level is appropriate for this institution.</t>
        </is>
      </c>
      <c r="C10" t="inlineStr">
        <is>
          <t>Institution profile, strategic plan, programme portfolio, operating data, external environment or assessor evidence.</t>
        </is>
      </c>
      <c r="D10" t="inlineStr">
        <is>
          <t>Target/evidence burden only; no direct score bonus.</t>
        </is>
      </c>
      <c r="E10" t="inlineStr">
        <is>
          <t>Assessor</t>
        </is>
      </c>
    </row>
    <row r="11">
      <c r="A11" t="inlineStr">
        <is>
          <t>Student profile complexity</t>
        </is>
      </c>
      <c r="B11" t="inlineStr">
        <is>
          <t>Record why the selected context level is appropriate for this institution.</t>
        </is>
      </c>
      <c r="C11" t="inlineStr">
        <is>
          <t>Institution profile, strategic plan, programme portfolio, operating data, external environment or assessor evidence.</t>
        </is>
      </c>
      <c r="D11" t="inlineStr">
        <is>
          <t>Target/evidence burden only; no direct score bonus.</t>
        </is>
      </c>
      <c r="E11" t="inlineStr">
        <is>
          <t>Assessor</t>
        </is>
      </c>
    </row>
  </sheetData>
  <autoFilter ref="A1:E11"/>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18" customWidth="1" min="4" max="4"/>
    <col width="14" customWidth="1" min="5" max="5"/>
    <col width="16" customWidth="1" min="6" max="6"/>
    <col width="70" customWidth="1" min="7" max="7"/>
  </cols>
  <sheetData>
    <row r="1">
      <c r="A1" s="15" t="inlineStr">
        <is>
          <t>Domain</t>
        </is>
      </c>
      <c r="B1" s="15" t="inlineStr">
        <is>
          <t>Domain Score /100</t>
        </is>
      </c>
      <c r="C1" s="15" t="inlineStr">
        <is>
          <t>Current Maturity (proxy)</t>
        </is>
      </c>
      <c r="D1" s="15" t="inlineStr">
        <is>
          <t>Required Maturity R</t>
        </is>
      </c>
      <c r="E1" s="15" t="inlineStr">
        <is>
          <t>Maturity Gap</t>
        </is>
      </c>
      <c r="F1" s="15" t="inlineStr">
        <is>
          <t>Domain Priority</t>
        </is>
      </c>
      <c r="G1" s="15" t="inlineStr">
        <is>
          <t>Interpretation</t>
        </is>
      </c>
    </row>
    <row r="2">
      <c r="A2">
        <f>'P0-3_Domain_Aggregation'!A2</f>
        <v/>
      </c>
      <c r="B2">
        <f>'P0-3_Domain_Aggregation'!B2</f>
        <v/>
      </c>
      <c r="C2">
        <f>IFERROR(AVERAGEIF('P0-3_Scorecard'!$A$2:$A$144,A2,'P0-3_Scorecard'!$E$2:$E$144),"")</f>
        <v/>
      </c>
      <c r="D2">
        <f>'P0-4_Required_Maturity'!I2</f>
        <v/>
      </c>
      <c r="E2">
        <f>IF(OR(C2="",D2=""),"",D2-C2)</f>
        <v/>
      </c>
      <c r="F2">
        <f>IF(E2="","",IF(E2&gt;=2,"URGENT",IF(E2&gt;=1,"PRIORITY",IF(E2&gt;0,"WATCH","ON TRACK"))))</f>
        <v/>
      </c>
      <c r="G2" t="inlineStr">
        <is>
          <t>Gap is a transformation priority, not a penalty added to the capability score.</t>
        </is>
      </c>
    </row>
    <row r="3">
      <c r="A3">
        <f>'P0-3_Domain_Aggregation'!A3</f>
        <v/>
      </c>
      <c r="B3">
        <f>'P0-3_Domain_Aggregation'!B3</f>
        <v/>
      </c>
      <c r="C3">
        <f>IFERROR(AVERAGEIF('P0-3_Scorecard'!$A$2:$A$144,A3,'P0-3_Scorecard'!$E$2:$E$144),"")</f>
        <v/>
      </c>
      <c r="D3">
        <f>'P0-4_Required_Maturity'!I3</f>
        <v/>
      </c>
      <c r="E3">
        <f>IF(OR(C3="",D3=""),"",D3-C3)</f>
        <v/>
      </c>
      <c r="F3">
        <f>IF(E3="","",IF(E3&gt;=2,"URGENT",IF(E3&gt;=1,"PRIORITY",IF(E3&gt;0,"WATCH","ON TRACK"))))</f>
        <v/>
      </c>
      <c r="G3" t="inlineStr">
        <is>
          <t>Gap is a transformation priority, not a penalty added to the capability score.</t>
        </is>
      </c>
    </row>
    <row r="4">
      <c r="A4">
        <f>'P0-3_Domain_Aggregation'!A4</f>
        <v/>
      </c>
      <c r="B4">
        <f>'P0-3_Domain_Aggregation'!B4</f>
        <v/>
      </c>
      <c r="C4">
        <f>IFERROR(AVERAGEIF('P0-3_Scorecard'!$A$2:$A$144,A4,'P0-3_Scorecard'!$E$2:$E$144),"")</f>
        <v/>
      </c>
      <c r="D4">
        <f>'P0-4_Required_Maturity'!I4</f>
        <v/>
      </c>
      <c r="E4">
        <f>IF(OR(C4="",D4=""),"",D4-C4)</f>
        <v/>
      </c>
      <c r="F4">
        <f>IF(E4="","",IF(E4&gt;=2,"URGENT",IF(E4&gt;=1,"PRIORITY",IF(E4&gt;0,"WATCH","ON TRACK"))))</f>
        <v/>
      </c>
      <c r="G4" t="inlineStr">
        <is>
          <t>Gap is a transformation priority, not a penalty added to the capability score.</t>
        </is>
      </c>
    </row>
    <row r="5">
      <c r="A5">
        <f>'P0-3_Domain_Aggregation'!A5</f>
        <v/>
      </c>
      <c r="B5">
        <f>'P0-3_Domain_Aggregation'!B5</f>
        <v/>
      </c>
      <c r="C5">
        <f>IFERROR(AVERAGEIF('P0-3_Scorecard'!$A$2:$A$144,A5,'P0-3_Scorecard'!$E$2:$E$144),"")</f>
        <v/>
      </c>
      <c r="D5">
        <f>'P0-4_Required_Maturity'!I5</f>
        <v/>
      </c>
      <c r="E5">
        <f>IF(OR(C5="",D5=""),"",D5-C5)</f>
        <v/>
      </c>
      <c r="F5">
        <f>IF(E5="","",IF(E5&gt;=2,"URGENT",IF(E5&gt;=1,"PRIORITY",IF(E5&gt;0,"WATCH","ON TRACK"))))</f>
        <v/>
      </c>
      <c r="G5" t="inlineStr">
        <is>
          <t>Gap is a transformation priority, not a penalty added to the capability score.</t>
        </is>
      </c>
    </row>
    <row r="6">
      <c r="A6">
        <f>'P0-3_Domain_Aggregation'!A6</f>
        <v/>
      </c>
      <c r="B6">
        <f>'P0-3_Domain_Aggregation'!B6</f>
        <v/>
      </c>
      <c r="C6">
        <f>IFERROR(AVERAGEIF('P0-3_Scorecard'!$A$2:$A$144,A6,'P0-3_Scorecard'!$E$2:$E$144),"")</f>
        <v/>
      </c>
      <c r="D6">
        <f>'P0-4_Required_Maturity'!I6</f>
        <v/>
      </c>
      <c r="E6">
        <f>IF(OR(C6="",D6=""),"",D6-C6)</f>
        <v/>
      </c>
      <c r="F6">
        <f>IF(E6="","",IF(E6&gt;=2,"URGENT",IF(E6&gt;=1,"PRIORITY",IF(E6&gt;0,"WATCH","ON TRACK"))))</f>
        <v/>
      </c>
      <c r="G6" t="inlineStr">
        <is>
          <t>Gap is a transformation priority, not a penalty added to the capability score.</t>
        </is>
      </c>
    </row>
    <row r="7">
      <c r="A7">
        <f>'P0-3_Domain_Aggregation'!A7</f>
        <v/>
      </c>
      <c r="B7">
        <f>'P0-3_Domain_Aggregation'!B7</f>
        <v/>
      </c>
      <c r="C7">
        <f>IFERROR(AVERAGEIF('P0-3_Scorecard'!$A$2:$A$144,A7,'P0-3_Scorecard'!$E$2:$E$144),"")</f>
        <v/>
      </c>
      <c r="D7">
        <f>'P0-4_Required_Maturity'!I7</f>
        <v/>
      </c>
      <c r="E7">
        <f>IF(OR(C7="",D7=""),"",D7-C7)</f>
        <v/>
      </c>
      <c r="F7">
        <f>IF(E7="","",IF(E7&gt;=2,"URGENT",IF(E7&gt;=1,"PRIORITY",IF(E7&gt;0,"WATCH","ON TRACK"))))</f>
        <v/>
      </c>
      <c r="G7" t="inlineStr">
        <is>
          <t>Gap is a transformation priority, not a penalty added to the capability score.</t>
        </is>
      </c>
    </row>
    <row r="8">
      <c r="A8">
        <f>'P0-3_Domain_Aggregation'!A8</f>
        <v/>
      </c>
      <c r="B8">
        <f>'P0-3_Domain_Aggregation'!B8</f>
        <v/>
      </c>
      <c r="C8">
        <f>IFERROR(AVERAGEIF('P0-3_Scorecard'!$A$2:$A$144,A8,'P0-3_Scorecard'!$E$2:$E$144),"")</f>
        <v/>
      </c>
      <c r="D8">
        <f>'P0-4_Required_Maturity'!I8</f>
        <v/>
      </c>
      <c r="E8">
        <f>IF(OR(C8="",D8=""),"",D8-C8)</f>
        <v/>
      </c>
      <c r="F8">
        <f>IF(E8="","",IF(E8&gt;=2,"URGENT",IF(E8&gt;=1,"PRIORITY",IF(E8&gt;0,"WATCH","ON TRACK"))))</f>
        <v/>
      </c>
      <c r="G8" t="inlineStr">
        <is>
          <t>Gap is a transformation priority, not a penalty added to the capability score.</t>
        </is>
      </c>
    </row>
    <row r="9">
      <c r="A9">
        <f>'P0-3_Domain_Aggregation'!A9</f>
        <v/>
      </c>
      <c r="B9">
        <f>'P0-3_Domain_Aggregation'!B9</f>
        <v/>
      </c>
      <c r="C9">
        <f>IFERROR(AVERAGEIF('P0-3_Scorecard'!$A$2:$A$144,A9,'P0-3_Scorecard'!$E$2:$E$144),"")</f>
        <v/>
      </c>
      <c r="D9">
        <f>'P0-4_Required_Maturity'!I9</f>
        <v/>
      </c>
      <c r="E9">
        <f>IF(OR(C9="",D9=""),"",D9-C9)</f>
        <v/>
      </c>
      <c r="F9">
        <f>IF(E9="","",IF(E9&gt;=2,"URGENT",IF(E9&gt;=1,"PRIORITY",IF(E9&gt;0,"WATCH","ON TRACK"))))</f>
        <v/>
      </c>
      <c r="G9" t="inlineStr">
        <is>
          <t>Gap is a transformation priority, not a penalty added to the capability score.</t>
        </is>
      </c>
    </row>
    <row r="10">
      <c r="A10">
        <f>'P0-3_Domain_Aggregation'!A10</f>
        <v/>
      </c>
      <c r="B10">
        <f>'P0-3_Domain_Aggregation'!B10</f>
        <v/>
      </c>
      <c r="C10">
        <f>IFERROR(AVERAGEIF('P0-3_Scorecard'!$A$2:$A$144,A10,'P0-3_Scorecard'!$E$2:$E$144),"")</f>
        <v/>
      </c>
      <c r="D10">
        <f>'P0-4_Required_Maturity'!I10</f>
        <v/>
      </c>
      <c r="E10">
        <f>IF(OR(C10="",D10=""),"",D10-C10)</f>
        <v/>
      </c>
      <c r="F10">
        <f>IF(E10="","",IF(E10&gt;=2,"URGENT",IF(E10&gt;=1,"PRIORITY",IF(E10&gt;0,"WATCH","ON TRACK"))))</f>
        <v/>
      </c>
      <c r="G10" t="inlineStr">
        <is>
          <t>Gap is a transformation priority, not a penalty added to the capability score.</t>
        </is>
      </c>
    </row>
    <row r="11">
      <c r="A11">
        <f>'P0-3_Domain_Aggregation'!A11</f>
        <v/>
      </c>
      <c r="B11">
        <f>'P0-3_Domain_Aggregation'!B11</f>
        <v/>
      </c>
      <c r="C11">
        <f>IFERROR(AVERAGEIF('P0-3_Scorecard'!$A$2:$A$144,A11,'P0-3_Scorecard'!$E$2:$E$144),"")</f>
        <v/>
      </c>
      <c r="D11">
        <f>'P0-4_Required_Maturity'!I11</f>
        <v/>
      </c>
      <c r="E11">
        <f>IF(OR(C11="",D11=""),"",D11-C11)</f>
        <v/>
      </c>
      <c r="F11">
        <f>IF(E11="","",IF(E11&gt;=2,"URGENT",IF(E11&gt;=1,"PRIORITY",IF(E11&gt;0,"WATCH","ON TRACK"))))</f>
        <v/>
      </c>
      <c r="G11" t="inlineStr">
        <is>
          <t>Gap is a transformation priority, not a penalty added to the capability score.</t>
        </is>
      </c>
    </row>
    <row r="12">
      <c r="A12">
        <f>'P0-3_Domain_Aggregation'!A12</f>
        <v/>
      </c>
      <c r="B12">
        <f>'P0-3_Domain_Aggregation'!B12</f>
        <v/>
      </c>
      <c r="C12">
        <f>IFERROR(AVERAGEIF('P0-3_Scorecard'!$A$2:$A$144,A12,'P0-3_Scorecard'!$E$2:$E$144),"")</f>
        <v/>
      </c>
      <c r="D12">
        <f>'P0-4_Required_Maturity'!I12</f>
        <v/>
      </c>
      <c r="E12">
        <f>IF(OR(C12="",D12=""),"",D12-C12)</f>
        <v/>
      </c>
      <c r="F12">
        <f>IF(E12="","",IF(E12&gt;=2,"URGENT",IF(E12&gt;=1,"PRIORITY",IF(E12&gt;0,"WATCH","ON TRACK"))))</f>
        <v/>
      </c>
      <c r="G12" t="inlineStr">
        <is>
          <t>Gap is a transformation priority, not a penalty added to the capability score.</t>
        </is>
      </c>
    </row>
  </sheetData>
  <autoFilter ref="A1:G12"/>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24" customWidth="1" min="4" max="4"/>
    <col width="80" customWidth="1" min="5" max="5"/>
    <col width="60" customWidth="1" min="6" max="6"/>
  </cols>
  <sheetData>
    <row r="1">
      <c r="A1" s="15" t="inlineStr">
        <is>
          <t>Domain</t>
        </is>
      </c>
      <c r="B1" s="15" t="inlineStr">
        <is>
          <t>Base Evidence Items</t>
        </is>
      </c>
      <c r="C1" s="15" t="inlineStr">
        <is>
          <t>Context Multiplier</t>
        </is>
      </c>
      <c r="D1" s="15" t="inlineStr">
        <is>
          <t>Adjusted Evidence Items</t>
        </is>
      </c>
      <c r="E1" s="15" t="inlineStr">
        <is>
          <t>Sampling Rule</t>
        </is>
      </c>
      <c r="F1" s="15" t="inlineStr">
        <is>
          <t>Rationale</t>
        </is>
      </c>
    </row>
    <row r="2">
      <c r="A2">
        <f>'P0-4_Required_Maturity'!A2</f>
        <v/>
      </c>
      <c r="B2" t="n">
        <v>1</v>
      </c>
      <c r="C2">
        <f>'P0-4_Required_Maturity'!K2</f>
        <v/>
      </c>
      <c r="D2">
        <f>ROUND(B2*C2,0)</f>
        <v/>
      </c>
      <c r="E2" t="inlineStr">
        <is>
          <t>Use the minimum proportionate sample needed to triangulate claims; do not lower maturity standards for constrained resources.</t>
        </is>
      </c>
      <c r="F2" t="inlineStr">
        <is>
          <t>Resource envelope affects evidence burden, not required maturity.</t>
        </is>
      </c>
    </row>
    <row r="3">
      <c r="A3">
        <f>'P0-4_Required_Maturity'!A3</f>
        <v/>
      </c>
      <c r="B3" t="n">
        <v>1</v>
      </c>
      <c r="C3">
        <f>'P0-4_Required_Maturity'!K3</f>
        <v/>
      </c>
      <c r="D3">
        <f>ROUND(B3*C3,0)</f>
        <v/>
      </c>
      <c r="E3" t="inlineStr">
        <is>
          <t>Use the minimum proportionate sample needed to triangulate claims; do not lower maturity standards for constrained resources.</t>
        </is>
      </c>
      <c r="F3" t="inlineStr">
        <is>
          <t>Resource envelope affects evidence burden, not required maturity.</t>
        </is>
      </c>
    </row>
    <row r="4">
      <c r="A4">
        <f>'P0-4_Required_Maturity'!A4</f>
        <v/>
      </c>
      <c r="B4" t="n">
        <v>1</v>
      </c>
      <c r="C4">
        <f>'P0-4_Required_Maturity'!K4</f>
        <v/>
      </c>
      <c r="D4">
        <f>ROUND(B4*C4,0)</f>
        <v/>
      </c>
      <c r="E4" t="inlineStr">
        <is>
          <t>Use the minimum proportionate sample needed to triangulate claims; do not lower maturity standards for constrained resources.</t>
        </is>
      </c>
      <c r="F4" t="inlineStr">
        <is>
          <t>Resource envelope affects evidence burden, not required maturity.</t>
        </is>
      </c>
    </row>
    <row r="5">
      <c r="A5">
        <f>'P0-4_Required_Maturity'!A5</f>
        <v/>
      </c>
      <c r="B5" t="n">
        <v>1</v>
      </c>
      <c r="C5">
        <f>'P0-4_Required_Maturity'!K5</f>
        <v/>
      </c>
      <c r="D5">
        <f>ROUND(B5*C5,0)</f>
        <v/>
      </c>
      <c r="E5" t="inlineStr">
        <is>
          <t>Use the minimum proportionate sample needed to triangulate claims; do not lower maturity standards for constrained resources.</t>
        </is>
      </c>
      <c r="F5" t="inlineStr">
        <is>
          <t>Resource envelope affects evidence burden, not required maturity.</t>
        </is>
      </c>
    </row>
    <row r="6">
      <c r="A6">
        <f>'P0-4_Required_Maturity'!A6</f>
        <v/>
      </c>
      <c r="B6" t="n">
        <v>1</v>
      </c>
      <c r="C6">
        <f>'P0-4_Required_Maturity'!K6</f>
        <v/>
      </c>
      <c r="D6">
        <f>ROUND(B6*C6,0)</f>
        <v/>
      </c>
      <c r="E6" t="inlineStr">
        <is>
          <t>Use the minimum proportionate sample needed to triangulate claims; do not lower maturity standards for constrained resources.</t>
        </is>
      </c>
      <c r="F6" t="inlineStr">
        <is>
          <t>Resource envelope affects evidence burden, not required maturity.</t>
        </is>
      </c>
    </row>
    <row r="7">
      <c r="A7">
        <f>'P0-4_Required_Maturity'!A7</f>
        <v/>
      </c>
      <c r="B7" t="n">
        <v>1</v>
      </c>
      <c r="C7">
        <f>'P0-4_Required_Maturity'!K7</f>
        <v/>
      </c>
      <c r="D7">
        <f>ROUND(B7*C7,0)</f>
        <v/>
      </c>
      <c r="E7" t="inlineStr">
        <is>
          <t>Use the minimum proportionate sample needed to triangulate claims; do not lower maturity standards for constrained resources.</t>
        </is>
      </c>
      <c r="F7" t="inlineStr">
        <is>
          <t>Resource envelope affects evidence burden, not required maturity.</t>
        </is>
      </c>
    </row>
    <row r="8">
      <c r="A8">
        <f>'P0-4_Required_Maturity'!A8</f>
        <v/>
      </c>
      <c r="B8" t="n">
        <v>1</v>
      </c>
      <c r="C8">
        <f>'P0-4_Required_Maturity'!K8</f>
        <v/>
      </c>
      <c r="D8">
        <f>ROUND(B8*C8,0)</f>
        <v/>
      </c>
      <c r="E8" t="inlineStr">
        <is>
          <t>Use the minimum proportionate sample needed to triangulate claims; do not lower maturity standards for constrained resources.</t>
        </is>
      </c>
      <c r="F8" t="inlineStr">
        <is>
          <t>Resource envelope affects evidence burden, not required maturity.</t>
        </is>
      </c>
    </row>
    <row r="9">
      <c r="A9">
        <f>'P0-4_Required_Maturity'!A9</f>
        <v/>
      </c>
      <c r="B9" t="n">
        <v>1</v>
      </c>
      <c r="C9">
        <f>'P0-4_Required_Maturity'!K9</f>
        <v/>
      </c>
      <c r="D9">
        <f>ROUND(B9*C9,0)</f>
        <v/>
      </c>
      <c r="E9" t="inlineStr">
        <is>
          <t>Use the minimum proportionate sample needed to triangulate claims; do not lower maturity standards for constrained resources.</t>
        </is>
      </c>
      <c r="F9" t="inlineStr">
        <is>
          <t>Resource envelope affects evidence burden, not required maturity.</t>
        </is>
      </c>
    </row>
    <row r="10">
      <c r="A10">
        <f>'P0-4_Required_Maturity'!A10</f>
        <v/>
      </c>
      <c r="B10" t="n">
        <v>1</v>
      </c>
      <c r="C10">
        <f>'P0-4_Required_Maturity'!K10</f>
        <v/>
      </c>
      <c r="D10">
        <f>ROUND(B10*C10,0)</f>
        <v/>
      </c>
      <c r="E10" t="inlineStr">
        <is>
          <t>Use the minimum proportionate sample needed to triangulate claims; do not lower maturity standards for constrained resources.</t>
        </is>
      </c>
      <c r="F10" t="inlineStr">
        <is>
          <t>Resource envelope affects evidence burden, not required maturity.</t>
        </is>
      </c>
    </row>
    <row r="11">
      <c r="A11">
        <f>'P0-4_Required_Maturity'!A11</f>
        <v/>
      </c>
      <c r="B11" t="n">
        <v>1</v>
      </c>
      <c r="C11">
        <f>'P0-4_Required_Maturity'!K11</f>
        <v/>
      </c>
      <c r="D11">
        <f>ROUND(B11*C11,0)</f>
        <v/>
      </c>
      <c r="E11" t="inlineStr">
        <is>
          <t>Use the minimum proportionate sample needed to triangulate claims; do not lower maturity standards for constrained resources.</t>
        </is>
      </c>
      <c r="F11" t="inlineStr">
        <is>
          <t>Resource envelope affects evidence burden, not required maturity.</t>
        </is>
      </c>
    </row>
    <row r="12">
      <c r="A12">
        <f>'P0-4_Required_Maturity'!A12</f>
        <v/>
      </c>
      <c r="B12" t="n">
        <v>1</v>
      </c>
      <c r="C12">
        <f>'P0-4_Required_Maturity'!K12</f>
        <v/>
      </c>
      <c r="D12">
        <f>ROUND(B12*C12,0)</f>
        <v/>
      </c>
      <c r="E12" t="inlineStr">
        <is>
          <t>Use the minimum proportionate sample needed to triangulate claims; do not lower maturity standards for constrained resources.</t>
        </is>
      </c>
      <c r="F12" t="inlineStr">
        <is>
          <t>Resource envelope affects evidence burden, not required maturity.</t>
        </is>
      </c>
    </row>
  </sheetData>
  <autoFilter ref="A1:F12"/>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5" t="inlineStr">
        <is>
          <t>Rule</t>
        </is>
      </c>
      <c r="B1" s="15" t="inlineStr">
        <is>
          <t>Operational specification</t>
        </is>
      </c>
    </row>
    <row r="2">
      <c r="A2" t="inlineStr">
        <is>
          <t>N/A gate</t>
        </is>
      </c>
      <c r="B2" t="inlineStr">
        <is>
          <t>Metric may be N/A only where genuine mandate/context inapplicability is documented and assessor-approved.</t>
        </is>
      </c>
    </row>
    <row r="3">
      <c r="A3" t="inlineStr">
        <is>
          <t>Missing evidence</t>
        </is>
      </c>
      <c r="B3" t="inlineStr">
        <is>
          <t>Missing evidence is never N/A. Record missing/low-confidence and keep denominator rules fixed.</t>
        </is>
      </c>
    </row>
    <row r="4">
      <c r="A4" t="inlineStr">
        <is>
          <t>Context effect</t>
        </is>
      </c>
      <c r="B4" t="inlineStr">
        <is>
          <t>Context may alter branching, sampling and required maturity; it cannot grant score points.</t>
        </is>
      </c>
    </row>
    <row r="5">
      <c r="A5" t="inlineStr">
        <is>
          <t>Professional consequence</t>
        </is>
      </c>
      <c r="B5" t="inlineStr">
        <is>
          <t>Regulated/high-consequence disciplines may require higher maturity even when institutional resources are constrained.</t>
        </is>
      </c>
    </row>
    <row r="6">
      <c r="A6" t="inlineStr">
        <is>
          <t>Institution type</t>
        </is>
      </c>
      <c r="B6" t="inlineStr">
        <is>
          <t>Institution type informs mandate and proportionality; it does not create a blanket bonus or penalty.</t>
        </is>
      </c>
    </row>
    <row r="7">
      <c r="A7" t="inlineStr">
        <is>
          <t>Trajectory</t>
        </is>
      </c>
      <c r="B7" t="inlineStr">
        <is>
          <t>Rapid transformation/high-growth increases required maturity pressure in D01/D04/D09/D11 and relevant domains.</t>
        </is>
      </c>
    </row>
    <row r="8">
      <c r="A8" t="inlineStr">
        <is>
          <t>Resource protection</t>
        </is>
      </c>
      <c r="B8" t="inlineStr">
        <is>
          <t>Resource constraints reduce evidence burden only where sampling can remain valid; they never reduce the construct standard.</t>
        </is>
      </c>
    </row>
    <row r="9">
      <c r="A9" t="inlineStr">
        <is>
          <t>Assessor override</t>
        </is>
      </c>
      <c r="B9" t="inlineStr">
        <is>
          <t>Any override must include reason, evidence, date, assessor and second-review status.</t>
        </is>
      </c>
    </row>
  </sheetData>
  <autoFilter ref="A1:B9"/>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70" customWidth="1" min="3" max="3"/>
    <col width="75" customWidth="1" min="4" max="4"/>
    <col width="18" customWidth="1" min="5" max="5"/>
  </cols>
  <sheetData>
    <row r="1">
      <c r="A1" s="15" t="n"/>
      <c r="B1" s="15" t="n"/>
      <c r="C1" s="15" t="n"/>
      <c r="D1" s="15" t="n"/>
      <c r="E1" s="15" t="n"/>
    </row>
    <row r="2">
      <c r="A2" t="inlineStr">
        <is>
          <t>S01</t>
        </is>
      </c>
      <c r="B2" t="inlineStr">
        <is>
          <t>AI exposure Low → Critical</t>
        </is>
      </c>
      <c r="C2" t="inlineStr">
        <is>
          <t>Required maturity rises, strongest in D02/D07/D08</t>
        </is>
      </c>
      <c r="D2" t="inlineStr">
        <is>
          <t>Recalculate all 11 domains; inspect ranking of transformation priorities</t>
        </is>
      </c>
      <c r="E2" t="inlineStr">
        <is>
          <t>PENDING PILOT</t>
        </is>
      </c>
    </row>
    <row r="3">
      <c r="A3" t="inlineStr">
        <is>
          <t>S02</t>
        </is>
      </c>
      <c r="B3" t="inlineStr">
        <is>
          <t>Consequence Low → Critical</t>
        </is>
      </c>
      <c r="C3" t="inlineStr">
        <is>
          <t>Required maturity rises, strongest in D02/D04/D07/D10</t>
        </is>
      </c>
      <c r="D3" t="inlineStr">
        <is>
          <t>Check regulated/professional disciplines do not receive score bonus</t>
        </is>
      </c>
      <c r="E3" t="inlineStr">
        <is>
          <t>PENDING PILOT</t>
        </is>
      </c>
    </row>
    <row r="4">
      <c r="A4" t="inlineStr">
        <is>
          <t>S03</t>
        </is>
      </c>
      <c r="B4" t="inlineStr">
        <is>
          <t>Stable → Transforming</t>
        </is>
      </c>
      <c r="C4" t="inlineStr">
        <is>
          <t>Required maturity pressure rises in D01/D04/D09/D11</t>
        </is>
      </c>
      <c r="D4" t="inlineStr">
        <is>
          <t>Check priority ordering is interpretable</t>
        </is>
      </c>
      <c r="E4" t="inlineStr">
        <is>
          <t>PENDING PILOT</t>
        </is>
      </c>
    </row>
    <row r="5">
      <c r="A5" t="inlineStr">
        <is>
          <t>S04</t>
        </is>
      </c>
      <c r="B5" t="inlineStr">
        <is>
          <t>Resources Constrained → High</t>
        </is>
      </c>
      <c r="C5" t="inlineStr">
        <is>
          <t>Evidence burden changes; required maturity must not fall</t>
        </is>
      </c>
      <c r="D5" t="inlineStr">
        <is>
          <t>Check target invariance</t>
        </is>
      </c>
      <c r="E5" t="inlineStr">
        <is>
          <t>PENDING PILOT</t>
        </is>
      </c>
    </row>
    <row r="6">
      <c r="A6" t="inlineStr">
        <is>
          <t>S05</t>
        </is>
      </c>
      <c r="B6" t="inlineStr">
        <is>
          <t>Teaching-intensive → Research-intensive</t>
        </is>
      </c>
      <c r="C6" t="inlineStr">
        <is>
          <t>Mandate pressure shifts toward D01/D10 and related domains</t>
        </is>
      </c>
      <c r="D6" t="inlineStr">
        <is>
          <t>Check domain relevance without double-counting</t>
        </is>
      </c>
      <c r="E6" t="inlineStr">
        <is>
          <t>PENDING PILOT</t>
        </is>
      </c>
    </row>
    <row r="7">
      <c r="A7" t="inlineStr">
        <is>
          <t>S06</t>
        </is>
      </c>
      <c r="B7" t="inlineStr">
        <is>
          <t>N/A usage increases</t>
        </is>
      </c>
      <c r="C7" t="inlineStr">
        <is>
          <t>Applicable denominator shrinks only where genuine</t>
        </is>
      </c>
      <c r="D7" t="inlineStr">
        <is>
          <t>Check no score inflation</t>
        </is>
      </c>
      <c r="E7" t="inlineStr">
        <is>
          <t>PENDING PILOT</t>
        </is>
      </c>
    </row>
  </sheetData>
  <autoFilter ref="A1:E7"/>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5" customWidth="1" min="3" max="3"/>
    <col width="20" customWidth="1" min="4" max="4"/>
    <col width="22" customWidth="1" min="5" max="5"/>
  </cols>
  <sheetData>
    <row r="1">
      <c r="A1" s="15" t="n"/>
      <c r="B1" s="15" t="n"/>
      <c r="C1" s="15" t="n"/>
      <c r="D1" s="15" t="n"/>
      <c r="E1" s="15" t="n"/>
    </row>
    <row r="2">
      <c r="A2" t="inlineStr">
        <is>
          <t>P0-4-G01</t>
        </is>
      </c>
      <c r="B2" t="inlineStr">
        <is>
          <t>Context inputs defined</t>
        </is>
      </c>
      <c r="C2" t="inlineStr">
        <is>
          <t>All required context variables have controlled values</t>
        </is>
      </c>
      <c r="D2" t="inlineStr">
        <is>
          <t>PASS</t>
        </is>
      </c>
      <c r="E2" t="inlineStr">
        <is>
          <t>Methodology owner</t>
        </is>
      </c>
    </row>
    <row r="3">
      <c r="A3" t="inlineStr">
        <is>
          <t>P0-4-G02</t>
        </is>
      </c>
      <c r="B3" t="inlineStr">
        <is>
          <t>Required maturity algorithm executable</t>
        </is>
      </c>
      <c r="C3" t="inlineStr">
        <is>
          <t>All 11 domains calculate R from mandate/exposure/consequence/trajectory</t>
        </is>
      </c>
      <c r="D3" t="inlineStr">
        <is>
          <t>PASS</t>
        </is>
      </c>
      <c r="E3" t="inlineStr">
        <is>
          <t>Methodology owner</t>
        </is>
      </c>
    </row>
    <row r="4">
      <c r="A4" t="inlineStr">
        <is>
          <t>P0-4-G03</t>
        </is>
      </c>
      <c r="B4" t="inlineStr">
        <is>
          <t>Resources do not lower target</t>
        </is>
      </c>
      <c r="C4" t="inlineStr">
        <is>
          <t>Resource envelope changes evidence burden only</t>
        </is>
      </c>
      <c r="D4" t="inlineStr">
        <is>
          <t>PASS</t>
        </is>
      </c>
      <c r="E4" t="inlineStr">
        <is>
          <t>Methodology owner</t>
        </is>
      </c>
    </row>
    <row r="5">
      <c r="A5" t="inlineStr">
        <is>
          <t>P0-4-G04</t>
        </is>
      </c>
      <c r="B5" t="inlineStr">
        <is>
          <t>No score bonus</t>
        </is>
      </c>
      <c r="C5" t="inlineStr">
        <is>
          <t>Context formulas do not modify metric capability score directly</t>
        </is>
      </c>
      <c r="D5" t="inlineStr">
        <is>
          <t>PASS</t>
        </is>
      </c>
      <c r="E5" t="inlineStr">
        <is>
          <t>Methodology owner</t>
        </is>
      </c>
    </row>
    <row r="6">
      <c r="A6" t="inlineStr">
        <is>
          <t>P0-4-G05</t>
        </is>
      </c>
      <c r="B6" t="inlineStr">
        <is>
          <t>N/A protection</t>
        </is>
      </c>
      <c r="C6" t="inlineStr">
        <is>
          <t>Missing evidence cannot become N/A through context</t>
        </is>
      </c>
      <c r="D6" t="inlineStr">
        <is>
          <t>PASS</t>
        </is>
      </c>
      <c r="E6" t="inlineStr">
        <is>
          <t>Assessor lead</t>
        </is>
      </c>
    </row>
    <row r="7">
      <c r="A7" t="inlineStr">
        <is>
          <t>P0-4-G06</t>
        </is>
      </c>
      <c r="B7" t="inlineStr">
        <is>
          <t>Transformation distance linked</t>
        </is>
      </c>
      <c r="C7" t="inlineStr">
        <is>
          <t>Scorecard/domain gap references context-derived R</t>
        </is>
      </c>
      <c r="D7" t="inlineStr">
        <is>
          <t>PASS</t>
        </is>
      </c>
      <c r="E7" t="inlineStr">
        <is>
          <t>Engine owner</t>
        </is>
      </c>
    </row>
    <row r="8">
      <c r="A8" t="inlineStr">
        <is>
          <t>P0-4-G07</t>
        </is>
      </c>
      <c r="B8" t="inlineStr">
        <is>
          <t>Sensitivity validated</t>
        </is>
      </c>
      <c r="C8" t="inlineStr">
        <is>
          <t>Scenario tests stable and interpretable</t>
        </is>
      </c>
      <c r="D8" t="inlineStr">
        <is>
          <t>PENDING PILOT</t>
        </is>
      </c>
      <c r="E8" t="inlineStr">
        <is>
          <t>Validation lead</t>
        </is>
      </c>
    </row>
    <row r="9">
      <c r="A9" t="inlineStr">
        <is>
          <t>P0-4-G08</t>
        </is>
      </c>
      <c r="B9" t="inlineStr">
        <is>
          <t>Known-groups validation</t>
        </is>
      </c>
      <c r="C9" t="inlineStr">
        <is>
          <t>Required maturity behaves as expected across institution types/mandates</t>
        </is>
      </c>
      <c r="D9" t="inlineStr">
        <is>
          <t>PENDING PILOT</t>
        </is>
      </c>
      <c r="E9" t="inlineStr">
        <is>
          <t>Validation lead</t>
        </is>
      </c>
    </row>
    <row r="10">
      <c r="A10" t="inlineStr">
        <is>
          <t>P0-4-G09</t>
        </is>
      </c>
      <c r="B10" t="inlineStr">
        <is>
          <t>Assessor calibration</t>
        </is>
      </c>
      <c r="C10" t="inlineStr">
        <is>
          <t>Inter-rater agreement acceptable on context inputs</t>
        </is>
      </c>
      <c r="D10" t="inlineStr">
        <is>
          <t>PENDING PILOT</t>
        </is>
      </c>
      <c r="E10" t="inlineStr">
        <is>
          <t>Calibration lead</t>
        </is>
      </c>
    </row>
    <row r="11">
      <c r="A11" t="inlineStr">
        <is>
          <t>P0-4-G10</t>
        </is>
      </c>
      <c r="B11" t="inlineStr">
        <is>
          <t>Public release</t>
        </is>
      </c>
      <c r="C11" t="inlineStr">
        <is>
          <t>P0-4 empirical gates passed before public benchmark use</t>
        </is>
      </c>
      <c r="D11" t="inlineStr">
        <is>
          <t>BLOCKED</t>
        </is>
      </c>
      <c r="E11" t="inlineStr">
        <is>
          <t>Governance</t>
        </is>
      </c>
    </row>
  </sheetData>
  <autoFilter ref="A1:E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2" t="inlineStr">
        <is>
          <t>P0-4 CONTEXT CALIBRATION &amp; REQUIRED MATURITY METHODOLOGY</t>
        </is>
      </c>
    </row>
    <row r="2">
      <c r="A2" s="13" t="inlineStr">
        <is>
          <t>Core equation</t>
        </is>
      </c>
      <c r="B2" t="inlineStr">
        <is>
          <t>R_d = clamp(round(B_d + F_mandate,d + F_AI,d + F_consequence,d + F_trajectory,d), 1, 5).</t>
        </is>
      </c>
    </row>
    <row r="3">
      <c r="A3" s="13" t="inlineStr">
        <is>
          <t>Baseline</t>
        </is>
      </c>
      <c r="B3" t="inlineStr">
        <is>
          <t>B_d = 3 for all domains at this provisional stage; domain-specific baselines remain subject to pilot validation.</t>
        </is>
      </c>
    </row>
    <row r="4">
      <c r="A4" s="13" t="inlineStr">
        <is>
          <t>Mandate factor</t>
        </is>
      </c>
      <c r="B4" t="inlineStr">
        <is>
          <t>Derived from institution mandate level × domain mandate sensitivity.</t>
        </is>
      </c>
    </row>
    <row r="5">
      <c r="A5" s="13" t="inlineStr">
        <is>
          <t>AI exposure factor</t>
        </is>
      </c>
      <c r="B5" t="inlineStr">
        <is>
          <t>Derived from AI exposure level × domain AI-exposure sensitivity.</t>
        </is>
      </c>
    </row>
    <row r="6">
      <c r="A6" s="13" t="inlineStr">
        <is>
          <t>Consequence factor</t>
        </is>
      </c>
      <c r="B6" t="inlineStr">
        <is>
          <t>Derived from disciplinary consequence level × domain consequence sensitivity.</t>
        </is>
      </c>
    </row>
    <row r="7">
      <c r="A7" s="13" t="inlineStr">
        <is>
          <t>Trajectory factor</t>
        </is>
      </c>
      <c r="B7" t="inlineStr">
        <is>
          <t>Derived from institutional trajectory × domain trajectory sensitivity.</t>
        </is>
      </c>
    </row>
    <row r="8">
      <c r="A8" s="13" t="inlineStr">
        <is>
          <t>Resources</t>
        </is>
      </c>
      <c r="B8" t="inlineStr">
        <is>
          <t>Resource envelope changes evidence burden multiplier only; it does not reduce required maturity.</t>
        </is>
      </c>
    </row>
    <row r="9">
      <c r="A9" s="13" t="inlineStr">
        <is>
          <t>Institution type</t>
        </is>
      </c>
      <c r="B9" t="inlineStr">
        <is>
          <t>Institution type informs mandate interpretation and assessor branching; no automatic score bonus/penalty.</t>
        </is>
      </c>
    </row>
    <row r="10">
      <c r="A10" s="13" t="inlineStr">
        <is>
          <t>Scale/geography/student profile</t>
        </is>
      </c>
      <c r="B10" t="inlineStr">
        <is>
          <t>Used for proportional sampling, contextual examples and evidence design; not direct score modifiers.</t>
        </is>
      </c>
    </row>
    <row r="11">
      <c r="A11" s="13" t="inlineStr">
        <is>
          <t>Required maturity meaning</t>
        </is>
      </c>
      <c r="B11" t="inlineStr">
        <is>
          <t>R is the institution-appropriate maturity expectation, not a claim that every institution must be at level 5.</t>
        </is>
      </c>
    </row>
    <row r="12">
      <c r="A12" s="13" t="inlineStr">
        <is>
          <t>Transformation distance</t>
        </is>
      </c>
      <c r="B12" t="inlineStr">
        <is>
          <t>T_d = R_d − current maturity proxy. Positive T indicates priority for transformation.</t>
        </is>
      </c>
    </row>
    <row r="13">
      <c r="A13" s="13" t="inlineStr">
        <is>
          <t>No penalty rule</t>
        </is>
      </c>
      <c r="B13" t="inlineStr">
        <is>
          <t>A high R does not subtract points from the capability score. It changes diagnostic priority and target state.</t>
        </is>
      </c>
    </row>
    <row r="14">
      <c r="A14" s="13" t="inlineStr">
        <is>
          <t>Governance</t>
        </is>
      </c>
      <c r="B14" t="inlineStr">
        <is>
          <t>Context selections require assessor rationale; overrides require second review; methodology remains provisional until validation.</t>
        </is>
      </c>
    </row>
    <row r="15">
      <c r="A15" s="13" t="inlineStr">
        <is>
          <t>Public status</t>
        </is>
      </c>
      <c r="B15" t="inlineStr">
        <is>
          <t>Diagnostic/provisional. No public ranking, certification or benchmark release until P0-3/P0-4 validation gates pass.</t>
        </is>
      </c>
    </row>
  </sheetData>
  <mergeCells count="1">
    <mergeCell ref="A1:B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60" customWidth="1" min="3" max="3"/>
    <col width="65" customWidth="1" min="4" max="4"/>
    <col width="18" customWidth="1" min="5" max="5"/>
  </cols>
  <sheetData>
    <row r="1">
      <c r="A1" s="15" t="n"/>
      <c r="B1" s="15" t="n"/>
      <c r="C1" s="15" t="n"/>
      <c r="D1" s="15" t="n"/>
      <c r="E1" s="15" t="n"/>
    </row>
    <row r="2">
      <c r="A2" t="inlineStr">
        <is>
          <t>P0-4.1</t>
        </is>
      </c>
      <c r="B2" t="inlineStr">
        <is>
          <t>Added controlled Context Profile</t>
        </is>
      </c>
      <c r="C2" t="inlineStr">
        <is>
          <t>Operationalise context variables</t>
        </is>
      </c>
      <c r="D2" t="inlineStr">
        <is>
          <t>Creates auditable institution-specific inputs</t>
        </is>
      </c>
      <c r="E2" t="inlineStr">
        <is>
          <t>DONE</t>
        </is>
      </c>
    </row>
    <row r="3">
      <c r="A3" t="inlineStr">
        <is>
          <t>P0-4.2</t>
        </is>
      </c>
      <c r="B3" t="inlineStr">
        <is>
          <t>Added Required Maturity engine for all D01–D11</t>
        </is>
      </c>
      <c r="C3" t="inlineStr">
        <is>
          <t>Move from fixed baseline to institution-specific target</t>
        </is>
      </c>
      <c r="D3" t="inlineStr">
        <is>
          <t>Required Maturity R becomes context-sensitive</t>
        </is>
      </c>
      <c r="E3" t="inlineStr">
        <is>
          <t>DONE</t>
        </is>
      </c>
    </row>
    <row r="4">
      <c r="A4" t="inlineStr">
        <is>
          <t>P0-4.3</t>
        </is>
      </c>
      <c r="B4" t="inlineStr">
        <is>
          <t>Linked transformation distance to context-derived R</t>
        </is>
      </c>
      <c r="C4" t="inlineStr">
        <is>
          <t>Make diagnosis actionable</t>
        </is>
      </c>
      <c r="D4" t="inlineStr">
        <is>
          <t>Positive gap becomes transformation priority</t>
        </is>
      </c>
      <c r="E4" t="inlineStr">
        <is>
          <t>DONE</t>
        </is>
      </c>
    </row>
    <row r="5">
      <c r="A5" t="inlineStr">
        <is>
          <t>P0-4.4</t>
        </is>
      </c>
      <c r="B5" t="inlineStr">
        <is>
          <t>Separated resource effect from maturity target</t>
        </is>
      </c>
      <c r="C5" t="inlineStr">
        <is>
          <t>Prevent resource bias</t>
        </is>
      </c>
      <c r="D5" t="inlineStr">
        <is>
          <t>Resources affect evidence burden only</t>
        </is>
      </c>
      <c r="E5" t="inlineStr">
        <is>
          <t>DONE</t>
        </is>
      </c>
    </row>
    <row r="6">
      <c r="A6" t="inlineStr">
        <is>
          <t>P0-4.5</t>
        </is>
      </c>
      <c r="B6" t="inlineStr">
        <is>
          <t>Added sensitivity/acceptance gates</t>
        </is>
      </c>
      <c r="C6" t="inlineStr">
        <is>
          <t>Prevent premature freeze</t>
        </is>
      </c>
      <c r="D6" t="inlineStr">
        <is>
          <t>Empirical validation remains required</t>
        </is>
      </c>
      <c r="E6" t="inlineStr">
        <is>
          <t>DONE</t>
        </is>
      </c>
    </row>
  </sheetData>
  <autoFilter ref="A1:E6"/>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4" customWidth="1" min="4" max="4"/>
    <col width="24" customWidth="1" min="5" max="5"/>
    <col width="34" customWidth="1" min="6" max="6"/>
    <col width="65" customWidth="1" min="7" max="7"/>
    <col width="30" customWidth="1" min="8" max="8"/>
    <col width="48" customWidth="1" min="9" max="9"/>
  </cols>
  <sheetData>
    <row r="1">
      <c r="A1" s="17" t="inlineStr">
        <is>
          <t>Rule ID</t>
        </is>
      </c>
      <c r="B1" s="17" t="inlineStr">
        <is>
          <t>From Domain</t>
        </is>
      </c>
      <c r="C1" s="17" t="inlineStr">
        <is>
          <t>To Domain</t>
        </is>
      </c>
      <c r="D1" s="17" t="inlineStr">
        <is>
          <t>Relationship</t>
        </is>
      </c>
      <c r="E1" s="17" t="inlineStr">
        <is>
          <t>Source Metric Scope</t>
        </is>
      </c>
      <c r="F1" s="17" t="inlineStr">
        <is>
          <t>Target Metric Scope</t>
        </is>
      </c>
      <c r="G1" s="17" t="inlineStr">
        <is>
          <t>Trigger Logic</t>
        </is>
      </c>
      <c r="H1" s="17" t="inlineStr">
        <is>
          <t>Required Action</t>
        </is>
      </c>
      <c r="I1" s="17" t="inlineStr">
        <is>
          <t>Scoring Protection</t>
        </is>
      </c>
    </row>
    <row r="2">
      <c r="A2" s="18" t="inlineStr">
        <is>
          <t>CD01</t>
        </is>
      </c>
      <c r="B2" s="18" t="inlineStr">
        <is>
          <t>D01</t>
        </is>
      </c>
      <c r="C2" s="18" t="inlineStr">
        <is>
          <t>D03</t>
        </is>
      </c>
      <c r="D2" s="18" t="inlineStr">
        <is>
          <t>Strategic priority → human capability</t>
        </is>
      </c>
      <c r="E2" s="18" t="inlineStr">
        <is>
          <t>D01 I01/I03</t>
        </is>
      </c>
      <c r="F2" s="18" t="inlineStr">
        <is>
          <t>D03 I01/I02/I05/I07/I15/I16</t>
        </is>
      </c>
      <c r="G2" s="18" t="inlineStr">
        <is>
          <t>If D01 strategic AI/future direction is strong but linked D03 capability architecture is weak, flag strategy-to-capability disconnect.</t>
        </is>
      </c>
      <c r="H2" s="18" t="inlineStr">
        <is>
          <t>D03 deep-dive</t>
        </is>
      </c>
      <c r="I2" s="18" t="inlineStr">
        <is>
          <t>No D01 score uplift from strategic statements.</t>
        </is>
      </c>
    </row>
    <row r="3">
      <c r="A3" s="18" t="inlineStr">
        <is>
          <t>CD02</t>
        </is>
      </c>
      <c r="B3" s="18" t="inlineStr">
        <is>
          <t>D01</t>
        </is>
      </c>
      <c r="C3" s="18" t="inlineStr">
        <is>
          <t>D02</t>
        </is>
      </c>
      <c r="D3" s="18" t="inlineStr">
        <is>
          <t>AI direction → governance coverage</t>
        </is>
      </c>
      <c r="E3" s="18" t="inlineStr">
        <is>
          <t>D01 I01/I06/I09</t>
        </is>
      </c>
      <c r="F3" s="18" t="inlineStr">
        <is>
          <t>D02 I01/I03/I07/I13</t>
        </is>
      </c>
      <c r="G3" s="18" t="inlineStr">
        <is>
          <t>If consequential AI activity/experimentation is strong while governance/risk controls are weak, flag governance exposure.</t>
        </is>
      </c>
      <c r="H3" s="18" t="inlineStr">
        <is>
          <t>Governance review</t>
        </is>
      </c>
      <c r="I3" s="18" t="inlineStr">
        <is>
          <t>Do not compensate D02 weakness with D01 maturity.</t>
        </is>
      </c>
    </row>
    <row r="4">
      <c r="A4" s="18" t="inlineStr">
        <is>
          <t>CD03</t>
        </is>
      </c>
      <c r="B4" s="18" t="inlineStr">
        <is>
          <t>D01</t>
        </is>
      </c>
      <c r="C4" s="18" t="inlineStr">
        <is>
          <t>D04</t>
        </is>
      </c>
      <c r="D4" s="18" t="inlineStr">
        <is>
          <t>Portfolio foresight → programme response</t>
        </is>
      </c>
      <c r="E4" s="18" t="inlineStr">
        <is>
          <t>D01 I02/I04/I06/I10</t>
        </is>
      </c>
      <c r="F4" s="18" t="inlineStr">
        <is>
          <t>D04 I01/I03/I05/I08/I12</t>
        </is>
      </c>
      <c r="G4" s="18" t="inlineStr">
        <is>
          <t>If institutional foresight is strong but programme review/change is weak, flag strategy-to-portfolio execution gap.</t>
        </is>
      </c>
      <c r="H4" s="18" t="inlineStr">
        <is>
          <t>Programme portfolio review</t>
        </is>
      </c>
      <c r="I4" s="18" t="inlineStr">
        <is>
          <t>Same review event cannot score both domains.</t>
        </is>
      </c>
    </row>
    <row r="5">
      <c r="A5" s="18" t="inlineStr">
        <is>
          <t>CD04</t>
        </is>
      </c>
      <c r="B5" s="18" t="inlineStr">
        <is>
          <t>D01</t>
        </is>
      </c>
      <c r="C5" s="18" t="inlineStr">
        <is>
          <t>D11</t>
        </is>
      </c>
      <c r="D5" s="18" t="inlineStr">
        <is>
          <t>Strategy → adaptation</t>
        </is>
      </c>
      <c r="E5" s="18" t="inlineStr">
        <is>
          <t>D01 I02/I03/I10</t>
        </is>
      </c>
      <c r="F5" s="18" t="inlineStr">
        <is>
          <t>D11 I01/I02/I06/I13/I14</t>
        </is>
      </c>
      <c r="G5" s="18" t="inlineStr">
        <is>
          <t>If strategy claims continuous learning but adaptation/learning mechanisms are weak, flag unsupported strategic adaptability claim.</t>
        </is>
      </c>
      <c r="H5" s="18" t="inlineStr">
        <is>
          <t>Adaptation review</t>
        </is>
      </c>
      <c r="I5" s="18" t="inlineStr">
        <is>
          <t>D11 remains a distinct meta-capability.</t>
        </is>
      </c>
    </row>
    <row r="6">
      <c r="A6" s="18" t="inlineStr">
        <is>
          <t>CD05</t>
        </is>
      </c>
      <c r="B6" s="18" t="inlineStr">
        <is>
          <t>D02</t>
        </is>
      </c>
      <c r="C6" s="18" t="inlineStr">
        <is>
          <t>D07</t>
        </is>
      </c>
      <c r="D6" s="18" t="inlineStr">
        <is>
          <t>Assessment governance → assessment practice</t>
        </is>
      </c>
      <c r="E6" s="18" t="inlineStr">
        <is>
          <t>D02 I05/I06/I07/I09</t>
        </is>
      </c>
      <c r="F6" s="18" t="inlineStr">
        <is>
          <t>D07 I01/I04/I05/I10/I12</t>
        </is>
      </c>
      <c r="G6" s="18" t="inlineStr">
        <is>
          <t>If assessment governance is strong but actual assessment design/evidence is weak, flag policy-to-practice gap.</t>
        </is>
      </c>
      <c r="H6" s="18" t="inlineStr">
        <is>
          <t>Assessment architecture review</t>
        </is>
      </c>
      <c r="I6" s="18" t="inlineStr">
        <is>
          <t>Governance policy cannot generate D07 maturity.</t>
        </is>
      </c>
    </row>
    <row r="7">
      <c r="A7" s="18" t="inlineStr">
        <is>
          <t>CD06</t>
        </is>
      </c>
      <c r="B7" s="18" t="inlineStr">
        <is>
          <t>D02</t>
        </is>
      </c>
      <c r="C7" s="18" t="inlineStr">
        <is>
          <t>D08</t>
        </is>
      </c>
      <c r="D7" s="18" t="inlineStr">
        <is>
          <t>Governance controls → technical implementation</t>
        </is>
      </c>
      <c r="E7" s="18" t="inlineStr">
        <is>
          <t>D02 I03/I04/I07/I10</t>
        </is>
      </c>
      <c r="F7" s="18" t="inlineStr">
        <is>
          <t>D08 I02/I03/I07/I08/I10</t>
        </is>
      </c>
      <c r="G7" s="18" t="inlineStr">
        <is>
          <t>If governance requires controls that digital/data implementation cannot evidence, flag control implementation gap.</t>
        </is>
      </c>
      <c r="H7" s="18" t="inlineStr">
        <is>
          <t>Digital control review</t>
        </is>
      </c>
      <c r="I7" s="18" t="inlineStr">
        <is>
          <t>Policy/control and technical implementation scored separately.</t>
        </is>
      </c>
    </row>
    <row r="8">
      <c r="A8" s="18" t="inlineStr">
        <is>
          <t>CD07</t>
        </is>
      </c>
      <c r="B8" s="18" t="inlineStr">
        <is>
          <t>D02</t>
        </is>
      </c>
      <c r="C8" s="18" t="inlineStr">
        <is>
          <t>D10</t>
        </is>
      </c>
      <c r="D8" s="18" t="inlineStr">
        <is>
          <t>Research governance → research practice</t>
        </is>
      </c>
      <c r="E8" s="18" t="inlineStr">
        <is>
          <t>D02 I12/I13/I14</t>
        </is>
      </c>
      <c r="F8" s="18" t="inlineStr">
        <is>
          <t>D10 I04/I06/I12/I13</t>
        </is>
      </c>
      <c r="G8" s="18" t="inlineStr">
        <is>
          <t>If research AI governance is strong but responsible research practice/evidence is weak, flag governance-to-practice gap.</t>
        </is>
      </c>
      <c r="H8" s="18" t="inlineStr">
        <is>
          <t>Research governance review</t>
        </is>
      </c>
      <c r="I8" s="18" t="inlineStr">
        <is>
          <t>No duplicate scoring of policy and practice.</t>
        </is>
      </c>
    </row>
    <row r="9">
      <c r="A9" s="18" t="inlineStr">
        <is>
          <t>CD08</t>
        </is>
      </c>
      <c r="B9" s="18" t="inlineStr">
        <is>
          <t>D03</t>
        </is>
      </c>
      <c r="C9" s="18" t="inlineStr">
        <is>
          <t>D04</t>
        </is>
      </c>
      <c r="D9" s="18" t="inlineStr">
        <is>
          <t>Capability architecture → curriculum operationalisation</t>
        </is>
      </c>
      <c r="E9" s="18" t="inlineStr">
        <is>
          <t>D03 I01/I02/I05/I07/I16/I17</t>
        </is>
      </c>
      <c r="F9" s="18" t="inlineStr">
        <is>
          <t>D04 I02/I04/I07/I11</t>
        </is>
      </c>
      <c r="G9" s="18" t="inlineStr">
        <is>
          <t>If target human capabilities are strong but programmes do not operationalise them, flag capability-to-curriculum gap.</t>
        </is>
      </c>
      <c r="H9" s="18" t="inlineStr">
        <is>
          <t>Curriculum mapping review</t>
        </is>
      </c>
      <c r="I9" s="18" t="inlineStr">
        <is>
          <t>D03 owns capability target; D04 owns programme implementation.</t>
        </is>
      </c>
    </row>
    <row r="10">
      <c r="A10" s="18" t="inlineStr">
        <is>
          <t>CD09</t>
        </is>
      </c>
      <c r="B10" s="18" t="inlineStr">
        <is>
          <t>D03</t>
        </is>
      </c>
      <c r="C10" s="18" t="inlineStr">
        <is>
          <t>D06</t>
        </is>
      </c>
      <c r="D10" s="18" t="inlineStr">
        <is>
          <t>Institutional capability intent → student reality</t>
        </is>
      </c>
      <c r="E10" s="18" t="inlineStr">
        <is>
          <t>D03 I02/I05/I08/I15/I16</t>
        </is>
      </c>
      <c r="F10" s="18" t="inlineStr">
        <is>
          <t>D06 I02/I03/I04/I10/I14</t>
        </is>
      </c>
      <c r="G10" s="18" t="inlineStr">
        <is>
          <t>If institutional capability architecture is strong but student agency/transfer evidence is weak, flag intent-to-experience gap.</t>
        </is>
      </c>
      <c r="H10" s="18" t="inlineStr">
        <is>
          <t>Student capability review</t>
        </is>
      </c>
      <c r="I10" s="18" t="inlineStr">
        <is>
          <t>Student evidence does not automatically raise D03.</t>
        </is>
      </c>
    </row>
    <row r="11">
      <c r="A11" s="18" t="inlineStr">
        <is>
          <t>CD10</t>
        </is>
      </c>
      <c r="B11" s="18" t="inlineStr">
        <is>
          <t>D03</t>
        </is>
      </c>
      <c r="C11" s="18" t="inlineStr">
        <is>
          <t>D07</t>
        </is>
      </c>
      <c r="D11" s="18" t="inlineStr">
        <is>
          <t>Capability target → proof of capability</t>
        </is>
      </c>
      <c r="E11" s="18" t="inlineStr">
        <is>
          <t>D03 I02/I05/I07/I16</t>
        </is>
      </c>
      <c r="F11" s="18" t="inlineStr">
        <is>
          <t>D07 I02/I03/I05/I07/I08</t>
        </is>
      </c>
      <c r="G11" s="18" t="inlineStr">
        <is>
          <t>If target capabilities are explicit but assessments cannot demonstrate them, flag capability-proof gap.</t>
        </is>
      </c>
      <c r="H11" s="18" t="inlineStr">
        <is>
          <t>Assessment alignment review</t>
        </is>
      </c>
      <c r="I11" s="18" t="inlineStr">
        <is>
          <t>D03 defines target; D07 verifies it.</t>
        </is>
      </c>
    </row>
    <row r="12">
      <c r="A12" s="18" t="inlineStr">
        <is>
          <t>CD11</t>
        </is>
      </c>
      <c r="B12" s="18" t="inlineStr">
        <is>
          <t>D04</t>
        </is>
      </c>
      <c r="C12" s="18" t="inlineStr">
        <is>
          <t>D07</t>
        </is>
      </c>
      <c r="D12" s="18" t="inlineStr">
        <is>
          <t>Future curriculum → assessment evidence</t>
        </is>
      </c>
      <c r="E12" s="18" t="inlineStr">
        <is>
          <t>D04 I02/I04/I05/I08/I12</t>
        </is>
      </c>
      <c r="F12" s="18" t="inlineStr">
        <is>
          <t>D07 I01/I02/I04/I07/I08</t>
        </is>
      </c>
      <c r="G12" s="18" t="inlineStr">
        <is>
          <t>If programme redesign is strong but assessment remains answer-production oriented, flag curriculum-assessment disconnect.</t>
        </is>
      </c>
      <c r="H12" s="18" t="inlineStr">
        <is>
          <t>Assessment redesign</t>
        </is>
      </c>
      <c r="I12" s="18" t="inlineStr">
        <is>
          <t>No D04 uplift from assessment activity.</t>
        </is>
      </c>
    </row>
    <row r="13">
      <c r="A13" s="18" t="inlineStr">
        <is>
          <t>CD12</t>
        </is>
      </c>
      <c r="B13" s="18" t="inlineStr">
        <is>
          <t>D05</t>
        </is>
      </c>
      <c r="C13" s="18" t="inlineStr">
        <is>
          <t>D07</t>
        </is>
      </c>
      <c r="D13" s="18" t="inlineStr">
        <is>
          <t>Faculty redesign capability → assessment change</t>
        </is>
      </c>
      <c r="E13" s="18" t="inlineStr">
        <is>
          <t>D05 I03/I04/I05/I12</t>
        </is>
      </c>
      <c r="F13" s="18" t="inlineStr">
        <is>
          <t>D07 I01/I04/I05/I11</t>
        </is>
      </c>
      <c r="G13" s="18" t="inlineStr">
        <is>
          <t>If faculty training/capability is high but assessment practice remains unchanged, flag training-to-practice gap.</t>
        </is>
      </c>
      <c r="H13" s="18" t="inlineStr">
        <is>
          <t>Faculty practice review</t>
        </is>
      </c>
      <c r="I13" s="18" t="inlineStr">
        <is>
          <t>Training attendance alone cannot raise D05 practice maturity.</t>
        </is>
      </c>
    </row>
    <row r="14">
      <c r="A14" s="18" t="inlineStr">
        <is>
          <t>CD13</t>
        </is>
      </c>
      <c r="B14" s="18" t="inlineStr">
        <is>
          <t>D06</t>
        </is>
      </c>
      <c r="C14" s="18" t="inlineStr">
        <is>
          <t>D09</t>
        </is>
      </c>
      <c r="D14" s="18" t="inlineStr">
        <is>
          <t>Student capability → external employability</t>
        </is>
      </c>
      <c r="E14" s="18" t="inlineStr">
        <is>
          <t>D06 I04/I07/I08/I09/I10/I11</t>
        </is>
      </c>
      <c r="F14" s="18" t="inlineStr">
        <is>
          <t>D09 I05/I06/I07/I08/I09</t>
        </is>
      </c>
      <c r="G14" s="18" t="inlineStr">
        <is>
          <t>If student capability is strong but external validation/outcomes are weak, flag capability-to-career translation gap.</t>
        </is>
      </c>
      <c r="H14" s="18" t="inlineStr">
        <is>
          <t>Employability evidence review</t>
        </is>
      </c>
      <c r="I14" s="18" t="inlineStr">
        <is>
          <t>D09 owns external validation.</t>
        </is>
      </c>
    </row>
    <row r="15">
      <c r="A15" s="18" t="inlineStr">
        <is>
          <t>CD14</t>
        </is>
      </c>
      <c r="B15" s="18" t="inlineStr">
        <is>
          <t>D07</t>
        </is>
      </c>
      <c r="C15" s="18" t="inlineStr">
        <is>
          <t>D08</t>
        </is>
      </c>
      <c r="D15" s="18" t="inlineStr">
        <is>
          <t>Assessment evidence → data infrastructure</t>
        </is>
      </c>
      <c r="E15" s="18" t="inlineStr">
        <is>
          <t>D07 I07/I08/I12</t>
        </is>
      </c>
      <c r="F15" s="18" t="inlineStr">
        <is>
          <t>D08 I02/I03/I04/I05/I12</t>
        </is>
      </c>
      <c r="G15" s="18" t="inlineStr">
        <is>
          <t>If assessment evidence analytics are claimed but data quality/interoperability/intelligence are weak, flag evidence infrastructure gap.</t>
        </is>
      </c>
      <c r="H15" s="18" t="inlineStr">
        <is>
          <t>Data/evidence architecture review</t>
        </is>
      </c>
      <c r="I15" s="18" t="inlineStr">
        <is>
          <t>Data capability is an enabler, not assessment quality itself.</t>
        </is>
      </c>
    </row>
    <row r="16">
      <c r="A16" s="18" t="inlineStr">
        <is>
          <t>CD15</t>
        </is>
      </c>
      <c r="B16" s="18" t="inlineStr">
        <is>
          <t>D08</t>
        </is>
      </c>
      <c r="C16" s="18" t="inlineStr">
        <is>
          <t>D09</t>
        </is>
      </c>
      <c r="D16" s="18" t="inlineStr">
        <is>
          <t>Institutional intelligence → labour-market response</t>
        </is>
      </c>
      <c r="E16" s="18" t="inlineStr">
        <is>
          <t>D08 I05/I12</t>
        </is>
      </c>
      <c r="F16" s="18" t="inlineStr">
        <is>
          <t>D09 I01/I02/I03/I12</t>
        </is>
      </c>
      <c r="G16" s="18" t="inlineStr">
        <is>
          <t>If institutional intelligence is strong but employer signals are not translated into programme/career decisions, flag intelligence-to-relevance gap.</t>
        </is>
      </c>
      <c r="H16" s="18" t="inlineStr">
        <is>
          <t>Labour-market intelligence review</t>
        </is>
      </c>
      <c r="I16" s="18" t="inlineStr">
        <is>
          <t>D09 owns external relevance.</t>
        </is>
      </c>
    </row>
    <row r="17">
      <c r="A17" s="18" t="inlineStr">
        <is>
          <t>CD16</t>
        </is>
      </c>
      <c r="B17" s="18" t="inlineStr">
        <is>
          <t>D09</t>
        </is>
      </c>
      <c r="C17" s="18" t="inlineStr">
        <is>
          <t>D04</t>
        </is>
      </c>
      <c r="D17" s="18" t="inlineStr">
        <is>
          <t>Employer signal → programme evolution</t>
        </is>
      </c>
      <c r="E17" s="18" t="inlineStr">
        <is>
          <t>D09 I01/I03/I10/I11</t>
        </is>
      </c>
      <c r="F17" s="18" t="inlineStr">
        <is>
          <t>D04 I01/I03/I08/I12</t>
        </is>
      </c>
      <c r="G17" s="18" t="inlineStr">
        <is>
          <t>If employer intelligence is strong but programme evolution is weak, flag signal-to-curriculum response gap.</t>
        </is>
      </c>
      <c r="H17" s="18" t="inlineStr">
        <is>
          <t>Programme portfolio review</t>
        </is>
      </c>
      <c r="I17" s="18" t="inlineStr">
        <is>
          <t>Employer signal is an input, not duplicate programme maturity.</t>
        </is>
      </c>
    </row>
    <row r="18">
      <c r="A18" s="18" t="inlineStr">
        <is>
          <t>CD17</t>
        </is>
      </c>
      <c r="B18" s="18" t="inlineStr">
        <is>
          <t>D09</t>
        </is>
      </c>
      <c r="C18" s="18" t="inlineStr">
        <is>
          <t>D05</t>
        </is>
      </c>
      <c r="D18" s="18" t="inlineStr">
        <is>
          <t>Industry requirement → faculty capability</t>
        </is>
      </c>
      <c r="E18" s="18" t="inlineStr">
        <is>
          <t>D09 I03/I10</t>
        </is>
      </c>
      <c r="F18" s="18" t="inlineStr">
        <is>
          <t>D05 I02/I05/I08/I12</t>
        </is>
      </c>
      <c r="G18" s="18" t="inlineStr">
        <is>
          <t>If industry requirements change but faculty capability/role redesign does not respond, flag workforce alignment gap.</t>
        </is>
      </c>
      <c r="H18" s="18" t="inlineStr">
        <is>
          <t>Faculty capability review</t>
        </is>
      </c>
      <c r="I18" s="18" t="inlineStr">
        <is>
          <t>External signal does not itself raise D05.</t>
        </is>
      </c>
    </row>
    <row r="19">
      <c r="A19" s="18" t="inlineStr">
        <is>
          <t>CD18</t>
        </is>
      </c>
      <c r="B19" s="18" t="inlineStr">
        <is>
          <t>D09</t>
        </is>
      </c>
      <c r="C19" s="18" t="inlineStr">
        <is>
          <t>D06</t>
        </is>
      </c>
      <c r="D19" s="18" t="inlineStr">
        <is>
          <t>External outcomes → student development</t>
        </is>
      </c>
      <c r="E19" s="18" t="inlineStr">
        <is>
          <t>D09 I05/I06/I07/I12</t>
        </is>
      </c>
      <c r="F19" s="18" t="inlineStr">
        <is>
          <t>D06 I07/I08/I09/I14</t>
        </is>
      </c>
      <c r="G19" s="18" t="inlineStr">
        <is>
          <t>If employment evidence exposes capability gaps but student development is unchanged, flag outcome-to-learning-loop gap.</t>
        </is>
      </c>
      <c r="H19" s="18" t="inlineStr">
        <is>
          <t>Student development review</t>
        </is>
      </c>
      <c r="I19" s="18" t="inlineStr">
        <is>
          <t>Outcomes inform D06 but are not duplicate D06 scores.</t>
        </is>
      </c>
    </row>
    <row r="20">
      <c r="A20" s="18" t="inlineStr">
        <is>
          <t>CD19</t>
        </is>
      </c>
      <c r="B20" s="18" t="inlineStr">
        <is>
          <t>D10</t>
        </is>
      </c>
      <c r="C20" s="18" t="inlineStr">
        <is>
          <t>D03</t>
        </is>
      </c>
      <c r="D20" s="18" t="inlineStr">
        <is>
          <t>Research → human capability</t>
        </is>
      </c>
      <c r="E20" s="18" t="inlineStr">
        <is>
          <t>D10 I03/I08/I14</t>
        </is>
      </c>
      <c r="F20" s="18" t="inlineStr">
        <is>
          <t>D03 I05/I06/I07/I13/I16</t>
        </is>
      </c>
      <c r="G20" s="18" t="inlineStr">
        <is>
          <t>If research/creator capability is strong but student higher-order capability pathways are absent, flag research-to-learning disconnect.</t>
        </is>
      </c>
      <c r="H20" s="18" t="inlineStr">
        <is>
          <t>Research-learning review</t>
        </is>
      </c>
      <c r="I20" s="18" t="inlineStr">
        <is>
          <t>Research strength does not automatically raise D03.</t>
        </is>
      </c>
    </row>
    <row r="21">
      <c r="A21" s="18" t="inlineStr">
        <is>
          <t>CD20</t>
        </is>
      </c>
      <c r="B21" s="18" t="inlineStr">
        <is>
          <t>D10</t>
        </is>
      </c>
      <c r="C21" s="18" t="inlineStr">
        <is>
          <t>D09</t>
        </is>
      </c>
      <c r="D21" s="18" t="inlineStr">
        <is>
          <t>Research/innovation → external value</t>
        </is>
      </c>
      <c r="E21" s="18" t="inlineStr">
        <is>
          <t>D10 I08/I09/I10/I13</t>
        </is>
      </c>
      <c r="F21" s="18" t="inlineStr">
        <is>
          <t>D09 I05/I10/I11/I12</t>
        </is>
      </c>
      <c r="G21" s="18" t="inlineStr">
        <is>
          <t>If translation/industry/impact claims are strong but external value evidence is weak, flag research-to-value gap.</t>
        </is>
      </c>
      <c r="H21" s="18" t="inlineStr">
        <is>
          <t>Translation review</t>
        </is>
      </c>
      <c r="I21" s="18" t="inlineStr">
        <is>
          <t>Do not double count impact evidence.</t>
        </is>
      </c>
    </row>
    <row r="22">
      <c r="A22" s="18" t="inlineStr">
        <is>
          <t>CD21</t>
        </is>
      </c>
      <c r="B22" s="18" t="inlineStr">
        <is>
          <t>D10</t>
        </is>
      </c>
      <c r="C22" s="18" t="inlineStr">
        <is>
          <t>D11</t>
        </is>
      </c>
      <c r="D22" s="18" t="inlineStr">
        <is>
          <t>Research learning → institutional adaptation</t>
        </is>
      </c>
      <c r="E22" s="18" t="inlineStr">
        <is>
          <t>D10 I01/I02/I13</t>
        </is>
      </c>
      <c r="F22" s="18" t="inlineStr">
        <is>
          <t>D11 I01/I06/I13/I14</t>
        </is>
      </c>
      <c r="G22" s="18" t="inlineStr">
        <is>
          <t>If research is claimed as a sensing/learning mechanism but institutional adaptation does not change, flag learning-loop gap.</t>
        </is>
      </c>
      <c r="H22" s="18" t="inlineStr">
        <is>
          <t>Institutional learning review</t>
        </is>
      </c>
      <c r="I22" s="18" t="inlineStr">
        <is>
          <t>D11 owns adaptation.</t>
        </is>
      </c>
    </row>
    <row r="23">
      <c r="A23" s="18" t="inlineStr">
        <is>
          <t>CD22</t>
        </is>
      </c>
      <c r="B23" s="18" t="inlineStr">
        <is>
          <t>D11</t>
        </is>
      </c>
      <c r="C23" s="18" t="inlineStr">
        <is>
          <t>D01</t>
        </is>
      </c>
      <c r="D23" s="18" t="inlineStr">
        <is>
          <t>Adaptation → strategy</t>
        </is>
      </c>
      <c r="E23" s="18" t="inlineStr">
        <is>
          <t>D11 I01/I02/I06/I13/I14</t>
        </is>
      </c>
      <c r="F23" s="18" t="inlineStr">
        <is>
          <t>D01 I02/I03/I10</t>
        </is>
      </c>
      <c r="G23" s="18" t="inlineStr">
        <is>
          <t>If adaptation evidence is strong but strategic assumptions/plans do not change, flag strategy learning disconnect.</t>
        </is>
      </c>
      <c r="H23" s="18" t="inlineStr">
        <is>
          <t>Strategy learning review</t>
        </is>
      </c>
      <c r="I23" s="18" t="inlineStr">
        <is>
          <t>Do not score the same change twice.</t>
        </is>
      </c>
    </row>
    <row r="24">
      <c r="A24" s="18" t="inlineStr">
        <is>
          <t>CD23</t>
        </is>
      </c>
      <c r="B24" s="18" t="inlineStr">
        <is>
          <t>D11</t>
        </is>
      </c>
      <c r="C24" s="18" t="inlineStr">
        <is>
          <t>D04</t>
        </is>
      </c>
      <c r="D24" s="18" t="inlineStr">
        <is>
          <t>Adaptation → programme redesign</t>
        </is>
      </c>
      <c r="E24" s="18" t="inlineStr">
        <is>
          <t>D11 I02/I04/I07/I09/I10</t>
        </is>
      </c>
      <c r="F24" s="18" t="inlineStr">
        <is>
          <t>D04 I03/I05/I08/I12</t>
        </is>
      </c>
      <c r="G24" s="18" t="inlineStr">
        <is>
          <t>If external change is sensed and action is claimed but programmes do not adapt where applicable, flag change-to-curriculum gap.</t>
        </is>
      </c>
      <c r="H24" s="18" t="inlineStr">
        <is>
          <t>Programme adaptation review</t>
        </is>
      </c>
      <c r="I24" s="18" t="inlineStr">
        <is>
          <t>Adaptation is separate from curriculum mechanics.</t>
        </is>
      </c>
    </row>
    <row r="25">
      <c r="A25" s="18" t="inlineStr">
        <is>
          <t>CD24</t>
        </is>
      </c>
      <c r="B25" s="18" t="inlineStr">
        <is>
          <t>D11</t>
        </is>
      </c>
      <c r="C25" s="18" t="inlineStr">
        <is>
          <t>D05</t>
        </is>
      </c>
      <c r="D25" s="18" t="inlineStr">
        <is>
          <t>Adaptation → workforce transformation</t>
        </is>
      </c>
      <c r="E25" s="18" t="inlineStr">
        <is>
          <t>D11 I02/I07/I08</t>
        </is>
      </c>
      <c r="F25" s="18" t="inlineStr">
        <is>
          <t>D05 I08/I09/I10/I12</t>
        </is>
      </c>
      <c r="G25" s="18" t="inlineStr">
        <is>
          <t>If institutional change is strong but faculty roles/workflows/support do not adapt, flag workforce adaptation gap.</t>
        </is>
      </c>
      <c r="H25" s="18" t="inlineStr">
        <is>
          <t>Academic workforce review</t>
        </is>
      </c>
      <c r="I25" s="18" t="inlineStr">
        <is>
          <t>No D11 uplift from isolated HR activity.</t>
        </is>
      </c>
    </row>
    <row r="26">
      <c r="A26" s="18" t="inlineStr">
        <is>
          <t>CD25</t>
        </is>
      </c>
      <c r="B26" s="18" t="inlineStr">
        <is>
          <t>D11</t>
        </is>
      </c>
      <c r="C26" s="18" t="inlineStr">
        <is>
          <t>D06</t>
        </is>
      </c>
      <c r="D26" s="18" t="inlineStr">
        <is>
          <t>Adaptation → learner response</t>
        </is>
      </c>
      <c r="E26" s="18" t="inlineStr">
        <is>
          <t>D11 I09/I10/I13</t>
        </is>
      </c>
      <c r="F26" s="18" t="inlineStr">
        <is>
          <t>D06 I08/I10/I14</t>
        </is>
      </c>
      <c r="G26" s="18" t="inlineStr">
        <is>
          <t>If learner/workforce signals are sensed but student capability/support does not change, flag learner responsiveness gap.</t>
        </is>
      </c>
      <c r="H26" s="18" t="inlineStr">
        <is>
          <t>Learner response review</t>
        </is>
      </c>
      <c r="I26" s="18" t="inlineStr">
        <is>
          <t>D11 owns institutional response; D06 owns student capability.</t>
        </is>
      </c>
    </row>
  </sheetData>
  <autoFilter ref="A1:I26"/>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K4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34" customWidth="1" min="4" max="4"/>
    <col width="10" customWidth="1" min="5" max="5"/>
    <col width="12" customWidth="1" min="6" max="6"/>
    <col width="38" customWidth="1" min="7" max="7"/>
    <col width="34" customWidth="1" min="8" max="8"/>
    <col width="60" customWidth="1" min="9" max="9"/>
    <col width="28" customWidth="1" min="10" max="10"/>
    <col width="45" customWidth="1" min="11" max="11"/>
  </cols>
  <sheetData>
    <row r="1">
      <c r="A1" s="17" t="inlineStr">
        <is>
          <t>Rule ID</t>
        </is>
      </c>
      <c r="B1" s="17" t="inlineStr">
        <is>
          <t>From Domain</t>
        </is>
      </c>
      <c r="C1" s="17" t="inlineStr">
        <is>
          <t>From Metric ID</t>
        </is>
      </c>
      <c r="D1" s="17" t="inlineStr">
        <is>
          <t>From Metric</t>
        </is>
      </c>
      <c r="E1" s="17" t="inlineStr">
        <is>
          <t>To Domain</t>
        </is>
      </c>
      <c r="F1" s="17" t="inlineStr">
        <is>
          <t>To Metric ID</t>
        </is>
      </c>
      <c r="G1" s="17" t="inlineStr">
        <is>
          <t>To Metric</t>
        </is>
      </c>
      <c r="H1" s="17" t="inlineStr">
        <is>
          <t>Relationship</t>
        </is>
      </c>
      <c r="I1" s="17" t="inlineStr">
        <is>
          <t>Trigger Logic</t>
        </is>
      </c>
      <c r="J1" s="17" t="inlineStr">
        <is>
          <t>Action</t>
        </is>
      </c>
      <c r="K1" s="17" t="inlineStr">
        <is>
          <t>Scoring Protection</t>
        </is>
      </c>
    </row>
    <row r="2">
      <c r="A2" s="18" t="inlineStr">
        <is>
          <t>CD01</t>
        </is>
      </c>
      <c r="B2" s="18" t="inlineStr">
        <is>
          <t>D01</t>
        </is>
      </c>
      <c r="C2" s="18" t="inlineStr">
        <is>
          <t>I01</t>
        </is>
      </c>
      <c r="D2" s="18" t="inlineStr">
        <is>
          <t>Strategic AI Integration</t>
        </is>
      </c>
      <c r="E2" s="18" t="inlineStr">
        <is>
          <t>D03</t>
        </is>
      </c>
      <c r="F2" s="18" t="inlineStr">
        <is>
          <t>I01</t>
        </is>
      </c>
      <c r="G2" s="18" t="inlineStr">
        <is>
          <t>Foundational Knowledge Depth</t>
        </is>
      </c>
      <c r="H2" s="18" t="inlineStr">
        <is>
          <t>Strategic priority → human capability</t>
        </is>
      </c>
      <c r="I2" s="18" t="inlineStr">
        <is>
          <t>If D01 strategic AI/future direction is strong but linked D03 capability architecture is weak, flag strategy-to-capability disconnect.</t>
        </is>
      </c>
      <c r="J2" s="18" t="inlineStr">
        <is>
          <t>D03 deep-dive</t>
        </is>
      </c>
      <c r="K2" s="18" t="inlineStr">
        <is>
          <t>No D01 score uplift from strategic statements.</t>
        </is>
      </c>
    </row>
    <row r="3">
      <c r="A3" s="18" t="inlineStr">
        <is>
          <t>CD01</t>
        </is>
      </c>
      <c r="B3" s="18" t="inlineStr">
        <is>
          <t>D01</t>
        </is>
      </c>
      <c r="C3" s="18" t="inlineStr">
        <is>
          <t>I01</t>
        </is>
      </c>
      <c r="D3" s="18" t="inlineStr">
        <is>
          <t>Strategic AI Integration</t>
        </is>
      </c>
      <c r="E3" s="18" t="inlineStr">
        <is>
          <t>D03</t>
        </is>
      </c>
      <c r="F3" s="18" t="inlineStr">
        <is>
          <t>I02</t>
        </is>
      </c>
      <c r="G3" s="18" t="inlineStr">
        <is>
          <t>Critical Reasoning Development</t>
        </is>
      </c>
      <c r="H3" s="18" t="inlineStr">
        <is>
          <t>Strategic priority → human capability</t>
        </is>
      </c>
      <c r="I3" s="18" t="inlineStr">
        <is>
          <t>If D01 strategic AI/future direction is strong but linked D03 capability architecture is weak, flag strategy-to-capability disconnect.</t>
        </is>
      </c>
      <c r="J3" s="18" t="inlineStr">
        <is>
          <t>D03 deep-dive</t>
        </is>
      </c>
      <c r="K3" s="18" t="inlineStr">
        <is>
          <t>No D01 score uplift from strategic statements.</t>
        </is>
      </c>
    </row>
    <row r="4">
      <c r="A4" s="18" t="inlineStr">
        <is>
          <t>CD01</t>
        </is>
      </c>
      <c r="B4" s="18" t="inlineStr">
        <is>
          <t>D01</t>
        </is>
      </c>
      <c r="C4" s="18" t="inlineStr">
        <is>
          <t>I01</t>
        </is>
      </c>
      <c r="D4" s="18" t="inlineStr">
        <is>
          <t>Strategic AI Integration</t>
        </is>
      </c>
      <c r="E4" s="18" t="inlineStr">
        <is>
          <t>D03</t>
        </is>
      </c>
      <c r="F4" s="18" t="inlineStr">
        <is>
          <t>I05</t>
        </is>
      </c>
      <c r="G4" s="18" t="inlineStr">
        <is>
          <t>Problem Formulation</t>
        </is>
      </c>
      <c r="H4" s="18" t="inlineStr">
        <is>
          <t>Strategic priority → human capability</t>
        </is>
      </c>
      <c r="I4" s="18" t="inlineStr">
        <is>
          <t>If D01 strategic AI/future direction is strong but linked D03 capability architecture is weak, flag strategy-to-capability disconnect.</t>
        </is>
      </c>
      <c r="J4" s="18" t="inlineStr">
        <is>
          <t>D03 deep-dive</t>
        </is>
      </c>
      <c r="K4" s="18" t="inlineStr">
        <is>
          <t>No D01 score uplift from strategic statements.</t>
        </is>
      </c>
    </row>
    <row r="5">
      <c r="A5" s="18" t="inlineStr">
        <is>
          <t>CD01</t>
        </is>
      </c>
      <c r="B5" s="18" t="inlineStr">
        <is>
          <t>D01</t>
        </is>
      </c>
      <c r="C5" s="18" t="inlineStr">
        <is>
          <t>I01</t>
        </is>
      </c>
      <c r="D5" s="18" t="inlineStr">
        <is>
          <t>Strategic AI Integration</t>
        </is>
      </c>
      <c r="E5" s="18" t="inlineStr">
        <is>
          <t>D03</t>
        </is>
      </c>
      <c r="F5" s="18" t="inlineStr">
        <is>
          <t>I07</t>
        </is>
      </c>
      <c r="G5" s="18" t="inlineStr">
        <is>
          <t>Judgement Capability</t>
        </is>
      </c>
      <c r="H5" s="18" t="inlineStr">
        <is>
          <t>Strategic priority → human capability</t>
        </is>
      </c>
      <c r="I5" s="18" t="inlineStr">
        <is>
          <t>If D01 strategic AI/future direction is strong but linked D03 capability architecture is weak, flag strategy-to-capability disconnect.</t>
        </is>
      </c>
      <c r="J5" s="18" t="inlineStr">
        <is>
          <t>D03 deep-dive</t>
        </is>
      </c>
      <c r="K5" s="18" t="inlineStr">
        <is>
          <t>No D01 score uplift from strategic statements.</t>
        </is>
      </c>
    </row>
    <row r="6">
      <c r="A6" s="18" t="inlineStr">
        <is>
          <t>CD01</t>
        </is>
      </c>
      <c r="B6" s="18" t="inlineStr">
        <is>
          <t>D01</t>
        </is>
      </c>
      <c r="C6" s="18" t="inlineStr">
        <is>
          <t>I01</t>
        </is>
      </c>
      <c r="D6" s="18" t="inlineStr">
        <is>
          <t>Strategic AI Integration</t>
        </is>
      </c>
      <c r="E6" s="18" t="inlineStr">
        <is>
          <t>D03</t>
        </is>
      </c>
      <c r="F6" s="18" t="inlineStr">
        <is>
          <t>I15</t>
        </is>
      </c>
      <c r="G6" s="18" t="inlineStr">
        <is>
          <t>Intellectual Agency</t>
        </is>
      </c>
      <c r="H6" s="18" t="inlineStr">
        <is>
          <t>Strategic priority → human capability</t>
        </is>
      </c>
      <c r="I6" s="18" t="inlineStr">
        <is>
          <t>If D01 strategic AI/future direction is strong but linked D03 capability architecture is weak, flag strategy-to-capability disconnect.</t>
        </is>
      </c>
      <c r="J6" s="18" t="inlineStr">
        <is>
          <t>D03 deep-dive</t>
        </is>
      </c>
      <c r="K6" s="18" t="inlineStr">
        <is>
          <t>No D01 score uplift from strategic statements.</t>
        </is>
      </c>
    </row>
    <row r="7">
      <c r="A7" s="18" t="inlineStr">
        <is>
          <t>CD01</t>
        </is>
      </c>
      <c r="B7" s="18" t="inlineStr">
        <is>
          <t>D01</t>
        </is>
      </c>
      <c r="C7" s="18" t="inlineStr">
        <is>
          <t>I01</t>
        </is>
      </c>
      <c r="D7" s="18" t="inlineStr">
        <is>
          <t>Strategic AI Integration</t>
        </is>
      </c>
      <c r="E7" s="18" t="inlineStr">
        <is>
          <t>D03</t>
        </is>
      </c>
      <c r="F7" s="18" t="inlineStr">
        <is>
          <t>I16</t>
        </is>
      </c>
      <c r="G7" s="18" t="inlineStr">
        <is>
          <t>Transfer Capability</t>
        </is>
      </c>
      <c r="H7" s="18" t="inlineStr">
        <is>
          <t>Strategic priority → human capability</t>
        </is>
      </c>
      <c r="I7" s="18" t="inlineStr">
        <is>
          <t>If D01 strategic AI/future direction is strong but linked D03 capability architecture is weak, flag strategy-to-capability disconnect.</t>
        </is>
      </c>
      <c r="J7" s="18" t="inlineStr">
        <is>
          <t>D03 deep-dive</t>
        </is>
      </c>
      <c r="K7" s="18" t="inlineStr">
        <is>
          <t>No D01 score uplift from strategic statements.</t>
        </is>
      </c>
    </row>
    <row r="8">
      <c r="A8" s="18" t="inlineStr">
        <is>
          <t>CD01</t>
        </is>
      </c>
      <c r="B8" s="18" t="inlineStr">
        <is>
          <t>D01</t>
        </is>
      </c>
      <c r="C8" s="18" t="inlineStr">
        <is>
          <t>I03</t>
        </is>
      </c>
      <c r="D8" s="18" t="inlineStr">
        <is>
          <t>Strategic Translation Rate</t>
        </is>
      </c>
      <c r="E8" s="18" t="inlineStr">
        <is>
          <t>D03</t>
        </is>
      </c>
      <c r="F8" s="18" t="inlineStr">
        <is>
          <t>I01</t>
        </is>
      </c>
      <c r="G8" s="18" t="inlineStr">
        <is>
          <t>Foundational Knowledge Depth</t>
        </is>
      </c>
      <c r="H8" s="18" t="inlineStr">
        <is>
          <t>Strategic priority → human capability</t>
        </is>
      </c>
      <c r="I8" s="18" t="inlineStr">
        <is>
          <t>If D01 strategic AI/future direction is strong but linked D03 capability architecture is weak, flag strategy-to-capability disconnect.</t>
        </is>
      </c>
      <c r="J8" s="18" t="inlineStr">
        <is>
          <t>D03 deep-dive</t>
        </is>
      </c>
      <c r="K8" s="18" t="inlineStr">
        <is>
          <t>No D01 score uplift from strategic statements.</t>
        </is>
      </c>
    </row>
    <row r="9">
      <c r="A9" s="18" t="inlineStr">
        <is>
          <t>CD01</t>
        </is>
      </c>
      <c r="B9" s="18" t="inlineStr">
        <is>
          <t>D01</t>
        </is>
      </c>
      <c r="C9" s="18" t="inlineStr">
        <is>
          <t>I03</t>
        </is>
      </c>
      <c r="D9" s="18" t="inlineStr">
        <is>
          <t>Strategic Translation Rate</t>
        </is>
      </c>
      <c r="E9" s="18" t="inlineStr">
        <is>
          <t>D03</t>
        </is>
      </c>
      <c r="F9" s="18" t="inlineStr">
        <is>
          <t>I02</t>
        </is>
      </c>
      <c r="G9" s="18" t="inlineStr">
        <is>
          <t>Critical Reasoning Development</t>
        </is>
      </c>
      <c r="H9" s="18" t="inlineStr">
        <is>
          <t>Strategic priority → human capability</t>
        </is>
      </c>
      <c r="I9" s="18" t="inlineStr">
        <is>
          <t>If D01 strategic AI/future direction is strong but linked D03 capability architecture is weak, flag strategy-to-capability disconnect.</t>
        </is>
      </c>
      <c r="J9" s="18" t="inlineStr">
        <is>
          <t>D03 deep-dive</t>
        </is>
      </c>
      <c r="K9" s="18" t="inlineStr">
        <is>
          <t>No D01 score uplift from strategic statements.</t>
        </is>
      </c>
    </row>
    <row r="10">
      <c r="A10" s="18" t="inlineStr">
        <is>
          <t>CD01</t>
        </is>
      </c>
      <c r="B10" s="18" t="inlineStr">
        <is>
          <t>D01</t>
        </is>
      </c>
      <c r="C10" s="18" t="inlineStr">
        <is>
          <t>I03</t>
        </is>
      </c>
      <c r="D10" s="18" t="inlineStr">
        <is>
          <t>Strategic Translation Rate</t>
        </is>
      </c>
      <c r="E10" s="18" t="inlineStr">
        <is>
          <t>D03</t>
        </is>
      </c>
      <c r="F10" s="18" t="inlineStr">
        <is>
          <t>I05</t>
        </is>
      </c>
      <c r="G10" s="18" t="inlineStr">
        <is>
          <t>Problem Formulation</t>
        </is>
      </c>
      <c r="H10" s="18" t="inlineStr">
        <is>
          <t>Strategic priority → human capability</t>
        </is>
      </c>
      <c r="I10" s="18" t="inlineStr">
        <is>
          <t>If D01 strategic AI/future direction is strong but linked D03 capability architecture is weak, flag strategy-to-capability disconnect.</t>
        </is>
      </c>
      <c r="J10" s="18" t="inlineStr">
        <is>
          <t>D03 deep-dive</t>
        </is>
      </c>
      <c r="K10" s="18" t="inlineStr">
        <is>
          <t>No D01 score uplift from strategic statements.</t>
        </is>
      </c>
    </row>
    <row r="11">
      <c r="A11" s="18" t="inlineStr">
        <is>
          <t>CD01</t>
        </is>
      </c>
      <c r="B11" s="18" t="inlineStr">
        <is>
          <t>D01</t>
        </is>
      </c>
      <c r="C11" s="18" t="inlineStr">
        <is>
          <t>I03</t>
        </is>
      </c>
      <c r="D11" s="18" t="inlineStr">
        <is>
          <t>Strategic Translation Rate</t>
        </is>
      </c>
      <c r="E11" s="18" t="inlineStr">
        <is>
          <t>D03</t>
        </is>
      </c>
      <c r="F11" s="18" t="inlineStr">
        <is>
          <t>I07</t>
        </is>
      </c>
      <c r="G11" s="18" t="inlineStr">
        <is>
          <t>Judgement Capability</t>
        </is>
      </c>
      <c r="H11" s="18" t="inlineStr">
        <is>
          <t>Strategic priority → human capability</t>
        </is>
      </c>
      <c r="I11" s="18" t="inlineStr">
        <is>
          <t>If D01 strategic AI/future direction is strong but linked D03 capability architecture is weak, flag strategy-to-capability disconnect.</t>
        </is>
      </c>
      <c r="J11" s="18" t="inlineStr">
        <is>
          <t>D03 deep-dive</t>
        </is>
      </c>
      <c r="K11" s="18" t="inlineStr">
        <is>
          <t>No D01 score uplift from strategic statements.</t>
        </is>
      </c>
    </row>
    <row r="12">
      <c r="A12" s="18" t="inlineStr">
        <is>
          <t>CD01</t>
        </is>
      </c>
      <c r="B12" s="18" t="inlineStr">
        <is>
          <t>D01</t>
        </is>
      </c>
      <c r="C12" s="18" t="inlineStr">
        <is>
          <t>I03</t>
        </is>
      </c>
      <c r="D12" s="18" t="inlineStr">
        <is>
          <t>Strategic Translation Rate</t>
        </is>
      </c>
      <c r="E12" s="18" t="inlineStr">
        <is>
          <t>D03</t>
        </is>
      </c>
      <c r="F12" s="18" t="inlineStr">
        <is>
          <t>I15</t>
        </is>
      </c>
      <c r="G12" s="18" t="inlineStr">
        <is>
          <t>Intellectual Agency</t>
        </is>
      </c>
      <c r="H12" s="18" t="inlineStr">
        <is>
          <t>Strategic priority → human capability</t>
        </is>
      </c>
      <c r="I12" s="18" t="inlineStr">
        <is>
          <t>If D01 strategic AI/future direction is strong but linked D03 capability architecture is weak, flag strategy-to-capability disconnect.</t>
        </is>
      </c>
      <c r="J12" s="18" t="inlineStr">
        <is>
          <t>D03 deep-dive</t>
        </is>
      </c>
      <c r="K12" s="18" t="inlineStr">
        <is>
          <t>No D01 score uplift from strategic statements.</t>
        </is>
      </c>
    </row>
    <row r="13">
      <c r="A13" s="18" t="inlineStr">
        <is>
          <t>CD01</t>
        </is>
      </c>
      <c r="B13" s="18" t="inlineStr">
        <is>
          <t>D01</t>
        </is>
      </c>
      <c r="C13" s="18" t="inlineStr">
        <is>
          <t>I03</t>
        </is>
      </c>
      <c r="D13" s="18" t="inlineStr">
        <is>
          <t>Strategic Translation Rate</t>
        </is>
      </c>
      <c r="E13" s="18" t="inlineStr">
        <is>
          <t>D03</t>
        </is>
      </c>
      <c r="F13" s="18" t="inlineStr">
        <is>
          <t>I16</t>
        </is>
      </c>
      <c r="G13" s="18" t="inlineStr">
        <is>
          <t>Transfer Capability</t>
        </is>
      </c>
      <c r="H13" s="18" t="inlineStr">
        <is>
          <t>Strategic priority → human capability</t>
        </is>
      </c>
      <c r="I13" s="18" t="inlineStr">
        <is>
          <t>If D01 strategic AI/future direction is strong but linked D03 capability architecture is weak, flag strategy-to-capability disconnect.</t>
        </is>
      </c>
      <c r="J13" s="18" t="inlineStr">
        <is>
          <t>D03 deep-dive</t>
        </is>
      </c>
      <c r="K13" s="18" t="inlineStr">
        <is>
          <t>No D01 score uplift from strategic statements.</t>
        </is>
      </c>
    </row>
    <row r="14">
      <c r="A14" s="18" t="inlineStr">
        <is>
          <t>CD02</t>
        </is>
      </c>
      <c r="B14" s="18" t="inlineStr">
        <is>
          <t>D01</t>
        </is>
      </c>
      <c r="C14" s="18" t="inlineStr">
        <is>
          <t>I01</t>
        </is>
      </c>
      <c r="D14" s="18" t="inlineStr">
        <is>
          <t>Strategic AI Integration</t>
        </is>
      </c>
      <c r="E14" s="18" t="inlineStr">
        <is>
          <t>D02</t>
        </is>
      </c>
      <c r="F14" s="18" t="inlineStr">
        <is>
          <t>I01</t>
        </is>
      </c>
      <c r="G14" s="18" t="inlineStr">
        <is>
          <t>Governance Ownership</t>
        </is>
      </c>
      <c r="H14" s="18" t="inlineStr">
        <is>
          <t>AI direction → governance coverage</t>
        </is>
      </c>
      <c r="I14" s="18" t="inlineStr">
        <is>
          <t>If consequential AI activity/experimentation is strong while governance/risk controls are weak, flag governance exposure.</t>
        </is>
      </c>
      <c r="J14" s="18" t="inlineStr">
        <is>
          <t>Governance review</t>
        </is>
      </c>
      <c r="K14" s="18" t="inlineStr">
        <is>
          <t>Do not compensate D02 weakness with D01 maturity.</t>
        </is>
      </c>
    </row>
    <row r="15">
      <c r="A15" s="18" t="inlineStr">
        <is>
          <t>CD02</t>
        </is>
      </c>
      <c r="B15" s="18" t="inlineStr">
        <is>
          <t>D01</t>
        </is>
      </c>
      <c r="C15" s="18" t="inlineStr">
        <is>
          <t>I01</t>
        </is>
      </c>
      <c r="D15" s="18" t="inlineStr">
        <is>
          <t>Strategic AI Integration</t>
        </is>
      </c>
      <c r="E15" s="18" t="inlineStr">
        <is>
          <t>D02</t>
        </is>
      </c>
      <c r="F15" s="18" t="inlineStr">
        <is>
          <t>I03</t>
        </is>
      </c>
      <c r="G15" s="18" t="inlineStr">
        <is>
          <t>Responsible AI Maturity</t>
        </is>
      </c>
      <c r="H15" s="18" t="inlineStr">
        <is>
          <t>AI direction → governance coverage</t>
        </is>
      </c>
      <c r="I15" s="18" t="inlineStr">
        <is>
          <t>If consequential AI activity/experimentation is strong while governance/risk controls are weak, flag governance exposure.</t>
        </is>
      </c>
      <c r="J15" s="18" t="inlineStr">
        <is>
          <t>Governance review</t>
        </is>
      </c>
      <c r="K15" s="18" t="inlineStr">
        <is>
          <t>Do not compensate D02 weakness with D01 maturity.</t>
        </is>
      </c>
    </row>
    <row r="16">
      <c r="A16" s="18" t="inlineStr">
        <is>
          <t>CD02</t>
        </is>
      </c>
      <c r="B16" s="18" t="inlineStr">
        <is>
          <t>D01</t>
        </is>
      </c>
      <c r="C16" s="18" t="inlineStr">
        <is>
          <t>I01</t>
        </is>
      </c>
      <c r="D16" s="18" t="inlineStr">
        <is>
          <t>Strategic AI Integration</t>
        </is>
      </c>
      <c r="E16" s="18" t="inlineStr">
        <is>
          <t>D02</t>
        </is>
      </c>
      <c r="F16" s="18" t="inlineStr">
        <is>
          <t>I07</t>
        </is>
      </c>
      <c r="G16" s="18" t="inlineStr">
        <is>
          <t>AI Risk Management</t>
        </is>
      </c>
      <c r="H16" s="18" t="inlineStr">
        <is>
          <t>AI direction → governance coverage</t>
        </is>
      </c>
      <c r="I16" s="18" t="inlineStr">
        <is>
          <t>If consequential AI activity/experimentation is strong while governance/risk controls are weak, flag governance exposure.</t>
        </is>
      </c>
      <c r="J16" s="18" t="inlineStr">
        <is>
          <t>Governance review</t>
        </is>
      </c>
      <c r="K16" s="18" t="inlineStr">
        <is>
          <t>Do not compensate D02 weakness with D01 maturity.</t>
        </is>
      </c>
    </row>
    <row r="17">
      <c r="A17" s="18" t="inlineStr">
        <is>
          <t>CD02</t>
        </is>
      </c>
      <c r="B17" s="18" t="inlineStr">
        <is>
          <t>D01</t>
        </is>
      </c>
      <c r="C17" s="18" t="inlineStr">
        <is>
          <t>I01</t>
        </is>
      </c>
      <c r="D17" s="18" t="inlineStr">
        <is>
          <t>Strategic AI Integration</t>
        </is>
      </c>
      <c r="E17" s="18" t="inlineStr">
        <is>
          <t>D02</t>
        </is>
      </c>
      <c r="F17" s="18" t="inlineStr">
        <is>
          <t>I13</t>
        </is>
      </c>
      <c r="G17" s="18" t="inlineStr">
        <is>
          <t>Governance Review Adaptability</t>
        </is>
      </c>
      <c r="H17" s="18" t="inlineStr">
        <is>
          <t>AI direction → governance coverage</t>
        </is>
      </c>
      <c r="I17" s="18" t="inlineStr">
        <is>
          <t>If consequential AI activity/experimentation is strong while governance/risk controls are weak, flag governance exposure.</t>
        </is>
      </c>
      <c r="J17" s="18" t="inlineStr">
        <is>
          <t>Governance review</t>
        </is>
      </c>
      <c r="K17" s="18" t="inlineStr">
        <is>
          <t>Do not compensate D02 weakness with D01 maturity.</t>
        </is>
      </c>
    </row>
    <row r="18">
      <c r="A18" s="18" t="inlineStr">
        <is>
          <t>CD02</t>
        </is>
      </c>
      <c r="B18" s="18" t="inlineStr">
        <is>
          <t>D01</t>
        </is>
      </c>
      <c r="C18" s="18" t="inlineStr">
        <is>
          <t>I06</t>
        </is>
      </c>
      <c r="D18" s="18" t="inlineStr">
        <is>
          <t>Foresight Response Architecture</t>
        </is>
      </c>
      <c r="E18" s="18" t="inlineStr">
        <is>
          <t>D02</t>
        </is>
      </c>
      <c r="F18" s="18" t="inlineStr">
        <is>
          <t>I01</t>
        </is>
      </c>
      <c r="G18" s="18" t="inlineStr">
        <is>
          <t>Governance Ownership</t>
        </is>
      </c>
      <c r="H18" s="18" t="inlineStr">
        <is>
          <t>AI direction → governance coverage</t>
        </is>
      </c>
      <c r="I18" s="18" t="inlineStr">
        <is>
          <t>If consequential AI activity/experimentation is strong while governance/risk controls are weak, flag governance exposure.</t>
        </is>
      </c>
      <c r="J18" s="18" t="inlineStr">
        <is>
          <t>Governance review</t>
        </is>
      </c>
      <c r="K18" s="18" t="inlineStr">
        <is>
          <t>Do not compensate D02 weakness with D01 maturity.</t>
        </is>
      </c>
    </row>
    <row r="19">
      <c r="A19" s="18" t="inlineStr">
        <is>
          <t>CD02</t>
        </is>
      </c>
      <c r="B19" s="18" t="inlineStr">
        <is>
          <t>D01</t>
        </is>
      </c>
      <c r="C19" s="18" t="inlineStr">
        <is>
          <t>I06</t>
        </is>
      </c>
      <c r="D19" s="18" t="inlineStr">
        <is>
          <t>Foresight Response Architecture</t>
        </is>
      </c>
      <c r="E19" s="18" t="inlineStr">
        <is>
          <t>D02</t>
        </is>
      </c>
      <c r="F19" s="18" t="inlineStr">
        <is>
          <t>I03</t>
        </is>
      </c>
      <c r="G19" s="18" t="inlineStr">
        <is>
          <t>Responsible AI Maturity</t>
        </is>
      </c>
      <c r="H19" s="18" t="inlineStr">
        <is>
          <t>AI direction → governance coverage</t>
        </is>
      </c>
      <c r="I19" s="18" t="inlineStr">
        <is>
          <t>If consequential AI activity/experimentation is strong while governance/risk controls are weak, flag governance exposure.</t>
        </is>
      </c>
      <c r="J19" s="18" t="inlineStr">
        <is>
          <t>Governance review</t>
        </is>
      </c>
      <c r="K19" s="18" t="inlineStr">
        <is>
          <t>Do not compensate D02 weakness with D01 maturity.</t>
        </is>
      </c>
    </row>
    <row r="20">
      <c r="A20" s="18" t="inlineStr">
        <is>
          <t>CD02</t>
        </is>
      </c>
      <c r="B20" s="18" t="inlineStr">
        <is>
          <t>D01</t>
        </is>
      </c>
      <c r="C20" s="18" t="inlineStr">
        <is>
          <t>I06</t>
        </is>
      </c>
      <c r="D20" s="18" t="inlineStr">
        <is>
          <t>Foresight Response Architecture</t>
        </is>
      </c>
      <c r="E20" s="18" t="inlineStr">
        <is>
          <t>D02</t>
        </is>
      </c>
      <c r="F20" s="18" t="inlineStr">
        <is>
          <t>I07</t>
        </is>
      </c>
      <c r="G20" s="18" t="inlineStr">
        <is>
          <t>AI Risk Management</t>
        </is>
      </c>
      <c r="H20" s="18" t="inlineStr">
        <is>
          <t>AI direction → governance coverage</t>
        </is>
      </c>
      <c r="I20" s="18" t="inlineStr">
        <is>
          <t>If consequential AI activity/experimentation is strong while governance/risk controls are weak, flag governance exposure.</t>
        </is>
      </c>
      <c r="J20" s="18" t="inlineStr">
        <is>
          <t>Governance review</t>
        </is>
      </c>
      <c r="K20" s="18" t="inlineStr">
        <is>
          <t>Do not compensate D02 weakness with D01 maturity.</t>
        </is>
      </c>
    </row>
    <row r="21">
      <c r="A21" s="18" t="inlineStr">
        <is>
          <t>CD02</t>
        </is>
      </c>
      <c r="B21" s="18" t="inlineStr">
        <is>
          <t>D01</t>
        </is>
      </c>
      <c r="C21" s="18" t="inlineStr">
        <is>
          <t>I06</t>
        </is>
      </c>
      <c r="D21" s="18" t="inlineStr">
        <is>
          <t>Foresight Response Architecture</t>
        </is>
      </c>
      <c r="E21" s="18" t="inlineStr">
        <is>
          <t>D02</t>
        </is>
      </c>
      <c r="F21" s="18" t="inlineStr">
        <is>
          <t>I13</t>
        </is>
      </c>
      <c r="G21" s="18" t="inlineStr">
        <is>
          <t>Governance Review Adaptability</t>
        </is>
      </c>
      <c r="H21" s="18" t="inlineStr">
        <is>
          <t>AI direction → governance coverage</t>
        </is>
      </c>
      <c r="I21" s="18" t="inlineStr">
        <is>
          <t>If consequential AI activity/experimentation is strong while governance/risk controls are weak, flag governance exposure.</t>
        </is>
      </c>
      <c r="J21" s="18" t="inlineStr">
        <is>
          <t>Governance review</t>
        </is>
      </c>
      <c r="K21" s="18" t="inlineStr">
        <is>
          <t>Do not compensate D02 weakness with D01 maturity.</t>
        </is>
      </c>
    </row>
    <row r="22">
      <c r="A22" s="18" t="inlineStr">
        <is>
          <t>CD02</t>
        </is>
      </c>
      <c r="B22" s="18" t="inlineStr">
        <is>
          <t>D01</t>
        </is>
      </c>
      <c r="C22" s="18" t="inlineStr">
        <is>
          <t>I09</t>
        </is>
      </c>
      <c r="D22" s="18" t="inlineStr">
        <is>
          <t>Experimentation Effectiveness</t>
        </is>
      </c>
      <c r="E22" s="18" t="inlineStr">
        <is>
          <t>D02</t>
        </is>
      </c>
      <c r="F22" s="18" t="inlineStr">
        <is>
          <t>I01</t>
        </is>
      </c>
      <c r="G22" s="18" t="inlineStr">
        <is>
          <t>Governance Ownership</t>
        </is>
      </c>
      <c r="H22" s="18" t="inlineStr">
        <is>
          <t>AI direction → governance coverage</t>
        </is>
      </c>
      <c r="I22" s="18" t="inlineStr">
        <is>
          <t>If consequential AI activity/experimentation is strong while governance/risk controls are weak, flag governance exposure.</t>
        </is>
      </c>
      <c r="J22" s="18" t="inlineStr">
        <is>
          <t>Governance review</t>
        </is>
      </c>
      <c r="K22" s="18" t="inlineStr">
        <is>
          <t>Do not compensate D02 weakness with D01 maturity.</t>
        </is>
      </c>
    </row>
    <row r="23">
      <c r="A23" s="18" t="inlineStr">
        <is>
          <t>CD02</t>
        </is>
      </c>
      <c r="B23" s="18" t="inlineStr">
        <is>
          <t>D01</t>
        </is>
      </c>
      <c r="C23" s="18" t="inlineStr">
        <is>
          <t>I09</t>
        </is>
      </c>
      <c r="D23" s="18" t="inlineStr">
        <is>
          <t>Experimentation Effectiveness</t>
        </is>
      </c>
      <c r="E23" s="18" t="inlineStr">
        <is>
          <t>D02</t>
        </is>
      </c>
      <c r="F23" s="18" t="inlineStr">
        <is>
          <t>I03</t>
        </is>
      </c>
      <c r="G23" s="18" t="inlineStr">
        <is>
          <t>Responsible AI Maturity</t>
        </is>
      </c>
      <c r="H23" s="18" t="inlineStr">
        <is>
          <t>AI direction → governance coverage</t>
        </is>
      </c>
      <c r="I23" s="18" t="inlineStr">
        <is>
          <t>If consequential AI activity/experimentation is strong while governance/risk controls are weak, flag governance exposure.</t>
        </is>
      </c>
      <c r="J23" s="18" t="inlineStr">
        <is>
          <t>Governance review</t>
        </is>
      </c>
      <c r="K23" s="18" t="inlineStr">
        <is>
          <t>Do not compensate D02 weakness with D01 maturity.</t>
        </is>
      </c>
    </row>
    <row r="24">
      <c r="A24" s="18" t="inlineStr">
        <is>
          <t>CD02</t>
        </is>
      </c>
      <c r="B24" s="18" t="inlineStr">
        <is>
          <t>D01</t>
        </is>
      </c>
      <c r="C24" s="18" t="inlineStr">
        <is>
          <t>I09</t>
        </is>
      </c>
      <c r="D24" s="18" t="inlineStr">
        <is>
          <t>Experimentation Effectiveness</t>
        </is>
      </c>
      <c r="E24" s="18" t="inlineStr">
        <is>
          <t>D02</t>
        </is>
      </c>
      <c r="F24" s="18" t="inlineStr">
        <is>
          <t>I07</t>
        </is>
      </c>
      <c r="G24" s="18" t="inlineStr">
        <is>
          <t>AI Risk Management</t>
        </is>
      </c>
      <c r="H24" s="18" t="inlineStr">
        <is>
          <t>AI direction → governance coverage</t>
        </is>
      </c>
      <c r="I24" s="18" t="inlineStr">
        <is>
          <t>If consequential AI activity/experimentation is strong while governance/risk controls are weak, flag governance exposure.</t>
        </is>
      </c>
      <c r="J24" s="18" t="inlineStr">
        <is>
          <t>Governance review</t>
        </is>
      </c>
      <c r="K24" s="18" t="inlineStr">
        <is>
          <t>Do not compensate D02 weakness with D01 maturity.</t>
        </is>
      </c>
    </row>
    <row r="25">
      <c r="A25" s="18" t="inlineStr">
        <is>
          <t>CD02</t>
        </is>
      </c>
      <c r="B25" s="18" t="inlineStr">
        <is>
          <t>D01</t>
        </is>
      </c>
      <c r="C25" s="18" t="inlineStr">
        <is>
          <t>I09</t>
        </is>
      </c>
      <c r="D25" s="18" t="inlineStr">
        <is>
          <t>Experimentation Effectiveness</t>
        </is>
      </c>
      <c r="E25" s="18" t="inlineStr">
        <is>
          <t>D02</t>
        </is>
      </c>
      <c r="F25" s="18" t="inlineStr">
        <is>
          <t>I13</t>
        </is>
      </c>
      <c r="G25" s="18" t="inlineStr">
        <is>
          <t>Governance Review Adaptability</t>
        </is>
      </c>
      <c r="H25" s="18" t="inlineStr">
        <is>
          <t>AI direction → governance coverage</t>
        </is>
      </c>
      <c r="I25" s="18" t="inlineStr">
        <is>
          <t>If consequential AI activity/experimentation is strong while governance/risk controls are weak, flag governance exposure.</t>
        </is>
      </c>
      <c r="J25" s="18" t="inlineStr">
        <is>
          <t>Governance review</t>
        </is>
      </c>
      <c r="K25" s="18" t="inlineStr">
        <is>
          <t>Do not compensate D02 weakness with D01 maturity.</t>
        </is>
      </c>
    </row>
    <row r="26">
      <c r="A26" s="18" t="inlineStr">
        <is>
          <t>CD03</t>
        </is>
      </c>
      <c r="B26" s="18" t="inlineStr">
        <is>
          <t>D01</t>
        </is>
      </c>
      <c r="C26" s="18" t="inlineStr">
        <is>
          <t>I02</t>
        </is>
      </c>
      <c r="D26" s="18" t="inlineStr">
        <is>
          <t>Future Foresight Maturity</t>
        </is>
      </c>
      <c r="E26" s="18" t="inlineStr">
        <is>
          <t>D04</t>
        </is>
      </c>
      <c r="F26" s="18" t="inlineStr">
        <is>
          <t>I01</t>
        </is>
      </c>
      <c r="G26" s="18" t="inlineStr">
        <is>
          <t>Curriculum Sensing Maturity</t>
        </is>
      </c>
      <c r="H26" s="18" t="inlineStr">
        <is>
          <t>Portfolio foresight → programme response</t>
        </is>
      </c>
      <c r="I26" s="18" t="inlineStr">
        <is>
          <t>If institutional foresight is strong but programme review/change is weak, flag strategy-to-portfolio execution gap.</t>
        </is>
      </c>
      <c r="J26" s="18" t="inlineStr">
        <is>
          <t>Programme portfolio review</t>
        </is>
      </c>
      <c r="K26" s="18" t="inlineStr">
        <is>
          <t>Same review event cannot score both domains.</t>
        </is>
      </c>
    </row>
    <row r="27">
      <c r="A27" s="18" t="inlineStr">
        <is>
          <t>CD03</t>
        </is>
      </c>
      <c r="B27" s="18" t="inlineStr">
        <is>
          <t>D01</t>
        </is>
      </c>
      <c r="C27" s="18" t="inlineStr">
        <is>
          <t>I02</t>
        </is>
      </c>
      <c r="D27" s="18" t="inlineStr">
        <is>
          <t>Future Foresight Maturity</t>
        </is>
      </c>
      <c r="E27" s="18" t="inlineStr">
        <is>
          <t>D04</t>
        </is>
      </c>
      <c r="F27" s="18" t="inlineStr">
        <is>
          <t>I03</t>
        </is>
      </c>
      <c r="G27" s="18" t="inlineStr">
        <is>
          <t>Programme Review Effectiveness</t>
        </is>
      </c>
      <c r="H27" s="18" t="inlineStr">
        <is>
          <t>Portfolio foresight → programme response</t>
        </is>
      </c>
      <c r="I27" s="18" t="inlineStr">
        <is>
          <t>If institutional foresight is strong but programme review/change is weak, flag strategy-to-portfolio execution gap.</t>
        </is>
      </c>
      <c r="J27" s="18" t="inlineStr">
        <is>
          <t>Programme portfolio review</t>
        </is>
      </c>
      <c r="K27" s="18" t="inlineStr">
        <is>
          <t>Same review event cannot score both domains.</t>
        </is>
      </c>
    </row>
    <row r="28">
      <c r="A28" s="18" t="inlineStr">
        <is>
          <t>CD03</t>
        </is>
      </c>
      <c r="B28" s="18" t="inlineStr">
        <is>
          <t>D01</t>
        </is>
      </c>
      <c r="C28" s="18" t="inlineStr">
        <is>
          <t>I02</t>
        </is>
      </c>
      <c r="D28" s="18" t="inlineStr">
        <is>
          <t>Future Foresight Maturity</t>
        </is>
      </c>
      <c r="E28" s="18" t="inlineStr">
        <is>
          <t>D04</t>
        </is>
      </c>
      <c r="F28" s="18" t="inlineStr">
        <is>
          <t>I05</t>
        </is>
      </c>
      <c r="G28" s="18" t="inlineStr">
        <is>
          <t>Content Obsolescence Response</t>
        </is>
      </c>
      <c r="H28" s="18" t="inlineStr">
        <is>
          <t>Portfolio foresight → programme response</t>
        </is>
      </c>
      <c r="I28" s="18" t="inlineStr">
        <is>
          <t>If institutional foresight is strong but programme review/change is weak, flag strategy-to-portfolio execution gap.</t>
        </is>
      </c>
      <c r="J28" s="18" t="inlineStr">
        <is>
          <t>Programme portfolio review</t>
        </is>
      </c>
      <c r="K28" s="18" t="inlineStr">
        <is>
          <t>Same review event cannot score both domains.</t>
        </is>
      </c>
    </row>
    <row r="29">
      <c r="A29" s="18" t="inlineStr">
        <is>
          <t>CD03</t>
        </is>
      </c>
      <c r="B29" s="18" t="inlineStr">
        <is>
          <t>D01</t>
        </is>
      </c>
      <c r="C29" s="18" t="inlineStr">
        <is>
          <t>I02</t>
        </is>
      </c>
      <c r="D29" s="18" t="inlineStr">
        <is>
          <t>Future Foresight Maturity</t>
        </is>
      </c>
      <c r="E29" s="18" t="inlineStr">
        <is>
          <t>D04</t>
        </is>
      </c>
      <c r="F29" s="18" t="inlineStr">
        <is>
          <t>I08</t>
        </is>
      </c>
      <c r="G29" s="18" t="inlineStr">
        <is>
          <t>Programme Agility</t>
        </is>
      </c>
      <c r="H29" s="18" t="inlineStr">
        <is>
          <t>Portfolio foresight → programme response</t>
        </is>
      </c>
      <c r="I29" s="18" t="inlineStr">
        <is>
          <t>If institutional foresight is strong but programme review/change is weak, flag strategy-to-portfolio execution gap.</t>
        </is>
      </c>
      <c r="J29" s="18" t="inlineStr">
        <is>
          <t>Programme portfolio review</t>
        </is>
      </c>
      <c r="K29" s="18" t="inlineStr">
        <is>
          <t>Same review event cannot score both domains.</t>
        </is>
      </c>
    </row>
    <row r="30">
      <c r="A30" s="18" t="inlineStr">
        <is>
          <t>CD03</t>
        </is>
      </c>
      <c r="B30" s="18" t="inlineStr">
        <is>
          <t>D01</t>
        </is>
      </c>
      <c r="C30" s="18" t="inlineStr">
        <is>
          <t>I02</t>
        </is>
      </c>
      <c r="D30" s="18" t="inlineStr">
        <is>
          <t>Future Foresight Maturity</t>
        </is>
      </c>
      <c r="E30" s="18" t="inlineStr">
        <is>
          <t>D04</t>
        </is>
      </c>
      <c r="F30" s="18" t="inlineStr">
        <is>
          <t>I12</t>
        </is>
      </c>
      <c r="G30" s="18" t="inlineStr">
        <is>
          <t>Portfolio Foresight</t>
        </is>
      </c>
      <c r="H30" s="18" t="inlineStr">
        <is>
          <t>Portfolio foresight → programme response</t>
        </is>
      </c>
      <c r="I30" s="18" t="inlineStr">
        <is>
          <t>If institutional foresight is strong but programme review/change is weak, flag strategy-to-portfolio execution gap.</t>
        </is>
      </c>
      <c r="J30" s="18" t="inlineStr">
        <is>
          <t>Programme portfolio review</t>
        </is>
      </c>
      <c r="K30" s="18" t="inlineStr">
        <is>
          <t>Same review event cannot score both domains.</t>
        </is>
      </c>
    </row>
    <row r="31">
      <c r="A31" s="18" t="inlineStr">
        <is>
          <t>CD03</t>
        </is>
      </c>
      <c r="B31" s="18" t="inlineStr">
        <is>
          <t>D01</t>
        </is>
      </c>
      <c r="C31" s="18" t="inlineStr">
        <is>
          <t>I04</t>
        </is>
      </c>
      <c r="D31" s="18" t="inlineStr">
        <is>
          <t>Programme Future-Review Coverage</t>
        </is>
      </c>
      <c r="E31" s="18" t="inlineStr">
        <is>
          <t>D04</t>
        </is>
      </c>
      <c r="F31" s="18" t="inlineStr">
        <is>
          <t>I01</t>
        </is>
      </c>
      <c r="G31" s="18" t="inlineStr">
        <is>
          <t>Curriculum Sensing Maturity</t>
        </is>
      </c>
      <c r="H31" s="18" t="inlineStr">
        <is>
          <t>Portfolio foresight → programme response</t>
        </is>
      </c>
      <c r="I31" s="18" t="inlineStr">
        <is>
          <t>If institutional foresight is strong but programme review/change is weak, flag strategy-to-portfolio execution gap.</t>
        </is>
      </c>
      <c r="J31" s="18" t="inlineStr">
        <is>
          <t>Programme portfolio review</t>
        </is>
      </c>
      <c r="K31" s="18" t="inlineStr">
        <is>
          <t>Same review event cannot score both domains.</t>
        </is>
      </c>
    </row>
    <row r="32">
      <c r="A32" s="18" t="inlineStr">
        <is>
          <t>CD03</t>
        </is>
      </c>
      <c r="B32" s="18" t="inlineStr">
        <is>
          <t>D01</t>
        </is>
      </c>
      <c r="C32" s="18" t="inlineStr">
        <is>
          <t>I04</t>
        </is>
      </c>
      <c r="D32" s="18" t="inlineStr">
        <is>
          <t>Programme Future-Review Coverage</t>
        </is>
      </c>
      <c r="E32" s="18" t="inlineStr">
        <is>
          <t>D04</t>
        </is>
      </c>
      <c r="F32" s="18" t="inlineStr">
        <is>
          <t>I03</t>
        </is>
      </c>
      <c r="G32" s="18" t="inlineStr">
        <is>
          <t>Programme Review Effectiveness</t>
        </is>
      </c>
      <c r="H32" s="18" t="inlineStr">
        <is>
          <t>Portfolio foresight → programme response</t>
        </is>
      </c>
      <c r="I32" s="18" t="inlineStr">
        <is>
          <t>If institutional foresight is strong but programme review/change is weak, flag strategy-to-portfolio execution gap.</t>
        </is>
      </c>
      <c r="J32" s="18" t="inlineStr">
        <is>
          <t>Programme portfolio review</t>
        </is>
      </c>
      <c r="K32" s="18" t="inlineStr">
        <is>
          <t>Same review event cannot score both domains.</t>
        </is>
      </c>
    </row>
    <row r="33">
      <c r="A33" s="18" t="inlineStr">
        <is>
          <t>CD03</t>
        </is>
      </c>
      <c r="B33" s="18" t="inlineStr">
        <is>
          <t>D01</t>
        </is>
      </c>
      <c r="C33" s="18" t="inlineStr">
        <is>
          <t>I04</t>
        </is>
      </c>
      <c r="D33" s="18" t="inlineStr">
        <is>
          <t>Programme Future-Review Coverage</t>
        </is>
      </c>
      <c r="E33" s="18" t="inlineStr">
        <is>
          <t>D04</t>
        </is>
      </c>
      <c r="F33" s="18" t="inlineStr">
        <is>
          <t>I05</t>
        </is>
      </c>
      <c r="G33" s="18" t="inlineStr">
        <is>
          <t>Content Obsolescence Response</t>
        </is>
      </c>
      <c r="H33" s="18" t="inlineStr">
        <is>
          <t>Portfolio foresight → programme response</t>
        </is>
      </c>
      <c r="I33" s="18" t="inlineStr">
        <is>
          <t>If institutional foresight is strong but programme review/change is weak, flag strategy-to-portfolio execution gap.</t>
        </is>
      </c>
      <c r="J33" s="18" t="inlineStr">
        <is>
          <t>Programme portfolio review</t>
        </is>
      </c>
      <c r="K33" s="18" t="inlineStr">
        <is>
          <t>Same review event cannot score both domains.</t>
        </is>
      </c>
    </row>
    <row r="34">
      <c r="A34" s="18" t="inlineStr">
        <is>
          <t>CD03</t>
        </is>
      </c>
      <c r="B34" s="18" t="inlineStr">
        <is>
          <t>D01</t>
        </is>
      </c>
      <c r="C34" s="18" t="inlineStr">
        <is>
          <t>I04</t>
        </is>
      </c>
      <c r="D34" s="18" t="inlineStr">
        <is>
          <t>Programme Future-Review Coverage</t>
        </is>
      </c>
      <c r="E34" s="18" t="inlineStr">
        <is>
          <t>D04</t>
        </is>
      </c>
      <c r="F34" s="18" t="inlineStr">
        <is>
          <t>I08</t>
        </is>
      </c>
      <c r="G34" s="18" t="inlineStr">
        <is>
          <t>Programme Agility</t>
        </is>
      </c>
      <c r="H34" s="18" t="inlineStr">
        <is>
          <t>Portfolio foresight → programme response</t>
        </is>
      </c>
      <c r="I34" s="18" t="inlineStr">
        <is>
          <t>If institutional foresight is strong but programme review/change is weak, flag strategy-to-portfolio execution gap.</t>
        </is>
      </c>
      <c r="J34" s="18" t="inlineStr">
        <is>
          <t>Programme portfolio review</t>
        </is>
      </c>
      <c r="K34" s="18" t="inlineStr">
        <is>
          <t>Same review event cannot score both domains.</t>
        </is>
      </c>
    </row>
    <row r="35">
      <c r="A35" s="18" t="inlineStr">
        <is>
          <t>CD03</t>
        </is>
      </c>
      <c r="B35" s="18" t="inlineStr">
        <is>
          <t>D01</t>
        </is>
      </c>
      <c r="C35" s="18" t="inlineStr">
        <is>
          <t>I04</t>
        </is>
      </c>
      <c r="D35" s="18" t="inlineStr">
        <is>
          <t>Programme Future-Review Coverage</t>
        </is>
      </c>
      <c r="E35" s="18" t="inlineStr">
        <is>
          <t>D04</t>
        </is>
      </c>
      <c r="F35" s="18" t="inlineStr">
        <is>
          <t>I12</t>
        </is>
      </c>
      <c r="G35" s="18" t="inlineStr">
        <is>
          <t>Portfolio Foresight</t>
        </is>
      </c>
      <c r="H35" s="18" t="inlineStr">
        <is>
          <t>Portfolio foresight → programme response</t>
        </is>
      </c>
      <c r="I35" s="18" t="inlineStr">
        <is>
          <t>If institutional foresight is strong but programme review/change is weak, flag strategy-to-portfolio execution gap.</t>
        </is>
      </c>
      <c r="J35" s="18" t="inlineStr">
        <is>
          <t>Programme portfolio review</t>
        </is>
      </c>
      <c r="K35" s="18" t="inlineStr">
        <is>
          <t>Same review event cannot score both domains.</t>
        </is>
      </c>
    </row>
    <row r="36">
      <c r="A36" s="18" t="inlineStr">
        <is>
          <t>CD03</t>
        </is>
      </c>
      <c r="B36" s="18" t="inlineStr">
        <is>
          <t>D01</t>
        </is>
      </c>
      <c r="C36" s="18" t="inlineStr">
        <is>
          <t>I06</t>
        </is>
      </c>
      <c r="D36" s="18" t="inlineStr">
        <is>
          <t>Foresight Response Architecture</t>
        </is>
      </c>
      <c r="E36" s="18" t="inlineStr">
        <is>
          <t>D04</t>
        </is>
      </c>
      <c r="F36" s="18" t="inlineStr">
        <is>
          <t>I01</t>
        </is>
      </c>
      <c r="G36" s="18" t="inlineStr">
        <is>
          <t>Curriculum Sensing Maturity</t>
        </is>
      </c>
      <c r="H36" s="18" t="inlineStr">
        <is>
          <t>Portfolio foresight → programme response</t>
        </is>
      </c>
      <c r="I36" s="18" t="inlineStr">
        <is>
          <t>If institutional foresight is strong but programme review/change is weak, flag strategy-to-portfolio execution gap.</t>
        </is>
      </c>
      <c r="J36" s="18" t="inlineStr">
        <is>
          <t>Programme portfolio review</t>
        </is>
      </c>
      <c r="K36" s="18" t="inlineStr">
        <is>
          <t>Same review event cannot score both domains.</t>
        </is>
      </c>
    </row>
    <row r="37">
      <c r="A37" s="18" t="inlineStr">
        <is>
          <t>CD03</t>
        </is>
      </c>
      <c r="B37" s="18" t="inlineStr">
        <is>
          <t>D01</t>
        </is>
      </c>
      <c r="C37" s="18" t="inlineStr">
        <is>
          <t>I06</t>
        </is>
      </c>
      <c r="D37" s="18" t="inlineStr">
        <is>
          <t>Foresight Response Architecture</t>
        </is>
      </c>
      <c r="E37" s="18" t="inlineStr">
        <is>
          <t>D04</t>
        </is>
      </c>
      <c r="F37" s="18" t="inlineStr">
        <is>
          <t>I03</t>
        </is>
      </c>
      <c r="G37" s="18" t="inlineStr">
        <is>
          <t>Programme Review Effectiveness</t>
        </is>
      </c>
      <c r="H37" s="18" t="inlineStr">
        <is>
          <t>Portfolio foresight → programme response</t>
        </is>
      </c>
      <c r="I37" s="18" t="inlineStr">
        <is>
          <t>If institutional foresight is strong but programme review/change is weak, flag strategy-to-portfolio execution gap.</t>
        </is>
      </c>
      <c r="J37" s="18" t="inlineStr">
        <is>
          <t>Programme portfolio review</t>
        </is>
      </c>
      <c r="K37" s="18" t="inlineStr">
        <is>
          <t>Same review event cannot score both domains.</t>
        </is>
      </c>
    </row>
    <row r="38">
      <c r="A38" s="18" t="inlineStr">
        <is>
          <t>CD03</t>
        </is>
      </c>
      <c r="B38" s="18" t="inlineStr">
        <is>
          <t>D01</t>
        </is>
      </c>
      <c r="C38" s="18" t="inlineStr">
        <is>
          <t>I06</t>
        </is>
      </c>
      <c r="D38" s="18" t="inlineStr">
        <is>
          <t>Foresight Response Architecture</t>
        </is>
      </c>
      <c r="E38" s="18" t="inlineStr">
        <is>
          <t>D04</t>
        </is>
      </c>
      <c r="F38" s="18" t="inlineStr">
        <is>
          <t>I05</t>
        </is>
      </c>
      <c r="G38" s="18" t="inlineStr">
        <is>
          <t>Content Obsolescence Response</t>
        </is>
      </c>
      <c r="H38" s="18" t="inlineStr">
        <is>
          <t>Portfolio foresight → programme response</t>
        </is>
      </c>
      <c r="I38" s="18" t="inlineStr">
        <is>
          <t>If institutional foresight is strong but programme review/change is weak, flag strategy-to-portfolio execution gap.</t>
        </is>
      </c>
      <c r="J38" s="18" t="inlineStr">
        <is>
          <t>Programme portfolio review</t>
        </is>
      </c>
      <c r="K38" s="18" t="inlineStr">
        <is>
          <t>Same review event cannot score both domains.</t>
        </is>
      </c>
    </row>
    <row r="39">
      <c r="A39" s="18" t="inlineStr">
        <is>
          <t>CD03</t>
        </is>
      </c>
      <c r="B39" s="18" t="inlineStr">
        <is>
          <t>D01</t>
        </is>
      </c>
      <c r="C39" s="18" t="inlineStr">
        <is>
          <t>I06</t>
        </is>
      </c>
      <c r="D39" s="18" t="inlineStr">
        <is>
          <t>Foresight Response Architecture</t>
        </is>
      </c>
      <c r="E39" s="18" t="inlineStr">
        <is>
          <t>D04</t>
        </is>
      </c>
      <c r="F39" s="18" t="inlineStr">
        <is>
          <t>I08</t>
        </is>
      </c>
      <c r="G39" s="18" t="inlineStr">
        <is>
          <t>Programme Agility</t>
        </is>
      </c>
      <c r="H39" s="18" t="inlineStr">
        <is>
          <t>Portfolio foresight → programme response</t>
        </is>
      </c>
      <c r="I39" s="18" t="inlineStr">
        <is>
          <t>If institutional foresight is strong but programme review/change is weak, flag strategy-to-portfolio execution gap.</t>
        </is>
      </c>
      <c r="J39" s="18" t="inlineStr">
        <is>
          <t>Programme portfolio review</t>
        </is>
      </c>
      <c r="K39" s="18" t="inlineStr">
        <is>
          <t>Same review event cannot score both domains.</t>
        </is>
      </c>
    </row>
    <row r="40">
      <c r="A40" s="18" t="inlineStr">
        <is>
          <t>CD03</t>
        </is>
      </c>
      <c r="B40" s="18" t="inlineStr">
        <is>
          <t>D01</t>
        </is>
      </c>
      <c r="C40" s="18" t="inlineStr">
        <is>
          <t>I06</t>
        </is>
      </c>
      <c r="D40" s="18" t="inlineStr">
        <is>
          <t>Foresight Response Architecture</t>
        </is>
      </c>
      <c r="E40" s="18" t="inlineStr">
        <is>
          <t>D04</t>
        </is>
      </c>
      <c r="F40" s="18" t="inlineStr">
        <is>
          <t>I12</t>
        </is>
      </c>
      <c r="G40" s="18" t="inlineStr">
        <is>
          <t>Portfolio Foresight</t>
        </is>
      </c>
      <c r="H40" s="18" t="inlineStr">
        <is>
          <t>Portfolio foresight → programme response</t>
        </is>
      </c>
      <c r="I40" s="18" t="inlineStr">
        <is>
          <t>If institutional foresight is strong but programme review/change is weak, flag strategy-to-portfolio execution gap.</t>
        </is>
      </c>
      <c r="J40" s="18" t="inlineStr">
        <is>
          <t>Programme portfolio review</t>
        </is>
      </c>
      <c r="K40" s="18" t="inlineStr">
        <is>
          <t>Same review event cannot score both domains.</t>
        </is>
      </c>
    </row>
    <row r="41">
      <c r="A41" s="18" t="inlineStr">
        <is>
          <t>CD03</t>
        </is>
      </c>
      <c r="B41" s="18" t="inlineStr">
        <is>
          <t>D01</t>
        </is>
      </c>
      <c r="C41" s="18" t="inlineStr">
        <is>
          <t>I10</t>
        </is>
      </c>
      <c r="D41" s="18" t="inlineStr">
        <is>
          <t>Strategic Learning Rate</t>
        </is>
      </c>
      <c r="E41" s="18" t="inlineStr">
        <is>
          <t>D04</t>
        </is>
      </c>
      <c r="F41" s="18" t="inlineStr">
        <is>
          <t>I01</t>
        </is>
      </c>
      <c r="G41" s="18" t="inlineStr">
        <is>
          <t>Curriculum Sensing Maturity</t>
        </is>
      </c>
      <c r="H41" s="18" t="inlineStr">
        <is>
          <t>Portfolio foresight → programme response</t>
        </is>
      </c>
      <c r="I41" s="18" t="inlineStr">
        <is>
          <t>If institutional foresight is strong but programme review/change is weak, flag strategy-to-portfolio execution gap.</t>
        </is>
      </c>
      <c r="J41" s="18" t="inlineStr">
        <is>
          <t>Programme portfolio review</t>
        </is>
      </c>
      <c r="K41" s="18" t="inlineStr">
        <is>
          <t>Same review event cannot score both domains.</t>
        </is>
      </c>
    </row>
    <row r="42">
      <c r="A42" s="18" t="inlineStr">
        <is>
          <t>CD03</t>
        </is>
      </c>
      <c r="B42" s="18" t="inlineStr">
        <is>
          <t>D01</t>
        </is>
      </c>
      <c r="C42" s="18" t="inlineStr">
        <is>
          <t>I10</t>
        </is>
      </c>
      <c r="D42" s="18" t="inlineStr">
        <is>
          <t>Strategic Learning Rate</t>
        </is>
      </c>
      <c r="E42" s="18" t="inlineStr">
        <is>
          <t>D04</t>
        </is>
      </c>
      <c r="F42" s="18" t="inlineStr">
        <is>
          <t>I03</t>
        </is>
      </c>
      <c r="G42" s="18" t="inlineStr">
        <is>
          <t>Programme Review Effectiveness</t>
        </is>
      </c>
      <c r="H42" s="18" t="inlineStr">
        <is>
          <t>Portfolio foresight → programme response</t>
        </is>
      </c>
      <c r="I42" s="18" t="inlineStr">
        <is>
          <t>If institutional foresight is strong but programme review/change is weak, flag strategy-to-portfolio execution gap.</t>
        </is>
      </c>
      <c r="J42" s="18" t="inlineStr">
        <is>
          <t>Programme portfolio review</t>
        </is>
      </c>
      <c r="K42" s="18" t="inlineStr">
        <is>
          <t>Same review event cannot score both domains.</t>
        </is>
      </c>
    </row>
    <row r="43">
      <c r="A43" s="18" t="inlineStr">
        <is>
          <t>CD03</t>
        </is>
      </c>
      <c r="B43" s="18" t="inlineStr">
        <is>
          <t>D01</t>
        </is>
      </c>
      <c r="C43" s="18" t="inlineStr">
        <is>
          <t>I10</t>
        </is>
      </c>
      <c r="D43" s="18" t="inlineStr">
        <is>
          <t>Strategic Learning Rate</t>
        </is>
      </c>
      <c r="E43" s="18" t="inlineStr">
        <is>
          <t>D04</t>
        </is>
      </c>
      <c r="F43" s="18" t="inlineStr">
        <is>
          <t>I05</t>
        </is>
      </c>
      <c r="G43" s="18" t="inlineStr">
        <is>
          <t>Content Obsolescence Response</t>
        </is>
      </c>
      <c r="H43" s="18" t="inlineStr">
        <is>
          <t>Portfolio foresight → programme response</t>
        </is>
      </c>
      <c r="I43" s="18" t="inlineStr">
        <is>
          <t>If institutional foresight is strong but programme review/change is weak, flag strategy-to-portfolio execution gap.</t>
        </is>
      </c>
      <c r="J43" s="18" t="inlineStr">
        <is>
          <t>Programme portfolio review</t>
        </is>
      </c>
      <c r="K43" s="18" t="inlineStr">
        <is>
          <t>Same review event cannot score both domains.</t>
        </is>
      </c>
    </row>
    <row r="44">
      <c r="A44" s="18" t="inlineStr">
        <is>
          <t>CD03</t>
        </is>
      </c>
      <c r="B44" s="18" t="inlineStr">
        <is>
          <t>D01</t>
        </is>
      </c>
      <c r="C44" s="18" t="inlineStr">
        <is>
          <t>I10</t>
        </is>
      </c>
      <c r="D44" s="18" t="inlineStr">
        <is>
          <t>Strategic Learning Rate</t>
        </is>
      </c>
      <c r="E44" s="18" t="inlineStr">
        <is>
          <t>D04</t>
        </is>
      </c>
      <c r="F44" s="18" t="inlineStr">
        <is>
          <t>I08</t>
        </is>
      </c>
      <c r="G44" s="18" t="inlineStr">
        <is>
          <t>Programme Agility</t>
        </is>
      </c>
      <c r="H44" s="18" t="inlineStr">
        <is>
          <t>Portfolio foresight → programme response</t>
        </is>
      </c>
      <c r="I44" s="18" t="inlineStr">
        <is>
          <t>If institutional foresight is strong but programme review/change is weak, flag strategy-to-portfolio execution gap.</t>
        </is>
      </c>
      <c r="J44" s="18" t="inlineStr">
        <is>
          <t>Programme portfolio review</t>
        </is>
      </c>
      <c r="K44" s="18" t="inlineStr">
        <is>
          <t>Same review event cannot score both domains.</t>
        </is>
      </c>
    </row>
    <row r="45">
      <c r="A45" s="18" t="inlineStr">
        <is>
          <t>CD03</t>
        </is>
      </c>
      <c r="B45" s="18" t="inlineStr">
        <is>
          <t>D01</t>
        </is>
      </c>
      <c r="C45" s="18" t="inlineStr">
        <is>
          <t>I10</t>
        </is>
      </c>
      <c r="D45" s="18" t="inlineStr">
        <is>
          <t>Strategic Learning Rate</t>
        </is>
      </c>
      <c r="E45" s="18" t="inlineStr">
        <is>
          <t>D04</t>
        </is>
      </c>
      <c r="F45" s="18" t="inlineStr">
        <is>
          <t>I12</t>
        </is>
      </c>
      <c r="G45" s="18" t="inlineStr">
        <is>
          <t>Portfolio Foresight</t>
        </is>
      </c>
      <c r="H45" s="18" t="inlineStr">
        <is>
          <t>Portfolio foresight → programme response</t>
        </is>
      </c>
      <c r="I45" s="18" t="inlineStr">
        <is>
          <t>If institutional foresight is strong but programme review/change is weak, flag strategy-to-portfolio execution gap.</t>
        </is>
      </c>
      <c r="J45" s="18" t="inlineStr">
        <is>
          <t>Programme portfolio review</t>
        </is>
      </c>
      <c r="K45" s="18" t="inlineStr">
        <is>
          <t>Same review event cannot score both domains.</t>
        </is>
      </c>
    </row>
    <row r="46">
      <c r="A46" s="18" t="inlineStr">
        <is>
          <t>CD04</t>
        </is>
      </c>
      <c r="B46" s="18" t="inlineStr">
        <is>
          <t>D01</t>
        </is>
      </c>
      <c r="C46" s="18" t="inlineStr">
        <is>
          <t>I02</t>
        </is>
      </c>
      <c r="D46" s="18" t="inlineStr">
        <is>
          <t>Future Foresight Maturity</t>
        </is>
      </c>
      <c r="E46" s="18" t="inlineStr">
        <is>
          <t>D11</t>
        </is>
      </c>
      <c r="F46" s="18" t="inlineStr">
        <is>
          <t>I01</t>
        </is>
      </c>
      <c r="G46" s="18" t="inlineStr">
        <is>
          <t>External Change Sensing</t>
        </is>
      </c>
      <c r="H46" s="18" t="inlineStr">
        <is>
          <t>Strategy → adaptation</t>
        </is>
      </c>
      <c r="I46" s="18" t="inlineStr">
        <is>
          <t>If strategy claims continuous learning but adaptation/learning mechanisms are weak, flag unsupported strategic adaptability claim.</t>
        </is>
      </c>
      <c r="J46" s="18" t="inlineStr">
        <is>
          <t>Adaptation review</t>
        </is>
      </c>
      <c r="K46" s="18" t="inlineStr">
        <is>
          <t>D11 remains a distinct meta-capability.</t>
        </is>
      </c>
    </row>
    <row r="47">
      <c r="A47" s="18" t="inlineStr">
        <is>
          <t>CD04</t>
        </is>
      </c>
      <c r="B47" s="18" t="inlineStr">
        <is>
          <t>D01</t>
        </is>
      </c>
      <c r="C47" s="18" t="inlineStr">
        <is>
          <t>I02</t>
        </is>
      </c>
      <c r="D47" s="18" t="inlineStr">
        <is>
          <t>Future Foresight Maturity</t>
        </is>
      </c>
      <c r="E47" s="18" t="inlineStr">
        <is>
          <t>D11</t>
        </is>
      </c>
      <c r="F47" s="18" t="inlineStr">
        <is>
          <t>I02</t>
        </is>
      </c>
      <c r="G47" s="18" t="inlineStr">
        <is>
          <t>Strategic Response Agility</t>
        </is>
      </c>
      <c r="H47" s="18" t="inlineStr">
        <is>
          <t>Strategy → adaptation</t>
        </is>
      </c>
      <c r="I47" s="18" t="inlineStr">
        <is>
          <t>If strategy claims continuous learning but adaptation/learning mechanisms are weak, flag unsupported strategic adaptability claim.</t>
        </is>
      </c>
      <c r="J47" s="18" t="inlineStr">
        <is>
          <t>Adaptation review</t>
        </is>
      </c>
      <c r="K47" s="18" t="inlineStr">
        <is>
          <t>D11 remains a distinct meta-capability.</t>
        </is>
      </c>
    </row>
    <row r="48">
      <c r="A48" s="18" t="inlineStr">
        <is>
          <t>CD04</t>
        </is>
      </c>
      <c r="B48" s="18" t="inlineStr">
        <is>
          <t>D01</t>
        </is>
      </c>
      <c r="C48" s="18" t="inlineStr">
        <is>
          <t>I02</t>
        </is>
      </c>
      <c r="D48" s="18" t="inlineStr">
        <is>
          <t>Future Foresight Maturity</t>
        </is>
      </c>
      <c r="E48" s="18" t="inlineStr">
        <is>
          <t>D11</t>
        </is>
      </c>
      <c r="F48" s="18" t="inlineStr">
        <is>
          <t>I06</t>
        </is>
      </c>
      <c r="G48" s="18" t="inlineStr">
        <is>
          <t>Failure-to-Learning Capability</t>
        </is>
      </c>
      <c r="H48" s="18" t="inlineStr">
        <is>
          <t>Strategy → adaptation</t>
        </is>
      </c>
      <c r="I48" s="18" t="inlineStr">
        <is>
          <t>If strategy claims continuous learning but adaptation/learning mechanisms are weak, flag unsupported strategic adaptability claim.</t>
        </is>
      </c>
      <c r="J48" s="18" t="inlineStr">
        <is>
          <t>Adaptation review</t>
        </is>
      </c>
      <c r="K48" s="18" t="inlineStr">
        <is>
          <t>D11 remains a distinct meta-capability.</t>
        </is>
      </c>
    </row>
    <row r="49">
      <c r="A49" s="18" t="inlineStr">
        <is>
          <t>CD04</t>
        </is>
      </c>
      <c r="B49" s="18" t="inlineStr">
        <is>
          <t>D01</t>
        </is>
      </c>
      <c r="C49" s="18" t="inlineStr">
        <is>
          <t>I02</t>
        </is>
      </c>
      <c r="D49" s="18" t="inlineStr">
        <is>
          <t>Future Foresight Maturity</t>
        </is>
      </c>
      <c r="E49" s="18" t="inlineStr">
        <is>
          <t>D11</t>
        </is>
      </c>
      <c r="F49" s="18" t="inlineStr">
        <is>
          <t>I13</t>
        </is>
      </c>
      <c r="G49" s="18" t="inlineStr">
        <is>
          <t>Institutional Learning System</t>
        </is>
      </c>
      <c r="H49" s="18" t="inlineStr">
        <is>
          <t>Strategy → adaptation</t>
        </is>
      </c>
      <c r="I49" s="18" t="inlineStr">
        <is>
          <t>If strategy claims continuous learning but adaptation/learning mechanisms are weak, flag unsupported strategic adaptability claim.</t>
        </is>
      </c>
      <c r="J49" s="18" t="inlineStr">
        <is>
          <t>Adaptation review</t>
        </is>
      </c>
      <c r="K49" s="18" t="inlineStr">
        <is>
          <t>D11 remains a distinct meta-capability.</t>
        </is>
      </c>
    </row>
    <row r="50">
      <c r="A50" s="18" t="inlineStr">
        <is>
          <t>CD04</t>
        </is>
      </c>
      <c r="B50" s="18" t="inlineStr">
        <is>
          <t>D01</t>
        </is>
      </c>
      <c r="C50" s="18" t="inlineStr">
        <is>
          <t>I02</t>
        </is>
      </c>
      <c r="D50" s="18" t="inlineStr">
        <is>
          <t>Future Foresight Maturity</t>
        </is>
      </c>
      <c r="E50" s="18" t="inlineStr">
        <is>
          <t>D11</t>
        </is>
      </c>
      <c r="F50" s="18" t="inlineStr">
        <is>
          <t>I14</t>
        </is>
      </c>
      <c r="G50" s="18" t="inlineStr">
        <is>
          <t>Future Transformation Capacity</t>
        </is>
      </c>
      <c r="H50" s="18" t="inlineStr">
        <is>
          <t>Strategy → adaptation</t>
        </is>
      </c>
      <c r="I50" s="18" t="inlineStr">
        <is>
          <t>If strategy claims continuous learning but adaptation/learning mechanisms are weak, flag unsupported strategic adaptability claim.</t>
        </is>
      </c>
      <c r="J50" s="18" t="inlineStr">
        <is>
          <t>Adaptation review</t>
        </is>
      </c>
      <c r="K50" s="18" t="inlineStr">
        <is>
          <t>D11 remains a distinct meta-capability.</t>
        </is>
      </c>
    </row>
    <row r="51">
      <c r="A51" s="18" t="inlineStr">
        <is>
          <t>CD04</t>
        </is>
      </c>
      <c r="B51" s="18" t="inlineStr">
        <is>
          <t>D01</t>
        </is>
      </c>
      <c r="C51" s="18" t="inlineStr">
        <is>
          <t>I03</t>
        </is>
      </c>
      <c r="D51" s="18" t="inlineStr">
        <is>
          <t>Strategic Translation Rate</t>
        </is>
      </c>
      <c r="E51" s="18" t="inlineStr">
        <is>
          <t>D11</t>
        </is>
      </c>
      <c r="F51" s="18" t="inlineStr">
        <is>
          <t>I01</t>
        </is>
      </c>
      <c r="G51" s="18" t="inlineStr">
        <is>
          <t>External Change Sensing</t>
        </is>
      </c>
      <c r="H51" s="18" t="inlineStr">
        <is>
          <t>Strategy → adaptation</t>
        </is>
      </c>
      <c r="I51" s="18" t="inlineStr">
        <is>
          <t>If strategy claims continuous learning but adaptation/learning mechanisms are weak, flag unsupported strategic adaptability claim.</t>
        </is>
      </c>
      <c r="J51" s="18" t="inlineStr">
        <is>
          <t>Adaptation review</t>
        </is>
      </c>
      <c r="K51" s="18" t="inlineStr">
        <is>
          <t>D11 remains a distinct meta-capability.</t>
        </is>
      </c>
    </row>
    <row r="52">
      <c r="A52" s="18" t="inlineStr">
        <is>
          <t>CD04</t>
        </is>
      </c>
      <c r="B52" s="18" t="inlineStr">
        <is>
          <t>D01</t>
        </is>
      </c>
      <c r="C52" s="18" t="inlineStr">
        <is>
          <t>I03</t>
        </is>
      </c>
      <c r="D52" s="18" t="inlineStr">
        <is>
          <t>Strategic Translation Rate</t>
        </is>
      </c>
      <c r="E52" s="18" t="inlineStr">
        <is>
          <t>D11</t>
        </is>
      </c>
      <c r="F52" s="18" t="inlineStr">
        <is>
          <t>I02</t>
        </is>
      </c>
      <c r="G52" s="18" t="inlineStr">
        <is>
          <t>Strategic Response Agility</t>
        </is>
      </c>
      <c r="H52" s="18" t="inlineStr">
        <is>
          <t>Strategy → adaptation</t>
        </is>
      </c>
      <c r="I52" s="18" t="inlineStr">
        <is>
          <t>If strategy claims continuous learning but adaptation/learning mechanisms are weak, flag unsupported strategic adaptability claim.</t>
        </is>
      </c>
      <c r="J52" s="18" t="inlineStr">
        <is>
          <t>Adaptation review</t>
        </is>
      </c>
      <c r="K52" s="18" t="inlineStr">
        <is>
          <t>D11 remains a distinct meta-capability.</t>
        </is>
      </c>
    </row>
    <row r="53">
      <c r="A53" s="18" t="inlineStr">
        <is>
          <t>CD04</t>
        </is>
      </c>
      <c r="B53" s="18" t="inlineStr">
        <is>
          <t>D01</t>
        </is>
      </c>
      <c r="C53" s="18" t="inlineStr">
        <is>
          <t>I03</t>
        </is>
      </c>
      <c r="D53" s="18" t="inlineStr">
        <is>
          <t>Strategic Translation Rate</t>
        </is>
      </c>
      <c r="E53" s="18" t="inlineStr">
        <is>
          <t>D11</t>
        </is>
      </c>
      <c r="F53" s="18" t="inlineStr">
        <is>
          <t>I06</t>
        </is>
      </c>
      <c r="G53" s="18" t="inlineStr">
        <is>
          <t>Failure-to-Learning Capability</t>
        </is>
      </c>
      <c r="H53" s="18" t="inlineStr">
        <is>
          <t>Strategy → adaptation</t>
        </is>
      </c>
      <c r="I53" s="18" t="inlineStr">
        <is>
          <t>If strategy claims continuous learning but adaptation/learning mechanisms are weak, flag unsupported strategic adaptability claim.</t>
        </is>
      </c>
      <c r="J53" s="18" t="inlineStr">
        <is>
          <t>Adaptation review</t>
        </is>
      </c>
      <c r="K53" s="18" t="inlineStr">
        <is>
          <t>D11 remains a distinct meta-capability.</t>
        </is>
      </c>
    </row>
    <row r="54">
      <c r="A54" s="18" t="inlineStr">
        <is>
          <t>CD04</t>
        </is>
      </c>
      <c r="B54" s="18" t="inlineStr">
        <is>
          <t>D01</t>
        </is>
      </c>
      <c r="C54" s="18" t="inlineStr">
        <is>
          <t>I03</t>
        </is>
      </c>
      <c r="D54" s="18" t="inlineStr">
        <is>
          <t>Strategic Translation Rate</t>
        </is>
      </c>
      <c r="E54" s="18" t="inlineStr">
        <is>
          <t>D11</t>
        </is>
      </c>
      <c r="F54" s="18" t="inlineStr">
        <is>
          <t>I13</t>
        </is>
      </c>
      <c r="G54" s="18" t="inlineStr">
        <is>
          <t>Institutional Learning System</t>
        </is>
      </c>
      <c r="H54" s="18" t="inlineStr">
        <is>
          <t>Strategy → adaptation</t>
        </is>
      </c>
      <c r="I54" s="18" t="inlineStr">
        <is>
          <t>If strategy claims continuous learning but adaptation/learning mechanisms are weak, flag unsupported strategic adaptability claim.</t>
        </is>
      </c>
      <c r="J54" s="18" t="inlineStr">
        <is>
          <t>Adaptation review</t>
        </is>
      </c>
      <c r="K54" s="18" t="inlineStr">
        <is>
          <t>D11 remains a distinct meta-capability.</t>
        </is>
      </c>
    </row>
    <row r="55">
      <c r="A55" s="18" t="inlineStr">
        <is>
          <t>CD04</t>
        </is>
      </c>
      <c r="B55" s="18" t="inlineStr">
        <is>
          <t>D01</t>
        </is>
      </c>
      <c r="C55" s="18" t="inlineStr">
        <is>
          <t>I03</t>
        </is>
      </c>
      <c r="D55" s="18" t="inlineStr">
        <is>
          <t>Strategic Translation Rate</t>
        </is>
      </c>
      <c r="E55" s="18" t="inlineStr">
        <is>
          <t>D11</t>
        </is>
      </c>
      <c r="F55" s="18" t="inlineStr">
        <is>
          <t>I14</t>
        </is>
      </c>
      <c r="G55" s="18" t="inlineStr">
        <is>
          <t>Future Transformation Capacity</t>
        </is>
      </c>
      <c r="H55" s="18" t="inlineStr">
        <is>
          <t>Strategy → adaptation</t>
        </is>
      </c>
      <c r="I55" s="18" t="inlineStr">
        <is>
          <t>If strategy claims continuous learning but adaptation/learning mechanisms are weak, flag unsupported strategic adaptability claim.</t>
        </is>
      </c>
      <c r="J55" s="18" t="inlineStr">
        <is>
          <t>Adaptation review</t>
        </is>
      </c>
      <c r="K55" s="18" t="inlineStr">
        <is>
          <t>D11 remains a distinct meta-capability.</t>
        </is>
      </c>
    </row>
    <row r="56">
      <c r="A56" s="18" t="inlineStr">
        <is>
          <t>CD04</t>
        </is>
      </c>
      <c r="B56" s="18" t="inlineStr">
        <is>
          <t>D01</t>
        </is>
      </c>
      <c r="C56" s="18" t="inlineStr">
        <is>
          <t>I10</t>
        </is>
      </c>
      <c r="D56" s="18" t="inlineStr">
        <is>
          <t>Strategic Learning Rate</t>
        </is>
      </c>
      <c r="E56" s="18" t="inlineStr">
        <is>
          <t>D11</t>
        </is>
      </c>
      <c r="F56" s="18" t="inlineStr">
        <is>
          <t>I01</t>
        </is>
      </c>
      <c r="G56" s="18" t="inlineStr">
        <is>
          <t>External Change Sensing</t>
        </is>
      </c>
      <c r="H56" s="18" t="inlineStr">
        <is>
          <t>Strategy → adaptation</t>
        </is>
      </c>
      <c r="I56" s="18" t="inlineStr">
        <is>
          <t>If strategy claims continuous learning but adaptation/learning mechanisms are weak, flag unsupported strategic adaptability claim.</t>
        </is>
      </c>
      <c r="J56" s="18" t="inlineStr">
        <is>
          <t>Adaptation review</t>
        </is>
      </c>
      <c r="K56" s="18" t="inlineStr">
        <is>
          <t>D11 remains a distinct meta-capability.</t>
        </is>
      </c>
    </row>
    <row r="57">
      <c r="A57" s="18" t="inlineStr">
        <is>
          <t>CD04</t>
        </is>
      </c>
      <c r="B57" s="18" t="inlineStr">
        <is>
          <t>D01</t>
        </is>
      </c>
      <c r="C57" s="18" t="inlineStr">
        <is>
          <t>I10</t>
        </is>
      </c>
      <c r="D57" s="18" t="inlineStr">
        <is>
          <t>Strategic Learning Rate</t>
        </is>
      </c>
      <c r="E57" s="18" t="inlineStr">
        <is>
          <t>D11</t>
        </is>
      </c>
      <c r="F57" s="18" t="inlineStr">
        <is>
          <t>I02</t>
        </is>
      </c>
      <c r="G57" s="18" t="inlineStr">
        <is>
          <t>Strategic Response Agility</t>
        </is>
      </c>
      <c r="H57" s="18" t="inlineStr">
        <is>
          <t>Strategy → adaptation</t>
        </is>
      </c>
      <c r="I57" s="18" t="inlineStr">
        <is>
          <t>If strategy claims continuous learning but adaptation/learning mechanisms are weak, flag unsupported strategic adaptability claim.</t>
        </is>
      </c>
      <c r="J57" s="18" t="inlineStr">
        <is>
          <t>Adaptation review</t>
        </is>
      </c>
      <c r="K57" s="18" t="inlineStr">
        <is>
          <t>D11 remains a distinct meta-capability.</t>
        </is>
      </c>
    </row>
    <row r="58">
      <c r="A58" s="18" t="inlineStr">
        <is>
          <t>CD04</t>
        </is>
      </c>
      <c r="B58" s="18" t="inlineStr">
        <is>
          <t>D01</t>
        </is>
      </c>
      <c r="C58" s="18" t="inlineStr">
        <is>
          <t>I10</t>
        </is>
      </c>
      <c r="D58" s="18" t="inlineStr">
        <is>
          <t>Strategic Learning Rate</t>
        </is>
      </c>
      <c r="E58" s="18" t="inlineStr">
        <is>
          <t>D11</t>
        </is>
      </c>
      <c r="F58" s="18" t="inlineStr">
        <is>
          <t>I06</t>
        </is>
      </c>
      <c r="G58" s="18" t="inlineStr">
        <is>
          <t>Failure-to-Learning Capability</t>
        </is>
      </c>
      <c r="H58" s="18" t="inlineStr">
        <is>
          <t>Strategy → adaptation</t>
        </is>
      </c>
      <c r="I58" s="18" t="inlineStr">
        <is>
          <t>If strategy claims continuous learning but adaptation/learning mechanisms are weak, flag unsupported strategic adaptability claim.</t>
        </is>
      </c>
      <c r="J58" s="18" t="inlineStr">
        <is>
          <t>Adaptation review</t>
        </is>
      </c>
      <c r="K58" s="18" t="inlineStr">
        <is>
          <t>D11 remains a distinct meta-capability.</t>
        </is>
      </c>
    </row>
    <row r="59">
      <c r="A59" s="18" t="inlineStr">
        <is>
          <t>CD04</t>
        </is>
      </c>
      <c r="B59" s="18" t="inlineStr">
        <is>
          <t>D01</t>
        </is>
      </c>
      <c r="C59" s="18" t="inlineStr">
        <is>
          <t>I10</t>
        </is>
      </c>
      <c r="D59" s="18" t="inlineStr">
        <is>
          <t>Strategic Learning Rate</t>
        </is>
      </c>
      <c r="E59" s="18" t="inlineStr">
        <is>
          <t>D11</t>
        </is>
      </c>
      <c r="F59" s="18" t="inlineStr">
        <is>
          <t>I13</t>
        </is>
      </c>
      <c r="G59" s="18" t="inlineStr">
        <is>
          <t>Institutional Learning System</t>
        </is>
      </c>
      <c r="H59" s="18" t="inlineStr">
        <is>
          <t>Strategy → adaptation</t>
        </is>
      </c>
      <c r="I59" s="18" t="inlineStr">
        <is>
          <t>If strategy claims continuous learning but adaptation/learning mechanisms are weak, flag unsupported strategic adaptability claim.</t>
        </is>
      </c>
      <c r="J59" s="18" t="inlineStr">
        <is>
          <t>Adaptation review</t>
        </is>
      </c>
      <c r="K59" s="18" t="inlineStr">
        <is>
          <t>D11 remains a distinct meta-capability.</t>
        </is>
      </c>
    </row>
    <row r="60">
      <c r="A60" s="18" t="inlineStr">
        <is>
          <t>CD04</t>
        </is>
      </c>
      <c r="B60" s="18" t="inlineStr">
        <is>
          <t>D01</t>
        </is>
      </c>
      <c r="C60" s="18" t="inlineStr">
        <is>
          <t>I10</t>
        </is>
      </c>
      <c r="D60" s="18" t="inlineStr">
        <is>
          <t>Strategic Learning Rate</t>
        </is>
      </c>
      <c r="E60" s="18" t="inlineStr">
        <is>
          <t>D11</t>
        </is>
      </c>
      <c r="F60" s="18" t="inlineStr">
        <is>
          <t>I14</t>
        </is>
      </c>
      <c r="G60" s="18" t="inlineStr">
        <is>
          <t>Future Transformation Capacity</t>
        </is>
      </c>
      <c r="H60" s="18" t="inlineStr">
        <is>
          <t>Strategy → adaptation</t>
        </is>
      </c>
      <c r="I60" s="18" t="inlineStr">
        <is>
          <t>If strategy claims continuous learning but adaptation/learning mechanisms are weak, flag unsupported strategic adaptability claim.</t>
        </is>
      </c>
      <c r="J60" s="18" t="inlineStr">
        <is>
          <t>Adaptation review</t>
        </is>
      </c>
      <c r="K60" s="18" t="inlineStr">
        <is>
          <t>D11 remains a distinct meta-capability.</t>
        </is>
      </c>
    </row>
    <row r="61">
      <c r="A61" s="18" t="inlineStr">
        <is>
          <t>CD05</t>
        </is>
      </c>
      <c r="B61" s="18" t="inlineStr">
        <is>
          <t>D02</t>
        </is>
      </c>
      <c r="C61" s="18" t="inlineStr">
        <is>
          <t>I05</t>
        </is>
      </c>
      <c r="D61" s="18" t="inlineStr">
        <is>
          <t>Academic Integrity Governance</t>
        </is>
      </c>
      <c r="E61" s="18" t="inlineStr">
        <is>
          <t>D07</t>
        </is>
      </c>
      <c r="F61" s="18" t="inlineStr">
        <is>
          <t>I01</t>
        </is>
      </c>
      <c r="G61" s="18" t="inlineStr">
        <is>
          <t>Assessment Design Maturity</t>
        </is>
      </c>
      <c r="H61" s="18" t="inlineStr">
        <is>
          <t>Assessment governance → assessment practice</t>
        </is>
      </c>
      <c r="I61" s="18" t="inlineStr">
        <is>
          <t>If assessment governance is strong but actual assessment design/evidence is weak, flag policy-to-practice gap.</t>
        </is>
      </c>
      <c r="J61" s="18" t="inlineStr">
        <is>
          <t>Assessment architecture review</t>
        </is>
      </c>
      <c r="K61" s="18" t="inlineStr">
        <is>
          <t>Governance policy cannot generate D07 maturity.</t>
        </is>
      </c>
    </row>
    <row r="62">
      <c r="A62" s="18" t="inlineStr">
        <is>
          <t>CD05</t>
        </is>
      </c>
      <c r="B62" s="18" t="inlineStr">
        <is>
          <t>D02</t>
        </is>
      </c>
      <c r="C62" s="18" t="inlineStr">
        <is>
          <t>I05</t>
        </is>
      </c>
      <c r="D62" s="18" t="inlineStr">
        <is>
          <t>Academic Integrity Governance</t>
        </is>
      </c>
      <c r="E62" s="18" t="inlineStr">
        <is>
          <t>D07</t>
        </is>
      </c>
      <c r="F62" s="18" t="inlineStr">
        <is>
          <t>I04</t>
        </is>
      </c>
      <c r="G62" s="18" t="inlineStr">
        <is>
          <t>AI-Aware Assessment Maturity</t>
        </is>
      </c>
      <c r="H62" s="18" t="inlineStr">
        <is>
          <t>Assessment governance → assessment practice</t>
        </is>
      </c>
      <c r="I62" s="18" t="inlineStr">
        <is>
          <t>If assessment governance is strong but actual assessment design/evidence is weak, flag policy-to-practice gap.</t>
        </is>
      </c>
      <c r="J62" s="18" t="inlineStr">
        <is>
          <t>Assessment architecture review</t>
        </is>
      </c>
      <c r="K62" s="18" t="inlineStr">
        <is>
          <t>Governance policy cannot generate D07 maturity.</t>
        </is>
      </c>
    </row>
    <row r="63">
      <c r="A63" s="18" t="inlineStr">
        <is>
          <t>CD05</t>
        </is>
      </c>
      <c r="B63" s="18" t="inlineStr">
        <is>
          <t>D02</t>
        </is>
      </c>
      <c r="C63" s="18" t="inlineStr">
        <is>
          <t>I05</t>
        </is>
      </c>
      <c r="D63" s="18" t="inlineStr">
        <is>
          <t>Academic Integrity Governance</t>
        </is>
      </c>
      <c r="E63" s="18" t="inlineStr">
        <is>
          <t>D07</t>
        </is>
      </c>
      <c r="F63" s="18" t="inlineStr">
        <is>
          <t>I05</t>
        </is>
      </c>
      <c r="G63" s="18" t="inlineStr">
        <is>
          <t>Verification &amp; Defence</t>
        </is>
      </c>
      <c r="H63" s="18" t="inlineStr">
        <is>
          <t>Assessment governance → assessment practice</t>
        </is>
      </c>
      <c r="I63" s="18" t="inlineStr">
        <is>
          <t>If assessment governance is strong but actual assessment design/evidence is weak, flag policy-to-practice gap.</t>
        </is>
      </c>
      <c r="J63" s="18" t="inlineStr">
        <is>
          <t>Assessment architecture review</t>
        </is>
      </c>
      <c r="K63" s="18" t="inlineStr">
        <is>
          <t>Governance policy cannot generate D07 maturity.</t>
        </is>
      </c>
    </row>
    <row r="64">
      <c r="A64" s="18" t="inlineStr">
        <is>
          <t>CD05</t>
        </is>
      </c>
      <c r="B64" s="18" t="inlineStr">
        <is>
          <t>D02</t>
        </is>
      </c>
      <c r="C64" s="18" t="inlineStr">
        <is>
          <t>I05</t>
        </is>
      </c>
      <c r="D64" s="18" t="inlineStr">
        <is>
          <t>Academic Integrity Governance</t>
        </is>
      </c>
      <c r="E64" s="18" t="inlineStr">
        <is>
          <t>D07</t>
        </is>
      </c>
      <c r="F64" s="18" t="inlineStr">
        <is>
          <t>I10</t>
        </is>
      </c>
      <c r="G64" s="18" t="inlineStr">
        <is>
          <t>Assessment Governance</t>
        </is>
      </c>
      <c r="H64" s="18" t="inlineStr">
        <is>
          <t>Assessment governance → assessment practice</t>
        </is>
      </c>
      <c r="I64" s="18" t="inlineStr">
        <is>
          <t>If assessment governance is strong but actual assessment design/evidence is weak, flag policy-to-practice gap.</t>
        </is>
      </c>
      <c r="J64" s="18" t="inlineStr">
        <is>
          <t>Assessment architecture review</t>
        </is>
      </c>
      <c r="K64" s="18" t="inlineStr">
        <is>
          <t>Governance policy cannot generate D07 maturity.</t>
        </is>
      </c>
    </row>
    <row r="65">
      <c r="A65" s="18" t="inlineStr">
        <is>
          <t>CD05</t>
        </is>
      </c>
      <c r="B65" s="18" t="inlineStr">
        <is>
          <t>D02</t>
        </is>
      </c>
      <c r="C65" s="18" t="inlineStr">
        <is>
          <t>I05</t>
        </is>
      </c>
      <c r="D65" s="18" t="inlineStr">
        <is>
          <t>Academic Integrity Governance</t>
        </is>
      </c>
      <c r="E65" s="18" t="inlineStr">
        <is>
          <t>D07</t>
        </is>
      </c>
      <c r="F65" s="18" t="inlineStr">
        <is>
          <t>I12</t>
        </is>
      </c>
      <c r="G65" s="18" t="inlineStr">
        <is>
          <t>Learning Evidence Analytics</t>
        </is>
      </c>
      <c r="H65" s="18" t="inlineStr">
        <is>
          <t>Assessment governance → assessment practice</t>
        </is>
      </c>
      <c r="I65" s="18" t="inlineStr">
        <is>
          <t>If assessment governance is strong but actual assessment design/evidence is weak, flag policy-to-practice gap.</t>
        </is>
      </c>
      <c r="J65" s="18" t="inlineStr">
        <is>
          <t>Assessment architecture review</t>
        </is>
      </c>
      <c r="K65" s="18" t="inlineStr">
        <is>
          <t>Governance policy cannot generate D07 maturity.</t>
        </is>
      </c>
    </row>
    <row r="66">
      <c r="A66" s="18" t="inlineStr">
        <is>
          <t>CD05</t>
        </is>
      </c>
      <c r="B66" s="18" t="inlineStr">
        <is>
          <t>D02</t>
        </is>
      </c>
      <c r="C66" s="18" t="inlineStr">
        <is>
          <t>I06</t>
        </is>
      </c>
      <c r="D66" s="18" t="inlineStr">
        <is>
          <t>Assessment Governance</t>
        </is>
      </c>
      <c r="E66" s="18" t="inlineStr">
        <is>
          <t>D07</t>
        </is>
      </c>
      <c r="F66" s="18" t="inlineStr">
        <is>
          <t>I01</t>
        </is>
      </c>
      <c r="G66" s="18" t="inlineStr">
        <is>
          <t>Assessment Design Maturity</t>
        </is>
      </c>
      <c r="H66" s="18" t="inlineStr">
        <is>
          <t>Assessment governance → assessment practice</t>
        </is>
      </c>
      <c r="I66" s="18" t="inlineStr">
        <is>
          <t>If assessment governance is strong but actual assessment design/evidence is weak, flag policy-to-practice gap.</t>
        </is>
      </c>
      <c r="J66" s="18" t="inlineStr">
        <is>
          <t>Assessment architecture review</t>
        </is>
      </c>
      <c r="K66" s="18" t="inlineStr">
        <is>
          <t>Governance policy cannot generate D07 maturity.</t>
        </is>
      </c>
    </row>
    <row r="67">
      <c r="A67" s="18" t="inlineStr">
        <is>
          <t>CD05</t>
        </is>
      </c>
      <c r="B67" s="18" t="inlineStr">
        <is>
          <t>D02</t>
        </is>
      </c>
      <c r="C67" s="18" t="inlineStr">
        <is>
          <t>I06</t>
        </is>
      </c>
      <c r="D67" s="18" t="inlineStr">
        <is>
          <t>Assessment Governance</t>
        </is>
      </c>
      <c r="E67" s="18" t="inlineStr">
        <is>
          <t>D07</t>
        </is>
      </c>
      <c r="F67" s="18" t="inlineStr">
        <is>
          <t>I04</t>
        </is>
      </c>
      <c r="G67" s="18" t="inlineStr">
        <is>
          <t>AI-Aware Assessment Maturity</t>
        </is>
      </c>
      <c r="H67" s="18" t="inlineStr">
        <is>
          <t>Assessment governance → assessment practice</t>
        </is>
      </c>
      <c r="I67" s="18" t="inlineStr">
        <is>
          <t>If assessment governance is strong but actual assessment design/evidence is weak, flag policy-to-practice gap.</t>
        </is>
      </c>
      <c r="J67" s="18" t="inlineStr">
        <is>
          <t>Assessment architecture review</t>
        </is>
      </c>
      <c r="K67" s="18" t="inlineStr">
        <is>
          <t>Governance policy cannot generate D07 maturity.</t>
        </is>
      </c>
    </row>
    <row r="68">
      <c r="A68" s="18" t="inlineStr">
        <is>
          <t>CD05</t>
        </is>
      </c>
      <c r="B68" s="18" t="inlineStr">
        <is>
          <t>D02</t>
        </is>
      </c>
      <c r="C68" s="18" t="inlineStr">
        <is>
          <t>I06</t>
        </is>
      </c>
      <c r="D68" s="18" t="inlineStr">
        <is>
          <t>Assessment Governance</t>
        </is>
      </c>
      <c r="E68" s="18" t="inlineStr">
        <is>
          <t>D07</t>
        </is>
      </c>
      <c r="F68" s="18" t="inlineStr">
        <is>
          <t>I05</t>
        </is>
      </c>
      <c r="G68" s="18" t="inlineStr">
        <is>
          <t>Verification &amp; Defence</t>
        </is>
      </c>
      <c r="H68" s="18" t="inlineStr">
        <is>
          <t>Assessment governance → assessment practice</t>
        </is>
      </c>
      <c r="I68" s="18" t="inlineStr">
        <is>
          <t>If assessment governance is strong but actual assessment design/evidence is weak, flag policy-to-practice gap.</t>
        </is>
      </c>
      <c r="J68" s="18" t="inlineStr">
        <is>
          <t>Assessment architecture review</t>
        </is>
      </c>
      <c r="K68" s="18" t="inlineStr">
        <is>
          <t>Governance policy cannot generate D07 maturity.</t>
        </is>
      </c>
    </row>
    <row r="69">
      <c r="A69" s="18" t="inlineStr">
        <is>
          <t>CD05</t>
        </is>
      </c>
      <c r="B69" s="18" t="inlineStr">
        <is>
          <t>D02</t>
        </is>
      </c>
      <c r="C69" s="18" t="inlineStr">
        <is>
          <t>I06</t>
        </is>
      </c>
      <c r="D69" s="18" t="inlineStr">
        <is>
          <t>Assessment Governance</t>
        </is>
      </c>
      <c r="E69" s="18" t="inlineStr">
        <is>
          <t>D07</t>
        </is>
      </c>
      <c r="F69" s="18" t="inlineStr">
        <is>
          <t>I10</t>
        </is>
      </c>
      <c r="G69" s="18" t="inlineStr">
        <is>
          <t>Assessment Governance</t>
        </is>
      </c>
      <c r="H69" s="18" t="inlineStr">
        <is>
          <t>Assessment governance → assessment practice</t>
        </is>
      </c>
      <c r="I69" s="18" t="inlineStr">
        <is>
          <t>If assessment governance is strong but actual assessment design/evidence is weak, flag policy-to-practice gap.</t>
        </is>
      </c>
      <c r="J69" s="18" t="inlineStr">
        <is>
          <t>Assessment architecture review</t>
        </is>
      </c>
      <c r="K69" s="18" t="inlineStr">
        <is>
          <t>Governance policy cannot generate D07 maturity.</t>
        </is>
      </c>
    </row>
    <row r="70">
      <c r="A70" s="18" t="inlineStr">
        <is>
          <t>CD05</t>
        </is>
      </c>
      <c r="B70" s="18" t="inlineStr">
        <is>
          <t>D02</t>
        </is>
      </c>
      <c r="C70" s="18" t="inlineStr">
        <is>
          <t>I06</t>
        </is>
      </c>
      <c r="D70" s="18" t="inlineStr">
        <is>
          <t>Assessment Governance</t>
        </is>
      </c>
      <c r="E70" s="18" t="inlineStr">
        <is>
          <t>D07</t>
        </is>
      </c>
      <c r="F70" s="18" t="inlineStr">
        <is>
          <t>I12</t>
        </is>
      </c>
      <c r="G70" s="18" t="inlineStr">
        <is>
          <t>Learning Evidence Analytics</t>
        </is>
      </c>
      <c r="H70" s="18" t="inlineStr">
        <is>
          <t>Assessment governance → assessment practice</t>
        </is>
      </c>
      <c r="I70" s="18" t="inlineStr">
        <is>
          <t>If assessment governance is strong but actual assessment design/evidence is weak, flag policy-to-practice gap.</t>
        </is>
      </c>
      <c r="J70" s="18" t="inlineStr">
        <is>
          <t>Assessment architecture review</t>
        </is>
      </c>
      <c r="K70" s="18" t="inlineStr">
        <is>
          <t>Governance policy cannot generate D07 maturity.</t>
        </is>
      </c>
    </row>
    <row r="71">
      <c r="A71" s="18" t="inlineStr">
        <is>
          <t>CD05</t>
        </is>
      </c>
      <c r="B71" s="18" t="inlineStr">
        <is>
          <t>D02</t>
        </is>
      </c>
      <c r="C71" s="18" t="inlineStr">
        <is>
          <t>I07</t>
        </is>
      </c>
      <c r="D71" s="18" t="inlineStr">
        <is>
          <t>AI Risk Management</t>
        </is>
      </c>
      <c r="E71" s="18" t="inlineStr">
        <is>
          <t>D07</t>
        </is>
      </c>
      <c r="F71" s="18" t="inlineStr">
        <is>
          <t>I01</t>
        </is>
      </c>
      <c r="G71" s="18" t="inlineStr">
        <is>
          <t>Assessment Design Maturity</t>
        </is>
      </c>
      <c r="H71" s="18" t="inlineStr">
        <is>
          <t>Assessment governance → assessment practice</t>
        </is>
      </c>
      <c r="I71" s="18" t="inlineStr">
        <is>
          <t>If assessment governance is strong but actual assessment design/evidence is weak, flag policy-to-practice gap.</t>
        </is>
      </c>
      <c r="J71" s="18" t="inlineStr">
        <is>
          <t>Assessment architecture review</t>
        </is>
      </c>
      <c r="K71" s="18" t="inlineStr">
        <is>
          <t>Governance policy cannot generate D07 maturity.</t>
        </is>
      </c>
    </row>
    <row r="72">
      <c r="A72" s="18" t="inlineStr">
        <is>
          <t>CD05</t>
        </is>
      </c>
      <c r="B72" s="18" t="inlineStr">
        <is>
          <t>D02</t>
        </is>
      </c>
      <c r="C72" s="18" t="inlineStr">
        <is>
          <t>I07</t>
        </is>
      </c>
      <c r="D72" s="18" t="inlineStr">
        <is>
          <t>AI Risk Management</t>
        </is>
      </c>
      <c r="E72" s="18" t="inlineStr">
        <is>
          <t>D07</t>
        </is>
      </c>
      <c r="F72" s="18" t="inlineStr">
        <is>
          <t>I04</t>
        </is>
      </c>
      <c r="G72" s="18" t="inlineStr">
        <is>
          <t>AI-Aware Assessment Maturity</t>
        </is>
      </c>
      <c r="H72" s="18" t="inlineStr">
        <is>
          <t>Assessment governance → assessment practice</t>
        </is>
      </c>
      <c r="I72" s="18" t="inlineStr">
        <is>
          <t>If assessment governance is strong but actual assessment design/evidence is weak, flag policy-to-practice gap.</t>
        </is>
      </c>
      <c r="J72" s="18" t="inlineStr">
        <is>
          <t>Assessment architecture review</t>
        </is>
      </c>
      <c r="K72" s="18" t="inlineStr">
        <is>
          <t>Governance policy cannot generate D07 maturity.</t>
        </is>
      </c>
    </row>
    <row r="73">
      <c r="A73" s="18" t="inlineStr">
        <is>
          <t>CD05</t>
        </is>
      </c>
      <c r="B73" s="18" t="inlineStr">
        <is>
          <t>D02</t>
        </is>
      </c>
      <c r="C73" s="18" t="inlineStr">
        <is>
          <t>I07</t>
        </is>
      </c>
      <c r="D73" s="18" t="inlineStr">
        <is>
          <t>AI Risk Management</t>
        </is>
      </c>
      <c r="E73" s="18" t="inlineStr">
        <is>
          <t>D07</t>
        </is>
      </c>
      <c r="F73" s="18" t="inlineStr">
        <is>
          <t>I05</t>
        </is>
      </c>
      <c r="G73" s="18" t="inlineStr">
        <is>
          <t>Verification &amp; Defence</t>
        </is>
      </c>
      <c r="H73" s="18" t="inlineStr">
        <is>
          <t>Assessment governance → assessment practice</t>
        </is>
      </c>
      <c r="I73" s="18" t="inlineStr">
        <is>
          <t>If assessment governance is strong but actual assessment design/evidence is weak, flag policy-to-practice gap.</t>
        </is>
      </c>
      <c r="J73" s="18" t="inlineStr">
        <is>
          <t>Assessment architecture review</t>
        </is>
      </c>
      <c r="K73" s="18" t="inlineStr">
        <is>
          <t>Governance policy cannot generate D07 maturity.</t>
        </is>
      </c>
    </row>
    <row r="74">
      <c r="A74" s="18" t="inlineStr">
        <is>
          <t>CD05</t>
        </is>
      </c>
      <c r="B74" s="18" t="inlineStr">
        <is>
          <t>D02</t>
        </is>
      </c>
      <c r="C74" s="18" t="inlineStr">
        <is>
          <t>I07</t>
        </is>
      </c>
      <c r="D74" s="18" t="inlineStr">
        <is>
          <t>AI Risk Management</t>
        </is>
      </c>
      <c r="E74" s="18" t="inlineStr">
        <is>
          <t>D07</t>
        </is>
      </c>
      <c r="F74" s="18" t="inlineStr">
        <is>
          <t>I10</t>
        </is>
      </c>
      <c r="G74" s="18" t="inlineStr">
        <is>
          <t>Assessment Governance</t>
        </is>
      </c>
      <c r="H74" s="18" t="inlineStr">
        <is>
          <t>Assessment governance → assessment practice</t>
        </is>
      </c>
      <c r="I74" s="18" t="inlineStr">
        <is>
          <t>If assessment governance is strong but actual assessment design/evidence is weak, flag policy-to-practice gap.</t>
        </is>
      </c>
      <c r="J74" s="18" t="inlineStr">
        <is>
          <t>Assessment architecture review</t>
        </is>
      </c>
      <c r="K74" s="18" t="inlineStr">
        <is>
          <t>Governance policy cannot generate D07 maturity.</t>
        </is>
      </c>
    </row>
    <row r="75">
      <c r="A75" s="18" t="inlineStr">
        <is>
          <t>CD05</t>
        </is>
      </c>
      <c r="B75" s="18" t="inlineStr">
        <is>
          <t>D02</t>
        </is>
      </c>
      <c r="C75" s="18" t="inlineStr">
        <is>
          <t>I07</t>
        </is>
      </c>
      <c r="D75" s="18" t="inlineStr">
        <is>
          <t>AI Risk Management</t>
        </is>
      </c>
      <c r="E75" s="18" t="inlineStr">
        <is>
          <t>D07</t>
        </is>
      </c>
      <c r="F75" s="18" t="inlineStr">
        <is>
          <t>I12</t>
        </is>
      </c>
      <c r="G75" s="18" t="inlineStr">
        <is>
          <t>Learning Evidence Analytics</t>
        </is>
      </c>
      <c r="H75" s="18" t="inlineStr">
        <is>
          <t>Assessment governance → assessment practice</t>
        </is>
      </c>
      <c r="I75" s="18" t="inlineStr">
        <is>
          <t>If assessment governance is strong but actual assessment design/evidence is weak, flag policy-to-practice gap.</t>
        </is>
      </c>
      <c r="J75" s="18" t="inlineStr">
        <is>
          <t>Assessment architecture review</t>
        </is>
      </c>
      <c r="K75" s="18" t="inlineStr">
        <is>
          <t>Governance policy cannot generate D07 maturity.</t>
        </is>
      </c>
    </row>
    <row r="76">
      <c r="A76" s="18" t="inlineStr">
        <is>
          <t>CD05</t>
        </is>
      </c>
      <c r="B76" s="18" t="inlineStr">
        <is>
          <t>D02</t>
        </is>
      </c>
      <c r="C76" s="18" t="inlineStr">
        <is>
          <t>I09</t>
        </is>
      </c>
      <c r="D76" s="18" t="inlineStr">
        <is>
          <t>Human Accountability</t>
        </is>
      </c>
      <c r="E76" s="18" t="inlineStr">
        <is>
          <t>D07</t>
        </is>
      </c>
      <c r="F76" s="18" t="inlineStr">
        <is>
          <t>I01</t>
        </is>
      </c>
      <c r="G76" s="18" t="inlineStr">
        <is>
          <t>Assessment Design Maturity</t>
        </is>
      </c>
      <c r="H76" s="18" t="inlineStr">
        <is>
          <t>Assessment governance → assessment practice</t>
        </is>
      </c>
      <c r="I76" s="18" t="inlineStr">
        <is>
          <t>If assessment governance is strong but actual assessment design/evidence is weak, flag policy-to-practice gap.</t>
        </is>
      </c>
      <c r="J76" s="18" t="inlineStr">
        <is>
          <t>Assessment architecture review</t>
        </is>
      </c>
      <c r="K76" s="18" t="inlineStr">
        <is>
          <t>Governance policy cannot generate D07 maturity.</t>
        </is>
      </c>
    </row>
    <row r="77">
      <c r="A77" s="18" t="inlineStr">
        <is>
          <t>CD05</t>
        </is>
      </c>
      <c r="B77" s="18" t="inlineStr">
        <is>
          <t>D02</t>
        </is>
      </c>
      <c r="C77" s="18" t="inlineStr">
        <is>
          <t>I09</t>
        </is>
      </c>
      <c r="D77" s="18" t="inlineStr">
        <is>
          <t>Human Accountability</t>
        </is>
      </c>
      <c r="E77" s="18" t="inlineStr">
        <is>
          <t>D07</t>
        </is>
      </c>
      <c r="F77" s="18" t="inlineStr">
        <is>
          <t>I04</t>
        </is>
      </c>
      <c r="G77" s="18" t="inlineStr">
        <is>
          <t>AI-Aware Assessment Maturity</t>
        </is>
      </c>
      <c r="H77" s="18" t="inlineStr">
        <is>
          <t>Assessment governance → assessment practice</t>
        </is>
      </c>
      <c r="I77" s="18" t="inlineStr">
        <is>
          <t>If assessment governance is strong but actual assessment design/evidence is weak, flag policy-to-practice gap.</t>
        </is>
      </c>
      <c r="J77" s="18" t="inlineStr">
        <is>
          <t>Assessment architecture review</t>
        </is>
      </c>
      <c r="K77" s="18" t="inlineStr">
        <is>
          <t>Governance policy cannot generate D07 maturity.</t>
        </is>
      </c>
    </row>
    <row r="78">
      <c r="A78" s="18" t="inlineStr">
        <is>
          <t>CD05</t>
        </is>
      </c>
      <c r="B78" s="18" t="inlineStr">
        <is>
          <t>D02</t>
        </is>
      </c>
      <c r="C78" s="18" t="inlineStr">
        <is>
          <t>I09</t>
        </is>
      </c>
      <c r="D78" s="18" t="inlineStr">
        <is>
          <t>Human Accountability</t>
        </is>
      </c>
      <c r="E78" s="18" t="inlineStr">
        <is>
          <t>D07</t>
        </is>
      </c>
      <c r="F78" s="18" t="inlineStr">
        <is>
          <t>I05</t>
        </is>
      </c>
      <c r="G78" s="18" t="inlineStr">
        <is>
          <t>Verification &amp; Defence</t>
        </is>
      </c>
      <c r="H78" s="18" t="inlineStr">
        <is>
          <t>Assessment governance → assessment practice</t>
        </is>
      </c>
      <c r="I78" s="18" t="inlineStr">
        <is>
          <t>If assessment governance is strong but actual assessment design/evidence is weak, flag policy-to-practice gap.</t>
        </is>
      </c>
      <c r="J78" s="18" t="inlineStr">
        <is>
          <t>Assessment architecture review</t>
        </is>
      </c>
      <c r="K78" s="18" t="inlineStr">
        <is>
          <t>Governance policy cannot generate D07 maturity.</t>
        </is>
      </c>
    </row>
    <row r="79">
      <c r="A79" s="18" t="inlineStr">
        <is>
          <t>CD05</t>
        </is>
      </c>
      <c r="B79" s="18" t="inlineStr">
        <is>
          <t>D02</t>
        </is>
      </c>
      <c r="C79" s="18" t="inlineStr">
        <is>
          <t>I09</t>
        </is>
      </c>
      <c r="D79" s="18" t="inlineStr">
        <is>
          <t>Human Accountability</t>
        </is>
      </c>
      <c r="E79" s="18" t="inlineStr">
        <is>
          <t>D07</t>
        </is>
      </c>
      <c r="F79" s="18" t="inlineStr">
        <is>
          <t>I10</t>
        </is>
      </c>
      <c r="G79" s="18" t="inlineStr">
        <is>
          <t>Assessment Governance</t>
        </is>
      </c>
      <c r="H79" s="18" t="inlineStr">
        <is>
          <t>Assessment governance → assessment practice</t>
        </is>
      </c>
      <c r="I79" s="18" t="inlineStr">
        <is>
          <t>If assessment governance is strong but actual assessment design/evidence is weak, flag policy-to-practice gap.</t>
        </is>
      </c>
      <c r="J79" s="18" t="inlineStr">
        <is>
          <t>Assessment architecture review</t>
        </is>
      </c>
      <c r="K79" s="18" t="inlineStr">
        <is>
          <t>Governance policy cannot generate D07 maturity.</t>
        </is>
      </c>
    </row>
    <row r="80">
      <c r="A80" s="18" t="inlineStr">
        <is>
          <t>CD05</t>
        </is>
      </c>
      <c r="B80" s="18" t="inlineStr">
        <is>
          <t>D02</t>
        </is>
      </c>
      <c r="C80" s="18" t="inlineStr">
        <is>
          <t>I09</t>
        </is>
      </c>
      <c r="D80" s="18" t="inlineStr">
        <is>
          <t>Human Accountability</t>
        </is>
      </c>
      <c r="E80" s="18" t="inlineStr">
        <is>
          <t>D07</t>
        </is>
      </c>
      <c r="F80" s="18" t="inlineStr">
        <is>
          <t>I12</t>
        </is>
      </c>
      <c r="G80" s="18" t="inlineStr">
        <is>
          <t>Learning Evidence Analytics</t>
        </is>
      </c>
      <c r="H80" s="18" t="inlineStr">
        <is>
          <t>Assessment governance → assessment practice</t>
        </is>
      </c>
      <c r="I80" s="18" t="inlineStr">
        <is>
          <t>If assessment governance is strong but actual assessment design/evidence is weak, flag policy-to-practice gap.</t>
        </is>
      </c>
      <c r="J80" s="18" t="inlineStr">
        <is>
          <t>Assessment architecture review</t>
        </is>
      </c>
      <c r="K80" s="18" t="inlineStr">
        <is>
          <t>Governance policy cannot generate D07 maturity.</t>
        </is>
      </c>
    </row>
    <row r="81">
      <c r="A81" s="18" t="inlineStr">
        <is>
          <t>CD06</t>
        </is>
      </c>
      <c r="B81" s="18" t="inlineStr">
        <is>
          <t>D02</t>
        </is>
      </c>
      <c r="C81" s="18" t="inlineStr">
        <is>
          <t>I03</t>
        </is>
      </c>
      <c r="D81" s="18" t="inlineStr">
        <is>
          <t>Responsible AI Maturity</t>
        </is>
      </c>
      <c r="E81" s="18" t="inlineStr">
        <is>
          <t>D08</t>
        </is>
      </c>
      <c r="F81" s="18" t="inlineStr">
        <is>
          <t>I02</t>
        </is>
      </c>
      <c r="G81" s="18" t="inlineStr">
        <is>
          <t>Institutional Data Architecture</t>
        </is>
      </c>
      <c r="H81" s="18" t="inlineStr">
        <is>
          <t>Governance controls → technical implementation</t>
        </is>
      </c>
      <c r="I81" s="18" t="inlineStr">
        <is>
          <t>If governance requires controls that digital/data implementation cannot evidence, flag control implementation gap.</t>
        </is>
      </c>
      <c r="J81" s="18" t="inlineStr">
        <is>
          <t>Digital control review</t>
        </is>
      </c>
      <c r="K81" s="18" t="inlineStr">
        <is>
          <t>Policy/control and technical implementation scored separately.</t>
        </is>
      </c>
    </row>
    <row r="82">
      <c r="A82" s="18" t="inlineStr">
        <is>
          <t>CD06</t>
        </is>
      </c>
      <c r="B82" s="18" t="inlineStr">
        <is>
          <t>D02</t>
        </is>
      </c>
      <c r="C82" s="18" t="inlineStr">
        <is>
          <t>I03</t>
        </is>
      </c>
      <c r="D82" s="18" t="inlineStr">
        <is>
          <t>Responsible AI Maturity</t>
        </is>
      </c>
      <c r="E82" s="18" t="inlineStr">
        <is>
          <t>D08</t>
        </is>
      </c>
      <c r="F82" s="18" t="inlineStr">
        <is>
          <t>I03</t>
        </is>
      </c>
      <c r="G82" s="18" t="inlineStr">
        <is>
          <t>Data Quality &amp; Integrity</t>
        </is>
      </c>
      <c r="H82" s="18" t="inlineStr">
        <is>
          <t>Governance controls → technical implementation</t>
        </is>
      </c>
      <c r="I82" s="18" t="inlineStr">
        <is>
          <t>If governance requires controls that digital/data implementation cannot evidence, flag control implementation gap.</t>
        </is>
      </c>
      <c r="J82" s="18" t="inlineStr">
        <is>
          <t>Digital control review</t>
        </is>
      </c>
      <c r="K82" s="18" t="inlineStr">
        <is>
          <t>Policy/control and technical implementation scored separately.</t>
        </is>
      </c>
    </row>
    <row r="83">
      <c r="A83" s="18" t="inlineStr">
        <is>
          <t>CD06</t>
        </is>
      </c>
      <c r="B83" s="18" t="inlineStr">
        <is>
          <t>D02</t>
        </is>
      </c>
      <c r="C83" s="18" t="inlineStr">
        <is>
          <t>I03</t>
        </is>
      </c>
      <c r="D83" s="18" t="inlineStr">
        <is>
          <t>Responsible AI Maturity</t>
        </is>
      </c>
      <c r="E83" s="18" t="inlineStr">
        <is>
          <t>D08</t>
        </is>
      </c>
      <c r="F83" s="18" t="inlineStr">
        <is>
          <t>I07</t>
        </is>
      </c>
      <c r="G83" s="18" t="inlineStr">
        <is>
          <t>Cyber &amp; Information Security</t>
        </is>
      </c>
      <c r="H83" s="18" t="inlineStr">
        <is>
          <t>Governance controls → technical implementation</t>
        </is>
      </c>
      <c r="I83" s="18" t="inlineStr">
        <is>
          <t>If governance requires controls that digital/data implementation cannot evidence, flag control implementation gap.</t>
        </is>
      </c>
      <c r="J83" s="18" t="inlineStr">
        <is>
          <t>Digital control review</t>
        </is>
      </c>
      <c r="K83" s="18" t="inlineStr">
        <is>
          <t>Policy/control and technical implementation scored separately.</t>
        </is>
      </c>
    </row>
    <row r="84">
      <c r="A84" s="18" t="inlineStr">
        <is>
          <t>CD06</t>
        </is>
      </c>
      <c r="B84" s="18" t="inlineStr">
        <is>
          <t>D02</t>
        </is>
      </c>
      <c r="C84" s="18" t="inlineStr">
        <is>
          <t>I03</t>
        </is>
      </c>
      <c r="D84" s="18" t="inlineStr">
        <is>
          <t>Responsible AI Maturity</t>
        </is>
      </c>
      <c r="E84" s="18" t="inlineStr">
        <is>
          <t>D08</t>
        </is>
      </c>
      <c r="F84" s="18" t="inlineStr">
        <is>
          <t>I08</t>
        </is>
      </c>
      <c r="G84" s="18" t="inlineStr">
        <is>
          <t>Data Privacy Readiness</t>
        </is>
      </c>
      <c r="H84" s="18" t="inlineStr">
        <is>
          <t>Governance controls → technical implementation</t>
        </is>
      </c>
      <c r="I84" s="18" t="inlineStr">
        <is>
          <t>If governance requires controls that digital/data implementation cannot evidence, flag control implementation gap.</t>
        </is>
      </c>
      <c r="J84" s="18" t="inlineStr">
        <is>
          <t>Digital control review</t>
        </is>
      </c>
      <c r="K84" s="18" t="inlineStr">
        <is>
          <t>Policy/control and technical implementation scored separately.</t>
        </is>
      </c>
    </row>
    <row r="85">
      <c r="A85" s="18" t="inlineStr">
        <is>
          <t>CD06</t>
        </is>
      </c>
      <c r="B85" s="18" t="inlineStr">
        <is>
          <t>D02</t>
        </is>
      </c>
      <c r="C85" s="18" t="inlineStr">
        <is>
          <t>I03</t>
        </is>
      </c>
      <c r="D85" s="18" t="inlineStr">
        <is>
          <t>Responsible AI Maturity</t>
        </is>
      </c>
      <c r="E85" s="18" t="inlineStr">
        <is>
          <t>D08</t>
        </is>
      </c>
      <c r="F85" s="18" t="inlineStr">
        <is>
          <t>I10</t>
        </is>
      </c>
      <c r="G85" s="18" t="inlineStr">
        <is>
          <t>Technology Decision Governance</t>
        </is>
      </c>
      <c r="H85" s="18" t="inlineStr">
        <is>
          <t>Governance controls → technical implementation</t>
        </is>
      </c>
      <c r="I85" s="18" t="inlineStr">
        <is>
          <t>If governance requires controls that digital/data implementation cannot evidence, flag control implementation gap.</t>
        </is>
      </c>
      <c r="J85" s="18" t="inlineStr">
        <is>
          <t>Digital control review</t>
        </is>
      </c>
      <c r="K85" s="18" t="inlineStr">
        <is>
          <t>Policy/control and technical implementation scored separately.</t>
        </is>
      </c>
    </row>
    <row r="86">
      <c r="A86" s="18" t="inlineStr">
        <is>
          <t>CD06</t>
        </is>
      </c>
      <c r="B86" s="18" t="inlineStr">
        <is>
          <t>D02</t>
        </is>
      </c>
      <c r="C86" s="18" t="inlineStr">
        <is>
          <t>I04</t>
        </is>
      </c>
      <c r="D86" s="18" t="inlineStr">
        <is>
          <t>Data Governance Readiness</t>
        </is>
      </c>
      <c r="E86" s="18" t="inlineStr">
        <is>
          <t>D08</t>
        </is>
      </c>
      <c r="F86" s="18" t="inlineStr">
        <is>
          <t>I02</t>
        </is>
      </c>
      <c r="G86" s="18" t="inlineStr">
        <is>
          <t>Institutional Data Architecture</t>
        </is>
      </c>
      <c r="H86" s="18" t="inlineStr">
        <is>
          <t>Governance controls → technical implementation</t>
        </is>
      </c>
      <c r="I86" s="18" t="inlineStr">
        <is>
          <t>If governance requires controls that digital/data implementation cannot evidence, flag control implementation gap.</t>
        </is>
      </c>
      <c r="J86" s="18" t="inlineStr">
        <is>
          <t>Digital control review</t>
        </is>
      </c>
      <c r="K86" s="18" t="inlineStr">
        <is>
          <t>Policy/control and technical implementation scored separately.</t>
        </is>
      </c>
    </row>
    <row r="87">
      <c r="A87" s="18" t="inlineStr">
        <is>
          <t>CD06</t>
        </is>
      </c>
      <c r="B87" s="18" t="inlineStr">
        <is>
          <t>D02</t>
        </is>
      </c>
      <c r="C87" s="18" t="inlineStr">
        <is>
          <t>I04</t>
        </is>
      </c>
      <c r="D87" s="18" t="inlineStr">
        <is>
          <t>Data Governance Readiness</t>
        </is>
      </c>
      <c r="E87" s="18" t="inlineStr">
        <is>
          <t>D08</t>
        </is>
      </c>
      <c r="F87" s="18" t="inlineStr">
        <is>
          <t>I03</t>
        </is>
      </c>
      <c r="G87" s="18" t="inlineStr">
        <is>
          <t>Data Quality &amp; Integrity</t>
        </is>
      </c>
      <c r="H87" s="18" t="inlineStr">
        <is>
          <t>Governance controls → technical implementation</t>
        </is>
      </c>
      <c r="I87" s="18" t="inlineStr">
        <is>
          <t>If governance requires controls that digital/data implementation cannot evidence, flag control implementation gap.</t>
        </is>
      </c>
      <c r="J87" s="18" t="inlineStr">
        <is>
          <t>Digital control review</t>
        </is>
      </c>
      <c r="K87" s="18" t="inlineStr">
        <is>
          <t>Policy/control and technical implementation scored separately.</t>
        </is>
      </c>
    </row>
    <row r="88">
      <c r="A88" s="18" t="inlineStr">
        <is>
          <t>CD06</t>
        </is>
      </c>
      <c r="B88" s="18" t="inlineStr">
        <is>
          <t>D02</t>
        </is>
      </c>
      <c r="C88" s="18" t="inlineStr">
        <is>
          <t>I04</t>
        </is>
      </c>
      <c r="D88" s="18" t="inlineStr">
        <is>
          <t>Data Governance Readiness</t>
        </is>
      </c>
      <c r="E88" s="18" t="inlineStr">
        <is>
          <t>D08</t>
        </is>
      </c>
      <c r="F88" s="18" t="inlineStr">
        <is>
          <t>I07</t>
        </is>
      </c>
      <c r="G88" s="18" t="inlineStr">
        <is>
          <t>Cyber &amp; Information Security</t>
        </is>
      </c>
      <c r="H88" s="18" t="inlineStr">
        <is>
          <t>Governance controls → technical implementation</t>
        </is>
      </c>
      <c r="I88" s="18" t="inlineStr">
        <is>
          <t>If governance requires controls that digital/data implementation cannot evidence, flag control implementation gap.</t>
        </is>
      </c>
      <c r="J88" s="18" t="inlineStr">
        <is>
          <t>Digital control review</t>
        </is>
      </c>
      <c r="K88" s="18" t="inlineStr">
        <is>
          <t>Policy/control and technical implementation scored separately.</t>
        </is>
      </c>
    </row>
    <row r="89">
      <c r="A89" s="18" t="inlineStr">
        <is>
          <t>CD06</t>
        </is>
      </c>
      <c r="B89" s="18" t="inlineStr">
        <is>
          <t>D02</t>
        </is>
      </c>
      <c r="C89" s="18" t="inlineStr">
        <is>
          <t>I04</t>
        </is>
      </c>
      <c r="D89" s="18" t="inlineStr">
        <is>
          <t>Data Governance Readiness</t>
        </is>
      </c>
      <c r="E89" s="18" t="inlineStr">
        <is>
          <t>D08</t>
        </is>
      </c>
      <c r="F89" s="18" t="inlineStr">
        <is>
          <t>I08</t>
        </is>
      </c>
      <c r="G89" s="18" t="inlineStr">
        <is>
          <t>Data Privacy Readiness</t>
        </is>
      </c>
      <c r="H89" s="18" t="inlineStr">
        <is>
          <t>Governance controls → technical implementation</t>
        </is>
      </c>
      <c r="I89" s="18" t="inlineStr">
        <is>
          <t>If governance requires controls that digital/data implementation cannot evidence, flag control implementation gap.</t>
        </is>
      </c>
      <c r="J89" s="18" t="inlineStr">
        <is>
          <t>Digital control review</t>
        </is>
      </c>
      <c r="K89" s="18" t="inlineStr">
        <is>
          <t>Policy/control and technical implementation scored separately.</t>
        </is>
      </c>
    </row>
    <row r="90">
      <c r="A90" s="18" t="inlineStr">
        <is>
          <t>CD06</t>
        </is>
      </c>
      <c r="B90" s="18" t="inlineStr">
        <is>
          <t>D02</t>
        </is>
      </c>
      <c r="C90" s="18" t="inlineStr">
        <is>
          <t>I04</t>
        </is>
      </c>
      <c r="D90" s="18" t="inlineStr">
        <is>
          <t>Data Governance Readiness</t>
        </is>
      </c>
      <c r="E90" s="18" t="inlineStr">
        <is>
          <t>D08</t>
        </is>
      </c>
      <c r="F90" s="18" t="inlineStr">
        <is>
          <t>I10</t>
        </is>
      </c>
      <c r="G90" s="18" t="inlineStr">
        <is>
          <t>Technology Decision Governance</t>
        </is>
      </c>
      <c r="H90" s="18" t="inlineStr">
        <is>
          <t>Governance controls → technical implementation</t>
        </is>
      </c>
      <c r="I90" s="18" t="inlineStr">
        <is>
          <t>If governance requires controls that digital/data implementation cannot evidence, flag control implementation gap.</t>
        </is>
      </c>
      <c r="J90" s="18" t="inlineStr">
        <is>
          <t>Digital control review</t>
        </is>
      </c>
      <c r="K90" s="18" t="inlineStr">
        <is>
          <t>Policy/control and technical implementation scored separately.</t>
        </is>
      </c>
    </row>
    <row r="91">
      <c r="A91" s="18" t="inlineStr">
        <is>
          <t>CD06</t>
        </is>
      </c>
      <c r="B91" s="18" t="inlineStr">
        <is>
          <t>D02</t>
        </is>
      </c>
      <c r="C91" s="18" t="inlineStr">
        <is>
          <t>I07</t>
        </is>
      </c>
      <c r="D91" s="18" t="inlineStr">
        <is>
          <t>AI Risk Management</t>
        </is>
      </c>
      <c r="E91" s="18" t="inlineStr">
        <is>
          <t>D08</t>
        </is>
      </c>
      <c r="F91" s="18" t="inlineStr">
        <is>
          <t>I02</t>
        </is>
      </c>
      <c r="G91" s="18" t="inlineStr">
        <is>
          <t>Institutional Data Architecture</t>
        </is>
      </c>
      <c r="H91" s="18" t="inlineStr">
        <is>
          <t>Governance controls → technical implementation</t>
        </is>
      </c>
      <c r="I91" s="18" t="inlineStr">
        <is>
          <t>If governance requires controls that digital/data implementation cannot evidence, flag control implementation gap.</t>
        </is>
      </c>
      <c r="J91" s="18" t="inlineStr">
        <is>
          <t>Digital control review</t>
        </is>
      </c>
      <c r="K91" s="18" t="inlineStr">
        <is>
          <t>Policy/control and technical implementation scored separately.</t>
        </is>
      </c>
    </row>
    <row r="92">
      <c r="A92" s="18" t="inlineStr">
        <is>
          <t>CD06</t>
        </is>
      </c>
      <c r="B92" s="18" t="inlineStr">
        <is>
          <t>D02</t>
        </is>
      </c>
      <c r="C92" s="18" t="inlineStr">
        <is>
          <t>I07</t>
        </is>
      </c>
      <c r="D92" s="18" t="inlineStr">
        <is>
          <t>AI Risk Management</t>
        </is>
      </c>
      <c r="E92" s="18" t="inlineStr">
        <is>
          <t>D08</t>
        </is>
      </c>
      <c r="F92" s="18" t="inlineStr">
        <is>
          <t>I03</t>
        </is>
      </c>
      <c r="G92" s="18" t="inlineStr">
        <is>
          <t>Data Quality &amp; Integrity</t>
        </is>
      </c>
      <c r="H92" s="18" t="inlineStr">
        <is>
          <t>Governance controls → technical implementation</t>
        </is>
      </c>
      <c r="I92" s="18" t="inlineStr">
        <is>
          <t>If governance requires controls that digital/data implementation cannot evidence, flag control implementation gap.</t>
        </is>
      </c>
      <c r="J92" s="18" t="inlineStr">
        <is>
          <t>Digital control review</t>
        </is>
      </c>
      <c r="K92" s="18" t="inlineStr">
        <is>
          <t>Policy/control and technical implementation scored separately.</t>
        </is>
      </c>
    </row>
    <row r="93">
      <c r="A93" s="18" t="inlineStr">
        <is>
          <t>CD06</t>
        </is>
      </c>
      <c r="B93" s="18" t="inlineStr">
        <is>
          <t>D02</t>
        </is>
      </c>
      <c r="C93" s="18" t="inlineStr">
        <is>
          <t>I07</t>
        </is>
      </c>
      <c r="D93" s="18" t="inlineStr">
        <is>
          <t>AI Risk Management</t>
        </is>
      </c>
      <c r="E93" s="18" t="inlineStr">
        <is>
          <t>D08</t>
        </is>
      </c>
      <c r="F93" s="18" t="inlineStr">
        <is>
          <t>I07</t>
        </is>
      </c>
      <c r="G93" s="18" t="inlineStr">
        <is>
          <t>Cyber &amp; Information Security</t>
        </is>
      </c>
      <c r="H93" s="18" t="inlineStr">
        <is>
          <t>Governance controls → technical implementation</t>
        </is>
      </c>
      <c r="I93" s="18" t="inlineStr">
        <is>
          <t>If governance requires controls that digital/data implementation cannot evidence, flag control implementation gap.</t>
        </is>
      </c>
      <c r="J93" s="18" t="inlineStr">
        <is>
          <t>Digital control review</t>
        </is>
      </c>
      <c r="K93" s="18" t="inlineStr">
        <is>
          <t>Policy/control and technical implementation scored separately.</t>
        </is>
      </c>
    </row>
    <row r="94">
      <c r="A94" s="18" t="inlineStr">
        <is>
          <t>CD06</t>
        </is>
      </c>
      <c r="B94" s="18" t="inlineStr">
        <is>
          <t>D02</t>
        </is>
      </c>
      <c r="C94" s="18" t="inlineStr">
        <is>
          <t>I07</t>
        </is>
      </c>
      <c r="D94" s="18" t="inlineStr">
        <is>
          <t>AI Risk Management</t>
        </is>
      </c>
      <c r="E94" s="18" t="inlineStr">
        <is>
          <t>D08</t>
        </is>
      </c>
      <c r="F94" s="18" t="inlineStr">
        <is>
          <t>I08</t>
        </is>
      </c>
      <c r="G94" s="18" t="inlineStr">
        <is>
          <t>Data Privacy Readiness</t>
        </is>
      </c>
      <c r="H94" s="18" t="inlineStr">
        <is>
          <t>Governance controls → technical implementation</t>
        </is>
      </c>
      <c r="I94" s="18" t="inlineStr">
        <is>
          <t>If governance requires controls that digital/data implementation cannot evidence, flag control implementation gap.</t>
        </is>
      </c>
      <c r="J94" s="18" t="inlineStr">
        <is>
          <t>Digital control review</t>
        </is>
      </c>
      <c r="K94" s="18" t="inlineStr">
        <is>
          <t>Policy/control and technical implementation scored separately.</t>
        </is>
      </c>
    </row>
    <row r="95">
      <c r="A95" s="18" t="inlineStr">
        <is>
          <t>CD06</t>
        </is>
      </c>
      <c r="B95" s="18" t="inlineStr">
        <is>
          <t>D02</t>
        </is>
      </c>
      <c r="C95" s="18" t="inlineStr">
        <is>
          <t>I07</t>
        </is>
      </c>
      <c r="D95" s="18" t="inlineStr">
        <is>
          <t>AI Risk Management</t>
        </is>
      </c>
      <c r="E95" s="18" t="inlineStr">
        <is>
          <t>D08</t>
        </is>
      </c>
      <c r="F95" s="18" t="inlineStr">
        <is>
          <t>I10</t>
        </is>
      </c>
      <c r="G95" s="18" t="inlineStr">
        <is>
          <t>Technology Decision Governance</t>
        </is>
      </c>
      <c r="H95" s="18" t="inlineStr">
        <is>
          <t>Governance controls → technical implementation</t>
        </is>
      </c>
      <c r="I95" s="18" t="inlineStr">
        <is>
          <t>If governance requires controls that digital/data implementation cannot evidence, flag control implementation gap.</t>
        </is>
      </c>
      <c r="J95" s="18" t="inlineStr">
        <is>
          <t>Digital control review</t>
        </is>
      </c>
      <c r="K95" s="18" t="inlineStr">
        <is>
          <t>Policy/control and technical implementation scored separately.</t>
        </is>
      </c>
    </row>
    <row r="96">
      <c r="A96" s="18" t="inlineStr">
        <is>
          <t>CD06</t>
        </is>
      </c>
      <c r="B96" s="18" t="inlineStr">
        <is>
          <t>D02</t>
        </is>
      </c>
      <c r="C96" s="18" t="inlineStr">
        <is>
          <t>I10</t>
        </is>
      </c>
      <c r="D96" s="18" t="inlineStr">
        <is>
          <t>Vendor/Tool Governance</t>
        </is>
      </c>
      <c r="E96" s="18" t="inlineStr">
        <is>
          <t>D08</t>
        </is>
      </c>
      <c r="F96" s="18" t="inlineStr">
        <is>
          <t>I02</t>
        </is>
      </c>
      <c r="G96" s="18" t="inlineStr">
        <is>
          <t>Institutional Data Architecture</t>
        </is>
      </c>
      <c r="H96" s="18" t="inlineStr">
        <is>
          <t>Governance controls → technical implementation</t>
        </is>
      </c>
      <c r="I96" s="18" t="inlineStr">
        <is>
          <t>If governance requires controls that digital/data implementation cannot evidence, flag control implementation gap.</t>
        </is>
      </c>
      <c r="J96" s="18" t="inlineStr">
        <is>
          <t>Digital control review</t>
        </is>
      </c>
      <c r="K96" s="18" t="inlineStr">
        <is>
          <t>Policy/control and technical implementation scored separately.</t>
        </is>
      </c>
    </row>
    <row r="97">
      <c r="A97" s="18" t="inlineStr">
        <is>
          <t>CD06</t>
        </is>
      </c>
      <c r="B97" s="18" t="inlineStr">
        <is>
          <t>D02</t>
        </is>
      </c>
      <c r="C97" s="18" t="inlineStr">
        <is>
          <t>I10</t>
        </is>
      </c>
      <c r="D97" s="18" t="inlineStr">
        <is>
          <t>Vendor/Tool Governance</t>
        </is>
      </c>
      <c r="E97" s="18" t="inlineStr">
        <is>
          <t>D08</t>
        </is>
      </c>
      <c r="F97" s="18" t="inlineStr">
        <is>
          <t>I03</t>
        </is>
      </c>
      <c r="G97" s="18" t="inlineStr">
        <is>
          <t>Data Quality &amp; Integrity</t>
        </is>
      </c>
      <c r="H97" s="18" t="inlineStr">
        <is>
          <t>Governance controls → technical implementation</t>
        </is>
      </c>
      <c r="I97" s="18" t="inlineStr">
        <is>
          <t>If governance requires controls that digital/data implementation cannot evidence, flag control implementation gap.</t>
        </is>
      </c>
      <c r="J97" s="18" t="inlineStr">
        <is>
          <t>Digital control review</t>
        </is>
      </c>
      <c r="K97" s="18" t="inlineStr">
        <is>
          <t>Policy/control and technical implementation scored separately.</t>
        </is>
      </c>
    </row>
    <row r="98">
      <c r="A98" s="18" t="inlineStr">
        <is>
          <t>CD06</t>
        </is>
      </c>
      <c r="B98" s="18" t="inlineStr">
        <is>
          <t>D02</t>
        </is>
      </c>
      <c r="C98" s="18" t="inlineStr">
        <is>
          <t>I10</t>
        </is>
      </c>
      <c r="D98" s="18" t="inlineStr">
        <is>
          <t>Vendor/Tool Governance</t>
        </is>
      </c>
      <c r="E98" s="18" t="inlineStr">
        <is>
          <t>D08</t>
        </is>
      </c>
      <c r="F98" s="18" t="inlineStr">
        <is>
          <t>I07</t>
        </is>
      </c>
      <c r="G98" s="18" t="inlineStr">
        <is>
          <t>Cyber &amp; Information Security</t>
        </is>
      </c>
      <c r="H98" s="18" t="inlineStr">
        <is>
          <t>Governance controls → technical implementation</t>
        </is>
      </c>
      <c r="I98" s="18" t="inlineStr">
        <is>
          <t>If governance requires controls that digital/data implementation cannot evidence, flag control implementation gap.</t>
        </is>
      </c>
      <c r="J98" s="18" t="inlineStr">
        <is>
          <t>Digital control review</t>
        </is>
      </c>
      <c r="K98" s="18" t="inlineStr">
        <is>
          <t>Policy/control and technical implementation scored separately.</t>
        </is>
      </c>
    </row>
    <row r="99">
      <c r="A99" s="18" t="inlineStr">
        <is>
          <t>CD06</t>
        </is>
      </c>
      <c r="B99" s="18" t="inlineStr">
        <is>
          <t>D02</t>
        </is>
      </c>
      <c r="C99" s="18" t="inlineStr">
        <is>
          <t>I10</t>
        </is>
      </c>
      <c r="D99" s="18" t="inlineStr">
        <is>
          <t>Vendor/Tool Governance</t>
        </is>
      </c>
      <c r="E99" s="18" t="inlineStr">
        <is>
          <t>D08</t>
        </is>
      </c>
      <c r="F99" s="18" t="inlineStr">
        <is>
          <t>I08</t>
        </is>
      </c>
      <c r="G99" s="18" t="inlineStr">
        <is>
          <t>Data Privacy Readiness</t>
        </is>
      </c>
      <c r="H99" s="18" t="inlineStr">
        <is>
          <t>Governance controls → technical implementation</t>
        </is>
      </c>
      <c r="I99" s="18" t="inlineStr">
        <is>
          <t>If governance requires controls that digital/data implementation cannot evidence, flag control implementation gap.</t>
        </is>
      </c>
      <c r="J99" s="18" t="inlineStr">
        <is>
          <t>Digital control review</t>
        </is>
      </c>
      <c r="K99" s="18" t="inlineStr">
        <is>
          <t>Policy/control and technical implementation scored separately.</t>
        </is>
      </c>
    </row>
    <row r="100">
      <c r="A100" s="18" t="inlineStr">
        <is>
          <t>CD06</t>
        </is>
      </c>
      <c r="B100" s="18" t="inlineStr">
        <is>
          <t>D02</t>
        </is>
      </c>
      <c r="C100" s="18" t="inlineStr">
        <is>
          <t>I10</t>
        </is>
      </c>
      <c r="D100" s="18" t="inlineStr">
        <is>
          <t>Vendor/Tool Governance</t>
        </is>
      </c>
      <c r="E100" s="18" t="inlineStr">
        <is>
          <t>D08</t>
        </is>
      </c>
      <c r="F100" s="18" t="inlineStr">
        <is>
          <t>I10</t>
        </is>
      </c>
      <c r="G100" s="18" t="inlineStr">
        <is>
          <t>Technology Decision Governance</t>
        </is>
      </c>
      <c r="H100" s="18" t="inlineStr">
        <is>
          <t>Governance controls → technical implementation</t>
        </is>
      </c>
      <c r="I100" s="18" t="inlineStr">
        <is>
          <t>If governance requires controls that digital/data implementation cannot evidence, flag control implementation gap.</t>
        </is>
      </c>
      <c r="J100" s="18" t="inlineStr">
        <is>
          <t>Digital control review</t>
        </is>
      </c>
      <c r="K100" s="18" t="inlineStr">
        <is>
          <t>Policy/control and technical implementation scored separately.</t>
        </is>
      </c>
    </row>
    <row r="101">
      <c r="A101" s="18" t="inlineStr">
        <is>
          <t>CD07</t>
        </is>
      </c>
      <c r="B101" s="18" t="inlineStr">
        <is>
          <t>D02</t>
        </is>
      </c>
      <c r="C101" s="18" t="inlineStr">
        <is>
          <t>I12</t>
        </is>
      </c>
      <c r="D101" s="18" t="inlineStr">
        <is>
          <t>Research AI Governance</t>
        </is>
      </c>
      <c r="E101" s="18" t="inlineStr">
        <is>
          <t>D10</t>
        </is>
      </c>
      <c r="F101" s="18" t="inlineStr">
        <is>
          <t>I04</t>
        </is>
      </c>
      <c r="G101" s="18" t="inlineStr">
        <is>
          <t>AI-Enabled Research Capability</t>
        </is>
      </c>
      <c r="H101" s="18" t="inlineStr">
        <is>
          <t>Research governance → research practice</t>
        </is>
      </c>
      <c r="I101" s="18" t="inlineStr">
        <is>
          <t>If research AI governance is strong but responsible research practice/evidence is weak, flag governance-to-practice gap.</t>
        </is>
      </c>
      <c r="J101" s="18" t="inlineStr">
        <is>
          <t>Research governance review</t>
        </is>
      </c>
      <c r="K101" s="18" t="inlineStr">
        <is>
          <t>No duplicate scoring of policy and practice.</t>
        </is>
      </c>
    </row>
    <row r="102">
      <c r="A102" s="18" t="inlineStr">
        <is>
          <t>CD07</t>
        </is>
      </c>
      <c r="B102" s="18" t="inlineStr">
        <is>
          <t>D02</t>
        </is>
      </c>
      <c r="C102" s="18" t="inlineStr">
        <is>
          <t>I12</t>
        </is>
      </c>
      <c r="D102" s="18" t="inlineStr">
        <is>
          <t>Research AI Governance</t>
        </is>
      </c>
      <c r="E102" s="18" t="inlineStr">
        <is>
          <t>D10</t>
        </is>
      </c>
      <c r="F102" s="18" t="inlineStr">
        <is>
          <t>I06</t>
        </is>
      </c>
      <c r="G102" s="18" t="inlineStr">
        <is>
          <t>Researcher Capability</t>
        </is>
      </c>
      <c r="H102" s="18" t="inlineStr">
        <is>
          <t>Research governance → research practice</t>
        </is>
      </c>
      <c r="I102" s="18" t="inlineStr">
        <is>
          <t>If research AI governance is strong but responsible research practice/evidence is weak, flag governance-to-practice gap.</t>
        </is>
      </c>
      <c r="J102" s="18" t="inlineStr">
        <is>
          <t>Research governance review</t>
        </is>
      </c>
      <c r="K102" s="18" t="inlineStr">
        <is>
          <t>No duplicate scoring of policy and practice.</t>
        </is>
      </c>
    </row>
    <row r="103">
      <c r="A103" s="18" t="inlineStr">
        <is>
          <t>CD07</t>
        </is>
      </c>
      <c r="B103" s="18" t="inlineStr">
        <is>
          <t>D02</t>
        </is>
      </c>
      <c r="C103" s="18" t="inlineStr">
        <is>
          <t>I12</t>
        </is>
      </c>
      <c r="D103" s="18" t="inlineStr">
        <is>
          <t>Research AI Governance</t>
        </is>
      </c>
      <c r="E103" s="18" t="inlineStr">
        <is>
          <t>D10</t>
        </is>
      </c>
      <c r="F103" s="18" t="inlineStr">
        <is>
          <t>I12</t>
        </is>
      </c>
      <c r="G103" s="18" t="inlineStr">
        <is>
          <t>Research Integrity &amp; Responsible AI</t>
        </is>
      </c>
      <c r="H103" s="18" t="inlineStr">
        <is>
          <t>Research governance → research practice</t>
        </is>
      </c>
      <c r="I103" s="18" t="inlineStr">
        <is>
          <t>If research AI governance is strong but responsible research practice/evidence is weak, flag governance-to-practice gap.</t>
        </is>
      </c>
      <c r="J103" s="18" t="inlineStr">
        <is>
          <t>Research governance review</t>
        </is>
      </c>
      <c r="K103" s="18" t="inlineStr">
        <is>
          <t>No duplicate scoring of policy and practice.</t>
        </is>
      </c>
    </row>
    <row r="104">
      <c r="A104" s="18" t="inlineStr">
        <is>
          <t>CD07</t>
        </is>
      </c>
      <c r="B104" s="18" t="inlineStr">
        <is>
          <t>D02</t>
        </is>
      </c>
      <c r="C104" s="18" t="inlineStr">
        <is>
          <t>I12</t>
        </is>
      </c>
      <c r="D104" s="18" t="inlineStr">
        <is>
          <t>Research AI Governance</t>
        </is>
      </c>
      <c r="E104" s="18" t="inlineStr">
        <is>
          <t>D10</t>
        </is>
      </c>
      <c r="F104" s="18" t="inlineStr">
        <is>
          <t>I13</t>
        </is>
      </c>
      <c r="G104" s="18" t="inlineStr">
        <is>
          <t>Research Impact Evidence</t>
        </is>
      </c>
      <c r="H104" s="18" t="inlineStr">
        <is>
          <t>Research governance → research practice</t>
        </is>
      </c>
      <c r="I104" s="18" t="inlineStr">
        <is>
          <t>If research AI governance is strong but responsible research practice/evidence is weak, flag governance-to-practice gap.</t>
        </is>
      </c>
      <c r="J104" s="18" t="inlineStr">
        <is>
          <t>Research governance review</t>
        </is>
      </c>
      <c r="K104" s="18" t="inlineStr">
        <is>
          <t>No duplicate scoring of policy and practice.</t>
        </is>
      </c>
    </row>
    <row r="105">
      <c r="A105" s="18" t="inlineStr">
        <is>
          <t>CD07</t>
        </is>
      </c>
      <c r="B105" s="18" t="inlineStr">
        <is>
          <t>D02</t>
        </is>
      </c>
      <c r="C105" s="18" t="inlineStr">
        <is>
          <t>I13</t>
        </is>
      </c>
      <c r="D105" s="18" t="inlineStr">
        <is>
          <t>Governance Review Adaptability</t>
        </is>
      </c>
      <c r="E105" s="18" t="inlineStr">
        <is>
          <t>D10</t>
        </is>
      </c>
      <c r="F105" s="18" t="inlineStr">
        <is>
          <t>I04</t>
        </is>
      </c>
      <c r="G105" s="18" t="inlineStr">
        <is>
          <t>AI-Enabled Research Capability</t>
        </is>
      </c>
      <c r="H105" s="18" t="inlineStr">
        <is>
          <t>Research governance → research practice</t>
        </is>
      </c>
      <c r="I105" s="18" t="inlineStr">
        <is>
          <t>If research AI governance is strong but responsible research practice/evidence is weak, flag governance-to-practice gap.</t>
        </is>
      </c>
      <c r="J105" s="18" t="inlineStr">
        <is>
          <t>Research governance review</t>
        </is>
      </c>
      <c r="K105" s="18" t="inlineStr">
        <is>
          <t>No duplicate scoring of policy and practice.</t>
        </is>
      </c>
    </row>
    <row r="106">
      <c r="A106" s="18" t="inlineStr">
        <is>
          <t>CD07</t>
        </is>
      </c>
      <c r="B106" s="18" t="inlineStr">
        <is>
          <t>D02</t>
        </is>
      </c>
      <c r="C106" s="18" t="inlineStr">
        <is>
          <t>I13</t>
        </is>
      </c>
      <c r="D106" s="18" t="inlineStr">
        <is>
          <t>Governance Review Adaptability</t>
        </is>
      </c>
      <c r="E106" s="18" t="inlineStr">
        <is>
          <t>D10</t>
        </is>
      </c>
      <c r="F106" s="18" t="inlineStr">
        <is>
          <t>I06</t>
        </is>
      </c>
      <c r="G106" s="18" t="inlineStr">
        <is>
          <t>Researcher Capability</t>
        </is>
      </c>
      <c r="H106" s="18" t="inlineStr">
        <is>
          <t>Research governance → research practice</t>
        </is>
      </c>
      <c r="I106" s="18" t="inlineStr">
        <is>
          <t>If research AI governance is strong but responsible research practice/evidence is weak, flag governance-to-practice gap.</t>
        </is>
      </c>
      <c r="J106" s="18" t="inlineStr">
        <is>
          <t>Research governance review</t>
        </is>
      </c>
      <c r="K106" s="18" t="inlineStr">
        <is>
          <t>No duplicate scoring of policy and practice.</t>
        </is>
      </c>
    </row>
    <row r="107">
      <c r="A107" s="18" t="inlineStr">
        <is>
          <t>CD07</t>
        </is>
      </c>
      <c r="B107" s="18" t="inlineStr">
        <is>
          <t>D02</t>
        </is>
      </c>
      <c r="C107" s="18" t="inlineStr">
        <is>
          <t>I13</t>
        </is>
      </c>
      <c r="D107" s="18" t="inlineStr">
        <is>
          <t>Governance Review Adaptability</t>
        </is>
      </c>
      <c r="E107" s="18" t="inlineStr">
        <is>
          <t>D10</t>
        </is>
      </c>
      <c r="F107" s="18" t="inlineStr">
        <is>
          <t>I12</t>
        </is>
      </c>
      <c r="G107" s="18" t="inlineStr">
        <is>
          <t>Research Integrity &amp; Responsible AI</t>
        </is>
      </c>
      <c r="H107" s="18" t="inlineStr">
        <is>
          <t>Research governance → research practice</t>
        </is>
      </c>
      <c r="I107" s="18" t="inlineStr">
        <is>
          <t>If research AI governance is strong but responsible research practice/evidence is weak, flag governance-to-practice gap.</t>
        </is>
      </c>
      <c r="J107" s="18" t="inlineStr">
        <is>
          <t>Research governance review</t>
        </is>
      </c>
      <c r="K107" s="18" t="inlineStr">
        <is>
          <t>No duplicate scoring of policy and practice.</t>
        </is>
      </c>
    </row>
    <row r="108">
      <c r="A108" s="18" t="inlineStr">
        <is>
          <t>CD07</t>
        </is>
      </c>
      <c r="B108" s="18" t="inlineStr">
        <is>
          <t>D02</t>
        </is>
      </c>
      <c r="C108" s="18" t="inlineStr">
        <is>
          <t>I13</t>
        </is>
      </c>
      <c r="D108" s="18" t="inlineStr">
        <is>
          <t>Governance Review Adaptability</t>
        </is>
      </c>
      <c r="E108" s="18" t="inlineStr">
        <is>
          <t>D10</t>
        </is>
      </c>
      <c r="F108" s="18" t="inlineStr">
        <is>
          <t>I13</t>
        </is>
      </c>
      <c r="G108" s="18" t="inlineStr">
        <is>
          <t>Research Impact Evidence</t>
        </is>
      </c>
      <c r="H108" s="18" t="inlineStr">
        <is>
          <t>Research governance → research practice</t>
        </is>
      </c>
      <c r="I108" s="18" t="inlineStr">
        <is>
          <t>If research AI governance is strong but responsible research practice/evidence is weak, flag governance-to-practice gap.</t>
        </is>
      </c>
      <c r="J108" s="18" t="inlineStr">
        <is>
          <t>Research governance review</t>
        </is>
      </c>
      <c r="K108" s="18" t="inlineStr">
        <is>
          <t>No duplicate scoring of policy and practice.</t>
        </is>
      </c>
    </row>
    <row r="109">
      <c r="A109" s="18" t="inlineStr">
        <is>
          <t>CD07</t>
        </is>
      </c>
      <c r="B109" s="18" t="inlineStr">
        <is>
          <t>D02</t>
        </is>
      </c>
      <c r="C109" s="18" t="inlineStr">
        <is>
          <t>I14</t>
        </is>
      </c>
      <c r="D109" s="18" t="inlineStr">
        <is>
          <t>Governance Effectiveness</t>
        </is>
      </c>
      <c r="E109" s="18" t="inlineStr">
        <is>
          <t>D10</t>
        </is>
      </c>
      <c r="F109" s="18" t="inlineStr">
        <is>
          <t>I04</t>
        </is>
      </c>
      <c r="G109" s="18" t="inlineStr">
        <is>
          <t>AI-Enabled Research Capability</t>
        </is>
      </c>
      <c r="H109" s="18" t="inlineStr">
        <is>
          <t>Research governance → research practice</t>
        </is>
      </c>
      <c r="I109" s="18" t="inlineStr">
        <is>
          <t>If research AI governance is strong but responsible research practice/evidence is weak, flag governance-to-practice gap.</t>
        </is>
      </c>
      <c r="J109" s="18" t="inlineStr">
        <is>
          <t>Research governance review</t>
        </is>
      </c>
      <c r="K109" s="18" t="inlineStr">
        <is>
          <t>No duplicate scoring of policy and practice.</t>
        </is>
      </c>
    </row>
    <row r="110">
      <c r="A110" s="18" t="inlineStr">
        <is>
          <t>CD07</t>
        </is>
      </c>
      <c r="B110" s="18" t="inlineStr">
        <is>
          <t>D02</t>
        </is>
      </c>
      <c r="C110" s="18" t="inlineStr">
        <is>
          <t>I14</t>
        </is>
      </c>
      <c r="D110" s="18" t="inlineStr">
        <is>
          <t>Governance Effectiveness</t>
        </is>
      </c>
      <c r="E110" s="18" t="inlineStr">
        <is>
          <t>D10</t>
        </is>
      </c>
      <c r="F110" s="18" t="inlineStr">
        <is>
          <t>I06</t>
        </is>
      </c>
      <c r="G110" s="18" t="inlineStr">
        <is>
          <t>Researcher Capability</t>
        </is>
      </c>
      <c r="H110" s="18" t="inlineStr">
        <is>
          <t>Research governance → research practice</t>
        </is>
      </c>
      <c r="I110" s="18" t="inlineStr">
        <is>
          <t>If research AI governance is strong but responsible research practice/evidence is weak, flag governance-to-practice gap.</t>
        </is>
      </c>
      <c r="J110" s="18" t="inlineStr">
        <is>
          <t>Research governance review</t>
        </is>
      </c>
      <c r="K110" s="18" t="inlineStr">
        <is>
          <t>No duplicate scoring of policy and practice.</t>
        </is>
      </c>
    </row>
    <row r="111">
      <c r="A111" s="18" t="inlineStr">
        <is>
          <t>CD07</t>
        </is>
      </c>
      <c r="B111" s="18" t="inlineStr">
        <is>
          <t>D02</t>
        </is>
      </c>
      <c r="C111" s="18" t="inlineStr">
        <is>
          <t>I14</t>
        </is>
      </c>
      <c r="D111" s="18" t="inlineStr">
        <is>
          <t>Governance Effectiveness</t>
        </is>
      </c>
      <c r="E111" s="18" t="inlineStr">
        <is>
          <t>D10</t>
        </is>
      </c>
      <c r="F111" s="18" t="inlineStr">
        <is>
          <t>I12</t>
        </is>
      </c>
      <c r="G111" s="18" t="inlineStr">
        <is>
          <t>Research Integrity &amp; Responsible AI</t>
        </is>
      </c>
      <c r="H111" s="18" t="inlineStr">
        <is>
          <t>Research governance → research practice</t>
        </is>
      </c>
      <c r="I111" s="18" t="inlineStr">
        <is>
          <t>If research AI governance is strong but responsible research practice/evidence is weak, flag governance-to-practice gap.</t>
        </is>
      </c>
      <c r="J111" s="18" t="inlineStr">
        <is>
          <t>Research governance review</t>
        </is>
      </c>
      <c r="K111" s="18" t="inlineStr">
        <is>
          <t>No duplicate scoring of policy and practice.</t>
        </is>
      </c>
    </row>
    <row r="112">
      <c r="A112" s="18" t="inlineStr">
        <is>
          <t>CD07</t>
        </is>
      </c>
      <c r="B112" s="18" t="inlineStr">
        <is>
          <t>D02</t>
        </is>
      </c>
      <c r="C112" s="18" t="inlineStr">
        <is>
          <t>I14</t>
        </is>
      </c>
      <c r="D112" s="18" t="inlineStr">
        <is>
          <t>Governance Effectiveness</t>
        </is>
      </c>
      <c r="E112" s="18" t="inlineStr">
        <is>
          <t>D10</t>
        </is>
      </c>
      <c r="F112" s="18" t="inlineStr">
        <is>
          <t>I13</t>
        </is>
      </c>
      <c r="G112" s="18" t="inlineStr">
        <is>
          <t>Research Impact Evidence</t>
        </is>
      </c>
      <c r="H112" s="18" t="inlineStr">
        <is>
          <t>Research governance → research practice</t>
        </is>
      </c>
      <c r="I112" s="18" t="inlineStr">
        <is>
          <t>If research AI governance is strong but responsible research practice/evidence is weak, flag governance-to-practice gap.</t>
        </is>
      </c>
      <c r="J112" s="18" t="inlineStr">
        <is>
          <t>Research governance review</t>
        </is>
      </c>
      <c r="K112" s="18" t="inlineStr">
        <is>
          <t>No duplicate scoring of policy and practice.</t>
        </is>
      </c>
    </row>
    <row r="113">
      <c r="A113" s="18" t="inlineStr">
        <is>
          <t>CD08</t>
        </is>
      </c>
      <c r="B113" s="18" t="inlineStr">
        <is>
          <t>D03</t>
        </is>
      </c>
      <c r="C113" s="18" t="inlineStr">
        <is>
          <t>I01</t>
        </is>
      </c>
      <c r="D113" s="18" t="inlineStr">
        <is>
          <t>Foundational Knowledge Depth</t>
        </is>
      </c>
      <c r="E113" s="18" t="inlineStr">
        <is>
          <t>D04</t>
        </is>
      </c>
      <c r="F113" s="18" t="inlineStr">
        <is>
          <t>I02</t>
        </is>
      </c>
      <c r="G113" s="18" t="inlineStr">
        <is>
          <t>Future Learning Outcome Alignment</t>
        </is>
      </c>
      <c r="H113" s="18" t="inlineStr">
        <is>
          <t>Capability architecture → curriculum operationalisation</t>
        </is>
      </c>
      <c r="I113" s="18" t="inlineStr">
        <is>
          <t>If target human capabilities are strong but programmes do not operationalise them, flag capability-to-curriculum gap.</t>
        </is>
      </c>
      <c r="J113" s="18" t="inlineStr">
        <is>
          <t>Curriculum mapping review</t>
        </is>
      </c>
      <c r="K113" s="18" t="inlineStr">
        <is>
          <t>D03 owns capability target; D04 owns programme implementation.</t>
        </is>
      </c>
    </row>
    <row r="114">
      <c r="A114" s="18" t="inlineStr">
        <is>
          <t>CD08</t>
        </is>
      </c>
      <c r="B114" s="18" t="inlineStr">
        <is>
          <t>D03</t>
        </is>
      </c>
      <c r="C114" s="18" t="inlineStr">
        <is>
          <t>I01</t>
        </is>
      </c>
      <c r="D114" s="18" t="inlineStr">
        <is>
          <t>Foundational Knowledge Depth</t>
        </is>
      </c>
      <c r="E114" s="18" t="inlineStr">
        <is>
          <t>D04</t>
        </is>
      </c>
      <c r="F114" s="18" t="inlineStr">
        <is>
          <t>I04</t>
        </is>
      </c>
      <c r="G114" s="18" t="inlineStr">
        <is>
          <t>Disciplinary AI Integration Depth</t>
        </is>
      </c>
      <c r="H114" s="18" t="inlineStr">
        <is>
          <t>Capability architecture → curriculum operationalisation</t>
        </is>
      </c>
      <c r="I114" s="18" t="inlineStr">
        <is>
          <t>If target human capabilities are strong but programmes do not operationalise them, flag capability-to-curriculum gap.</t>
        </is>
      </c>
      <c r="J114" s="18" t="inlineStr">
        <is>
          <t>Curriculum mapping review</t>
        </is>
      </c>
      <c r="K114" s="18" t="inlineStr">
        <is>
          <t>D03 owns capability target; D04 owns programme implementation.</t>
        </is>
      </c>
    </row>
    <row r="115">
      <c r="A115" s="18" t="inlineStr">
        <is>
          <t>CD08</t>
        </is>
      </c>
      <c r="B115" s="18" t="inlineStr">
        <is>
          <t>D03</t>
        </is>
      </c>
      <c r="C115" s="18" t="inlineStr">
        <is>
          <t>I01</t>
        </is>
      </c>
      <c r="D115" s="18" t="inlineStr">
        <is>
          <t>Foundational Knowledge Depth</t>
        </is>
      </c>
      <c r="E115" s="18" t="inlineStr">
        <is>
          <t>D04</t>
        </is>
      </c>
      <c r="F115" s="18" t="inlineStr">
        <is>
          <t>I07</t>
        </is>
      </c>
      <c r="G115" s="18" t="inlineStr">
        <is>
          <t>Interdisciplinary Flexibility</t>
        </is>
      </c>
      <c r="H115" s="18" t="inlineStr">
        <is>
          <t>Capability architecture → curriculum operationalisation</t>
        </is>
      </c>
      <c r="I115" s="18" t="inlineStr">
        <is>
          <t>If target human capabilities are strong but programmes do not operationalise them, flag capability-to-curriculum gap.</t>
        </is>
      </c>
      <c r="J115" s="18" t="inlineStr">
        <is>
          <t>Curriculum mapping review</t>
        </is>
      </c>
      <c r="K115" s="18" t="inlineStr">
        <is>
          <t>D03 owns capability target; D04 owns programme implementation.</t>
        </is>
      </c>
    </row>
    <row r="116">
      <c r="A116" s="18" t="inlineStr">
        <is>
          <t>CD08</t>
        </is>
      </c>
      <c r="B116" s="18" t="inlineStr">
        <is>
          <t>D03</t>
        </is>
      </c>
      <c r="C116" s="18" t="inlineStr">
        <is>
          <t>I01</t>
        </is>
      </c>
      <c r="D116" s="18" t="inlineStr">
        <is>
          <t>Foundational Knowledge Depth</t>
        </is>
      </c>
      <c r="E116" s="18" t="inlineStr">
        <is>
          <t>D04</t>
        </is>
      </c>
      <c r="F116" s="18" t="inlineStr">
        <is>
          <t>I11</t>
        </is>
      </c>
      <c r="G116" s="18" t="inlineStr">
        <is>
          <t>Transfer Capability</t>
        </is>
      </c>
      <c r="H116" s="18" t="inlineStr">
        <is>
          <t>Capability architecture → curriculum operationalisation</t>
        </is>
      </c>
      <c r="I116" s="18" t="inlineStr">
        <is>
          <t>If target human capabilities are strong but programmes do not operationalise them, flag capability-to-curriculum gap.</t>
        </is>
      </c>
      <c r="J116" s="18" t="inlineStr">
        <is>
          <t>Curriculum mapping review</t>
        </is>
      </c>
      <c r="K116" s="18" t="inlineStr">
        <is>
          <t>D03 owns capability target; D04 owns programme implementation.</t>
        </is>
      </c>
    </row>
    <row r="117">
      <c r="A117" s="18" t="inlineStr">
        <is>
          <t>CD08</t>
        </is>
      </c>
      <c r="B117" s="18" t="inlineStr">
        <is>
          <t>D03</t>
        </is>
      </c>
      <c r="C117" s="18" t="inlineStr">
        <is>
          <t>I02</t>
        </is>
      </c>
      <c r="D117" s="18" t="inlineStr">
        <is>
          <t>Critical Reasoning Development</t>
        </is>
      </c>
      <c r="E117" s="18" t="inlineStr">
        <is>
          <t>D04</t>
        </is>
      </c>
      <c r="F117" s="18" t="inlineStr">
        <is>
          <t>I02</t>
        </is>
      </c>
      <c r="G117" s="18" t="inlineStr">
        <is>
          <t>Future Learning Outcome Alignment</t>
        </is>
      </c>
      <c r="H117" s="18" t="inlineStr">
        <is>
          <t>Capability architecture → curriculum operationalisation</t>
        </is>
      </c>
      <c r="I117" s="18" t="inlineStr">
        <is>
          <t>If target human capabilities are strong but programmes do not operationalise them, flag capability-to-curriculum gap.</t>
        </is>
      </c>
      <c r="J117" s="18" t="inlineStr">
        <is>
          <t>Curriculum mapping review</t>
        </is>
      </c>
      <c r="K117" s="18" t="inlineStr">
        <is>
          <t>D03 owns capability target; D04 owns programme implementation.</t>
        </is>
      </c>
    </row>
    <row r="118">
      <c r="A118" s="18" t="inlineStr">
        <is>
          <t>CD08</t>
        </is>
      </c>
      <c r="B118" s="18" t="inlineStr">
        <is>
          <t>D03</t>
        </is>
      </c>
      <c r="C118" s="18" t="inlineStr">
        <is>
          <t>I02</t>
        </is>
      </c>
      <c r="D118" s="18" t="inlineStr">
        <is>
          <t>Critical Reasoning Development</t>
        </is>
      </c>
      <c r="E118" s="18" t="inlineStr">
        <is>
          <t>D04</t>
        </is>
      </c>
      <c r="F118" s="18" t="inlineStr">
        <is>
          <t>I04</t>
        </is>
      </c>
      <c r="G118" s="18" t="inlineStr">
        <is>
          <t>Disciplinary AI Integration Depth</t>
        </is>
      </c>
      <c r="H118" s="18" t="inlineStr">
        <is>
          <t>Capability architecture → curriculum operationalisation</t>
        </is>
      </c>
      <c r="I118" s="18" t="inlineStr">
        <is>
          <t>If target human capabilities are strong but programmes do not operationalise them, flag capability-to-curriculum gap.</t>
        </is>
      </c>
      <c r="J118" s="18" t="inlineStr">
        <is>
          <t>Curriculum mapping review</t>
        </is>
      </c>
      <c r="K118" s="18" t="inlineStr">
        <is>
          <t>D03 owns capability target; D04 owns programme implementation.</t>
        </is>
      </c>
    </row>
    <row r="119">
      <c r="A119" s="18" t="inlineStr">
        <is>
          <t>CD08</t>
        </is>
      </c>
      <c r="B119" s="18" t="inlineStr">
        <is>
          <t>D03</t>
        </is>
      </c>
      <c r="C119" s="18" t="inlineStr">
        <is>
          <t>I02</t>
        </is>
      </c>
      <c r="D119" s="18" t="inlineStr">
        <is>
          <t>Critical Reasoning Development</t>
        </is>
      </c>
      <c r="E119" s="18" t="inlineStr">
        <is>
          <t>D04</t>
        </is>
      </c>
      <c r="F119" s="18" t="inlineStr">
        <is>
          <t>I07</t>
        </is>
      </c>
      <c r="G119" s="18" t="inlineStr">
        <is>
          <t>Interdisciplinary Flexibility</t>
        </is>
      </c>
      <c r="H119" s="18" t="inlineStr">
        <is>
          <t>Capability architecture → curriculum operationalisation</t>
        </is>
      </c>
      <c r="I119" s="18" t="inlineStr">
        <is>
          <t>If target human capabilities are strong but programmes do not operationalise them, flag capability-to-curriculum gap.</t>
        </is>
      </c>
      <c r="J119" s="18" t="inlineStr">
        <is>
          <t>Curriculum mapping review</t>
        </is>
      </c>
      <c r="K119" s="18" t="inlineStr">
        <is>
          <t>D03 owns capability target; D04 owns programme implementation.</t>
        </is>
      </c>
    </row>
    <row r="120">
      <c r="A120" s="18" t="inlineStr">
        <is>
          <t>CD08</t>
        </is>
      </c>
      <c r="B120" s="18" t="inlineStr">
        <is>
          <t>D03</t>
        </is>
      </c>
      <c r="C120" s="18" t="inlineStr">
        <is>
          <t>I02</t>
        </is>
      </c>
      <c r="D120" s="18" t="inlineStr">
        <is>
          <t>Critical Reasoning Development</t>
        </is>
      </c>
      <c r="E120" s="18" t="inlineStr">
        <is>
          <t>D04</t>
        </is>
      </c>
      <c r="F120" s="18" t="inlineStr">
        <is>
          <t>I11</t>
        </is>
      </c>
      <c r="G120" s="18" t="inlineStr">
        <is>
          <t>Transfer Capability</t>
        </is>
      </c>
      <c r="H120" s="18" t="inlineStr">
        <is>
          <t>Capability architecture → curriculum operationalisation</t>
        </is>
      </c>
      <c r="I120" s="18" t="inlineStr">
        <is>
          <t>If target human capabilities are strong but programmes do not operationalise them, flag capability-to-curriculum gap.</t>
        </is>
      </c>
      <c r="J120" s="18" t="inlineStr">
        <is>
          <t>Curriculum mapping review</t>
        </is>
      </c>
      <c r="K120" s="18" t="inlineStr">
        <is>
          <t>D03 owns capability target; D04 owns programme implementation.</t>
        </is>
      </c>
    </row>
    <row r="121">
      <c r="A121" s="18" t="inlineStr">
        <is>
          <t>CD08</t>
        </is>
      </c>
      <c r="B121" s="18" t="inlineStr">
        <is>
          <t>D03</t>
        </is>
      </c>
      <c r="C121" s="18" t="inlineStr">
        <is>
          <t>I05</t>
        </is>
      </c>
      <c r="D121" s="18" t="inlineStr">
        <is>
          <t>Problem Formulation</t>
        </is>
      </c>
      <c r="E121" s="18" t="inlineStr">
        <is>
          <t>D04</t>
        </is>
      </c>
      <c r="F121" s="18" t="inlineStr">
        <is>
          <t>I02</t>
        </is>
      </c>
      <c r="G121" s="18" t="inlineStr">
        <is>
          <t>Future Learning Outcome Alignment</t>
        </is>
      </c>
      <c r="H121" s="18" t="inlineStr">
        <is>
          <t>Capability architecture → curriculum operationalisation</t>
        </is>
      </c>
      <c r="I121" s="18" t="inlineStr">
        <is>
          <t>If target human capabilities are strong but programmes do not operationalise them, flag capability-to-curriculum gap.</t>
        </is>
      </c>
      <c r="J121" s="18" t="inlineStr">
        <is>
          <t>Curriculum mapping review</t>
        </is>
      </c>
      <c r="K121" s="18" t="inlineStr">
        <is>
          <t>D03 owns capability target; D04 owns programme implementation.</t>
        </is>
      </c>
    </row>
    <row r="122">
      <c r="A122" s="18" t="inlineStr">
        <is>
          <t>CD08</t>
        </is>
      </c>
      <c r="B122" s="18" t="inlineStr">
        <is>
          <t>D03</t>
        </is>
      </c>
      <c r="C122" s="18" t="inlineStr">
        <is>
          <t>I05</t>
        </is>
      </c>
      <c r="D122" s="18" t="inlineStr">
        <is>
          <t>Problem Formulation</t>
        </is>
      </c>
      <c r="E122" s="18" t="inlineStr">
        <is>
          <t>D04</t>
        </is>
      </c>
      <c r="F122" s="18" t="inlineStr">
        <is>
          <t>I04</t>
        </is>
      </c>
      <c r="G122" s="18" t="inlineStr">
        <is>
          <t>Disciplinary AI Integration Depth</t>
        </is>
      </c>
      <c r="H122" s="18" t="inlineStr">
        <is>
          <t>Capability architecture → curriculum operationalisation</t>
        </is>
      </c>
      <c r="I122" s="18" t="inlineStr">
        <is>
          <t>If target human capabilities are strong but programmes do not operationalise them, flag capability-to-curriculum gap.</t>
        </is>
      </c>
      <c r="J122" s="18" t="inlineStr">
        <is>
          <t>Curriculum mapping review</t>
        </is>
      </c>
      <c r="K122" s="18" t="inlineStr">
        <is>
          <t>D03 owns capability target; D04 owns programme implementation.</t>
        </is>
      </c>
    </row>
    <row r="123">
      <c r="A123" s="18" t="inlineStr">
        <is>
          <t>CD08</t>
        </is>
      </c>
      <c r="B123" s="18" t="inlineStr">
        <is>
          <t>D03</t>
        </is>
      </c>
      <c r="C123" s="18" t="inlineStr">
        <is>
          <t>I05</t>
        </is>
      </c>
      <c r="D123" s="18" t="inlineStr">
        <is>
          <t>Problem Formulation</t>
        </is>
      </c>
      <c r="E123" s="18" t="inlineStr">
        <is>
          <t>D04</t>
        </is>
      </c>
      <c r="F123" s="18" t="inlineStr">
        <is>
          <t>I07</t>
        </is>
      </c>
      <c r="G123" s="18" t="inlineStr">
        <is>
          <t>Interdisciplinary Flexibility</t>
        </is>
      </c>
      <c r="H123" s="18" t="inlineStr">
        <is>
          <t>Capability architecture → curriculum operationalisation</t>
        </is>
      </c>
      <c r="I123" s="18" t="inlineStr">
        <is>
          <t>If target human capabilities are strong but programmes do not operationalise them, flag capability-to-curriculum gap.</t>
        </is>
      </c>
      <c r="J123" s="18" t="inlineStr">
        <is>
          <t>Curriculum mapping review</t>
        </is>
      </c>
      <c r="K123" s="18" t="inlineStr">
        <is>
          <t>D03 owns capability target; D04 owns programme implementation.</t>
        </is>
      </c>
    </row>
    <row r="124">
      <c r="A124" s="18" t="inlineStr">
        <is>
          <t>CD08</t>
        </is>
      </c>
      <c r="B124" s="18" t="inlineStr">
        <is>
          <t>D03</t>
        </is>
      </c>
      <c r="C124" s="18" t="inlineStr">
        <is>
          <t>I05</t>
        </is>
      </c>
      <c r="D124" s="18" t="inlineStr">
        <is>
          <t>Problem Formulation</t>
        </is>
      </c>
      <c r="E124" s="18" t="inlineStr">
        <is>
          <t>D04</t>
        </is>
      </c>
      <c r="F124" s="18" t="inlineStr">
        <is>
          <t>I11</t>
        </is>
      </c>
      <c r="G124" s="18" t="inlineStr">
        <is>
          <t>Transfer Capability</t>
        </is>
      </c>
      <c r="H124" s="18" t="inlineStr">
        <is>
          <t>Capability architecture → curriculum operationalisation</t>
        </is>
      </c>
      <c r="I124" s="18" t="inlineStr">
        <is>
          <t>If target human capabilities are strong but programmes do not operationalise them, flag capability-to-curriculum gap.</t>
        </is>
      </c>
      <c r="J124" s="18" t="inlineStr">
        <is>
          <t>Curriculum mapping review</t>
        </is>
      </c>
      <c r="K124" s="18" t="inlineStr">
        <is>
          <t>D03 owns capability target; D04 owns programme implementation.</t>
        </is>
      </c>
    </row>
    <row r="125">
      <c r="A125" s="18" t="inlineStr">
        <is>
          <t>CD08</t>
        </is>
      </c>
      <c r="B125" s="18" t="inlineStr">
        <is>
          <t>D03</t>
        </is>
      </c>
      <c r="C125" s="18" t="inlineStr">
        <is>
          <t>I07</t>
        </is>
      </c>
      <c r="D125" s="18" t="inlineStr">
        <is>
          <t>Judgement Capability</t>
        </is>
      </c>
      <c r="E125" s="18" t="inlineStr">
        <is>
          <t>D04</t>
        </is>
      </c>
      <c r="F125" s="18" t="inlineStr">
        <is>
          <t>I02</t>
        </is>
      </c>
      <c r="G125" s="18" t="inlineStr">
        <is>
          <t>Future Learning Outcome Alignment</t>
        </is>
      </c>
      <c r="H125" s="18" t="inlineStr">
        <is>
          <t>Capability architecture → curriculum operationalisation</t>
        </is>
      </c>
      <c r="I125" s="18" t="inlineStr">
        <is>
          <t>If target human capabilities are strong but programmes do not operationalise them, flag capability-to-curriculum gap.</t>
        </is>
      </c>
      <c r="J125" s="18" t="inlineStr">
        <is>
          <t>Curriculum mapping review</t>
        </is>
      </c>
      <c r="K125" s="18" t="inlineStr">
        <is>
          <t>D03 owns capability target; D04 owns programme implementation.</t>
        </is>
      </c>
    </row>
    <row r="126">
      <c r="A126" s="18" t="inlineStr">
        <is>
          <t>CD08</t>
        </is>
      </c>
      <c r="B126" s="18" t="inlineStr">
        <is>
          <t>D03</t>
        </is>
      </c>
      <c r="C126" s="18" t="inlineStr">
        <is>
          <t>I07</t>
        </is>
      </c>
      <c r="D126" s="18" t="inlineStr">
        <is>
          <t>Judgement Capability</t>
        </is>
      </c>
      <c r="E126" s="18" t="inlineStr">
        <is>
          <t>D04</t>
        </is>
      </c>
      <c r="F126" s="18" t="inlineStr">
        <is>
          <t>I04</t>
        </is>
      </c>
      <c r="G126" s="18" t="inlineStr">
        <is>
          <t>Disciplinary AI Integration Depth</t>
        </is>
      </c>
      <c r="H126" s="18" t="inlineStr">
        <is>
          <t>Capability architecture → curriculum operationalisation</t>
        </is>
      </c>
      <c r="I126" s="18" t="inlineStr">
        <is>
          <t>If target human capabilities are strong but programmes do not operationalise them, flag capability-to-curriculum gap.</t>
        </is>
      </c>
      <c r="J126" s="18" t="inlineStr">
        <is>
          <t>Curriculum mapping review</t>
        </is>
      </c>
      <c r="K126" s="18" t="inlineStr">
        <is>
          <t>D03 owns capability target; D04 owns programme implementation.</t>
        </is>
      </c>
    </row>
    <row r="127">
      <c r="A127" s="18" t="inlineStr">
        <is>
          <t>CD08</t>
        </is>
      </c>
      <c r="B127" s="18" t="inlineStr">
        <is>
          <t>D03</t>
        </is>
      </c>
      <c r="C127" s="18" t="inlineStr">
        <is>
          <t>I07</t>
        </is>
      </c>
      <c r="D127" s="18" t="inlineStr">
        <is>
          <t>Judgement Capability</t>
        </is>
      </c>
      <c r="E127" s="18" t="inlineStr">
        <is>
          <t>D04</t>
        </is>
      </c>
      <c r="F127" s="18" t="inlineStr">
        <is>
          <t>I07</t>
        </is>
      </c>
      <c r="G127" s="18" t="inlineStr">
        <is>
          <t>Interdisciplinary Flexibility</t>
        </is>
      </c>
      <c r="H127" s="18" t="inlineStr">
        <is>
          <t>Capability architecture → curriculum operationalisation</t>
        </is>
      </c>
      <c r="I127" s="18" t="inlineStr">
        <is>
          <t>If target human capabilities are strong but programmes do not operationalise them, flag capability-to-curriculum gap.</t>
        </is>
      </c>
      <c r="J127" s="18" t="inlineStr">
        <is>
          <t>Curriculum mapping review</t>
        </is>
      </c>
      <c r="K127" s="18" t="inlineStr">
        <is>
          <t>D03 owns capability target; D04 owns programme implementation.</t>
        </is>
      </c>
    </row>
    <row r="128">
      <c r="A128" s="18" t="inlineStr">
        <is>
          <t>CD08</t>
        </is>
      </c>
      <c r="B128" s="18" t="inlineStr">
        <is>
          <t>D03</t>
        </is>
      </c>
      <c r="C128" s="18" t="inlineStr">
        <is>
          <t>I07</t>
        </is>
      </c>
      <c r="D128" s="18" t="inlineStr">
        <is>
          <t>Judgement Capability</t>
        </is>
      </c>
      <c r="E128" s="18" t="inlineStr">
        <is>
          <t>D04</t>
        </is>
      </c>
      <c r="F128" s="18" t="inlineStr">
        <is>
          <t>I11</t>
        </is>
      </c>
      <c r="G128" s="18" t="inlineStr">
        <is>
          <t>Transfer Capability</t>
        </is>
      </c>
      <c r="H128" s="18" t="inlineStr">
        <is>
          <t>Capability architecture → curriculum operationalisation</t>
        </is>
      </c>
      <c r="I128" s="18" t="inlineStr">
        <is>
          <t>If target human capabilities are strong but programmes do not operationalise them, flag capability-to-curriculum gap.</t>
        </is>
      </c>
      <c r="J128" s="18" t="inlineStr">
        <is>
          <t>Curriculum mapping review</t>
        </is>
      </c>
      <c r="K128" s="18" t="inlineStr">
        <is>
          <t>D03 owns capability target; D04 owns programme implementation.</t>
        </is>
      </c>
    </row>
    <row r="129">
      <c r="A129" s="18" t="inlineStr">
        <is>
          <t>CD08</t>
        </is>
      </c>
      <c r="B129" s="18" t="inlineStr">
        <is>
          <t>D03</t>
        </is>
      </c>
      <c r="C129" s="18" t="inlineStr">
        <is>
          <t>I16</t>
        </is>
      </c>
      <c r="D129" s="18" t="inlineStr">
        <is>
          <t>Transfer Capability</t>
        </is>
      </c>
      <c r="E129" s="18" t="inlineStr">
        <is>
          <t>D04</t>
        </is>
      </c>
      <c r="F129" s="18" t="inlineStr">
        <is>
          <t>I02</t>
        </is>
      </c>
      <c r="G129" s="18" t="inlineStr">
        <is>
          <t>Future Learning Outcome Alignment</t>
        </is>
      </c>
      <c r="H129" s="18" t="inlineStr">
        <is>
          <t>Capability architecture → curriculum operationalisation</t>
        </is>
      </c>
      <c r="I129" s="18" t="inlineStr">
        <is>
          <t>If target human capabilities are strong but programmes do not operationalise them, flag capability-to-curriculum gap.</t>
        </is>
      </c>
      <c r="J129" s="18" t="inlineStr">
        <is>
          <t>Curriculum mapping review</t>
        </is>
      </c>
      <c r="K129" s="18" t="inlineStr">
        <is>
          <t>D03 owns capability target; D04 owns programme implementation.</t>
        </is>
      </c>
    </row>
    <row r="130">
      <c r="A130" s="18" t="inlineStr">
        <is>
          <t>CD08</t>
        </is>
      </c>
      <c r="B130" s="18" t="inlineStr">
        <is>
          <t>D03</t>
        </is>
      </c>
      <c r="C130" s="18" t="inlineStr">
        <is>
          <t>I16</t>
        </is>
      </c>
      <c r="D130" s="18" t="inlineStr">
        <is>
          <t>Transfer Capability</t>
        </is>
      </c>
      <c r="E130" s="18" t="inlineStr">
        <is>
          <t>D04</t>
        </is>
      </c>
      <c r="F130" s="18" t="inlineStr">
        <is>
          <t>I04</t>
        </is>
      </c>
      <c r="G130" s="18" t="inlineStr">
        <is>
          <t>Disciplinary AI Integration Depth</t>
        </is>
      </c>
      <c r="H130" s="18" t="inlineStr">
        <is>
          <t>Capability architecture → curriculum operationalisation</t>
        </is>
      </c>
      <c r="I130" s="18" t="inlineStr">
        <is>
          <t>If target human capabilities are strong but programmes do not operationalise them, flag capability-to-curriculum gap.</t>
        </is>
      </c>
      <c r="J130" s="18" t="inlineStr">
        <is>
          <t>Curriculum mapping review</t>
        </is>
      </c>
      <c r="K130" s="18" t="inlineStr">
        <is>
          <t>D03 owns capability target; D04 owns programme implementation.</t>
        </is>
      </c>
    </row>
    <row r="131">
      <c r="A131" s="18" t="inlineStr">
        <is>
          <t>CD08</t>
        </is>
      </c>
      <c r="B131" s="18" t="inlineStr">
        <is>
          <t>D03</t>
        </is>
      </c>
      <c r="C131" s="18" t="inlineStr">
        <is>
          <t>I16</t>
        </is>
      </c>
      <c r="D131" s="18" t="inlineStr">
        <is>
          <t>Transfer Capability</t>
        </is>
      </c>
      <c r="E131" s="18" t="inlineStr">
        <is>
          <t>D04</t>
        </is>
      </c>
      <c r="F131" s="18" t="inlineStr">
        <is>
          <t>I07</t>
        </is>
      </c>
      <c r="G131" s="18" t="inlineStr">
        <is>
          <t>Interdisciplinary Flexibility</t>
        </is>
      </c>
      <c r="H131" s="18" t="inlineStr">
        <is>
          <t>Capability architecture → curriculum operationalisation</t>
        </is>
      </c>
      <c r="I131" s="18" t="inlineStr">
        <is>
          <t>If target human capabilities are strong but programmes do not operationalise them, flag capability-to-curriculum gap.</t>
        </is>
      </c>
      <c r="J131" s="18" t="inlineStr">
        <is>
          <t>Curriculum mapping review</t>
        </is>
      </c>
      <c r="K131" s="18" t="inlineStr">
        <is>
          <t>D03 owns capability target; D04 owns programme implementation.</t>
        </is>
      </c>
    </row>
    <row r="132">
      <c r="A132" s="18" t="inlineStr">
        <is>
          <t>CD08</t>
        </is>
      </c>
      <c r="B132" s="18" t="inlineStr">
        <is>
          <t>D03</t>
        </is>
      </c>
      <c r="C132" s="18" t="inlineStr">
        <is>
          <t>I16</t>
        </is>
      </c>
      <c r="D132" s="18" t="inlineStr">
        <is>
          <t>Transfer Capability</t>
        </is>
      </c>
      <c r="E132" s="18" t="inlineStr">
        <is>
          <t>D04</t>
        </is>
      </c>
      <c r="F132" s="18" t="inlineStr">
        <is>
          <t>I11</t>
        </is>
      </c>
      <c r="G132" s="18" t="inlineStr">
        <is>
          <t>Transfer Capability</t>
        </is>
      </c>
      <c r="H132" s="18" t="inlineStr">
        <is>
          <t>Capability architecture → curriculum operationalisation</t>
        </is>
      </c>
      <c r="I132" s="18" t="inlineStr">
        <is>
          <t>If target human capabilities are strong but programmes do not operationalise them, flag capability-to-curriculum gap.</t>
        </is>
      </c>
      <c r="J132" s="18" t="inlineStr">
        <is>
          <t>Curriculum mapping review</t>
        </is>
      </c>
      <c r="K132" s="18" t="inlineStr">
        <is>
          <t>D03 owns capability target; D04 owns programme implementation.</t>
        </is>
      </c>
    </row>
    <row r="133">
      <c r="A133" s="18" t="inlineStr">
        <is>
          <t>CD08</t>
        </is>
      </c>
      <c r="B133" s="18" t="inlineStr">
        <is>
          <t>D03</t>
        </is>
      </c>
      <c r="C133" s="18" t="inlineStr">
        <is>
          <t>I17</t>
        </is>
      </c>
      <c r="D133" s="18" t="inlineStr">
        <is>
          <t>Non-Technical Discipline AI Capability</t>
        </is>
      </c>
      <c r="E133" s="18" t="inlineStr">
        <is>
          <t>D04</t>
        </is>
      </c>
      <c r="F133" s="18" t="inlineStr">
        <is>
          <t>I02</t>
        </is>
      </c>
      <c r="G133" s="18" t="inlineStr">
        <is>
          <t>Future Learning Outcome Alignment</t>
        </is>
      </c>
      <c r="H133" s="18" t="inlineStr">
        <is>
          <t>Capability architecture → curriculum operationalisation</t>
        </is>
      </c>
      <c r="I133" s="18" t="inlineStr">
        <is>
          <t>If target human capabilities are strong but programmes do not operationalise them, flag capability-to-curriculum gap.</t>
        </is>
      </c>
      <c r="J133" s="18" t="inlineStr">
        <is>
          <t>Curriculum mapping review</t>
        </is>
      </c>
      <c r="K133" s="18" t="inlineStr">
        <is>
          <t>D03 owns capability target; D04 owns programme implementation.</t>
        </is>
      </c>
    </row>
    <row r="134">
      <c r="A134" s="18" t="inlineStr">
        <is>
          <t>CD08</t>
        </is>
      </c>
      <c r="B134" s="18" t="inlineStr">
        <is>
          <t>D03</t>
        </is>
      </c>
      <c r="C134" s="18" t="inlineStr">
        <is>
          <t>I17</t>
        </is>
      </c>
      <c r="D134" s="18" t="inlineStr">
        <is>
          <t>Non-Technical Discipline AI Capability</t>
        </is>
      </c>
      <c r="E134" s="18" t="inlineStr">
        <is>
          <t>D04</t>
        </is>
      </c>
      <c r="F134" s="18" t="inlineStr">
        <is>
          <t>I04</t>
        </is>
      </c>
      <c r="G134" s="18" t="inlineStr">
        <is>
          <t>Disciplinary AI Integration Depth</t>
        </is>
      </c>
      <c r="H134" s="18" t="inlineStr">
        <is>
          <t>Capability architecture → curriculum operationalisation</t>
        </is>
      </c>
      <c r="I134" s="18" t="inlineStr">
        <is>
          <t>If target human capabilities are strong but programmes do not operationalise them, flag capability-to-curriculum gap.</t>
        </is>
      </c>
      <c r="J134" s="18" t="inlineStr">
        <is>
          <t>Curriculum mapping review</t>
        </is>
      </c>
      <c r="K134" s="18" t="inlineStr">
        <is>
          <t>D03 owns capability target; D04 owns programme implementation.</t>
        </is>
      </c>
    </row>
    <row r="135">
      <c r="A135" s="18" t="inlineStr">
        <is>
          <t>CD08</t>
        </is>
      </c>
      <c r="B135" s="18" t="inlineStr">
        <is>
          <t>D03</t>
        </is>
      </c>
      <c r="C135" s="18" t="inlineStr">
        <is>
          <t>I17</t>
        </is>
      </c>
      <c r="D135" s="18" t="inlineStr">
        <is>
          <t>Non-Technical Discipline AI Capability</t>
        </is>
      </c>
      <c r="E135" s="18" t="inlineStr">
        <is>
          <t>D04</t>
        </is>
      </c>
      <c r="F135" s="18" t="inlineStr">
        <is>
          <t>I07</t>
        </is>
      </c>
      <c r="G135" s="18" t="inlineStr">
        <is>
          <t>Interdisciplinary Flexibility</t>
        </is>
      </c>
      <c r="H135" s="18" t="inlineStr">
        <is>
          <t>Capability architecture → curriculum operationalisation</t>
        </is>
      </c>
      <c r="I135" s="18" t="inlineStr">
        <is>
          <t>If target human capabilities are strong but programmes do not operationalise them, flag capability-to-curriculum gap.</t>
        </is>
      </c>
      <c r="J135" s="18" t="inlineStr">
        <is>
          <t>Curriculum mapping review</t>
        </is>
      </c>
      <c r="K135" s="18" t="inlineStr">
        <is>
          <t>D03 owns capability target; D04 owns programme implementation.</t>
        </is>
      </c>
    </row>
    <row r="136">
      <c r="A136" s="18" t="inlineStr">
        <is>
          <t>CD08</t>
        </is>
      </c>
      <c r="B136" s="18" t="inlineStr">
        <is>
          <t>D03</t>
        </is>
      </c>
      <c r="C136" s="18" t="inlineStr">
        <is>
          <t>I17</t>
        </is>
      </c>
      <c r="D136" s="18" t="inlineStr">
        <is>
          <t>Non-Technical Discipline AI Capability</t>
        </is>
      </c>
      <c r="E136" s="18" t="inlineStr">
        <is>
          <t>D04</t>
        </is>
      </c>
      <c r="F136" s="18" t="inlineStr">
        <is>
          <t>I11</t>
        </is>
      </c>
      <c r="G136" s="18" t="inlineStr">
        <is>
          <t>Transfer Capability</t>
        </is>
      </c>
      <c r="H136" s="18" t="inlineStr">
        <is>
          <t>Capability architecture → curriculum operationalisation</t>
        </is>
      </c>
      <c r="I136" s="18" t="inlineStr">
        <is>
          <t>If target human capabilities are strong but programmes do not operationalise them, flag capability-to-curriculum gap.</t>
        </is>
      </c>
      <c r="J136" s="18" t="inlineStr">
        <is>
          <t>Curriculum mapping review</t>
        </is>
      </c>
      <c r="K136" s="18" t="inlineStr">
        <is>
          <t>D03 owns capability target; D04 owns programme implementation.</t>
        </is>
      </c>
    </row>
    <row r="137">
      <c r="A137" s="18" t="inlineStr">
        <is>
          <t>CD09</t>
        </is>
      </c>
      <c r="B137" s="18" t="inlineStr">
        <is>
          <t>D03</t>
        </is>
      </c>
      <c r="C137" s="18" t="inlineStr">
        <is>
          <t>I02</t>
        </is>
      </c>
      <c r="D137" s="18" t="inlineStr">
        <is>
          <t>Critical Reasoning Development</t>
        </is>
      </c>
      <c r="E137" s="18" t="inlineStr">
        <is>
          <t>D06</t>
        </is>
      </c>
      <c r="F137" s="18" t="inlineStr">
        <is>
          <t>I02</t>
        </is>
      </c>
      <c r="G137" s="18" t="inlineStr">
        <is>
          <t>Critical AI Evaluation</t>
        </is>
      </c>
      <c r="H137" s="18" t="inlineStr">
        <is>
          <t>Institutional capability intent → student reality</t>
        </is>
      </c>
      <c r="I137" s="18" t="inlineStr">
        <is>
          <t>If institutional capability architecture is strong but student agency/transfer evidence is weak, flag intent-to-experience gap.</t>
        </is>
      </c>
      <c r="J137" s="18" t="inlineStr">
        <is>
          <t>Student capability review</t>
        </is>
      </c>
      <c r="K137" s="18" t="inlineStr">
        <is>
          <t>Student evidence does not automatically raise D03.</t>
        </is>
      </c>
    </row>
    <row r="138">
      <c r="A138" s="18" t="inlineStr">
        <is>
          <t>CD09</t>
        </is>
      </c>
      <c r="B138" s="18" t="inlineStr">
        <is>
          <t>D03</t>
        </is>
      </c>
      <c r="C138" s="18" t="inlineStr">
        <is>
          <t>I02</t>
        </is>
      </c>
      <c r="D138" s="18" t="inlineStr">
        <is>
          <t>Critical Reasoning Development</t>
        </is>
      </c>
      <c r="E138" s="18" t="inlineStr">
        <is>
          <t>D06</t>
        </is>
      </c>
      <c r="F138" s="18" t="inlineStr">
        <is>
          <t>I03</t>
        </is>
      </c>
      <c r="G138" s="18" t="inlineStr">
        <is>
          <t>Learning Agency</t>
        </is>
      </c>
      <c r="H138" s="18" t="inlineStr">
        <is>
          <t>Institutional capability intent → student reality</t>
        </is>
      </c>
      <c r="I138" s="18" t="inlineStr">
        <is>
          <t>If institutional capability architecture is strong but student agency/transfer evidence is weak, flag intent-to-experience gap.</t>
        </is>
      </c>
      <c r="J138" s="18" t="inlineStr">
        <is>
          <t>Student capability review</t>
        </is>
      </c>
      <c r="K138" s="18" t="inlineStr">
        <is>
          <t>Student evidence does not automatically raise D03.</t>
        </is>
      </c>
    </row>
    <row r="139">
      <c r="A139" s="18" t="inlineStr">
        <is>
          <t>CD09</t>
        </is>
      </c>
      <c r="B139" s="18" t="inlineStr">
        <is>
          <t>D03</t>
        </is>
      </c>
      <c r="C139" s="18" t="inlineStr">
        <is>
          <t>I02</t>
        </is>
      </c>
      <c r="D139" s="18" t="inlineStr">
        <is>
          <t>Critical Reasoning Development</t>
        </is>
      </c>
      <c r="E139" s="18" t="inlineStr">
        <is>
          <t>D06</t>
        </is>
      </c>
      <c r="F139" s="18" t="inlineStr">
        <is>
          <t>I04</t>
        </is>
      </c>
      <c r="G139" s="18" t="inlineStr">
        <is>
          <t>Independent Intellectual Agency</t>
        </is>
      </c>
      <c r="H139" s="18" t="inlineStr">
        <is>
          <t>Institutional capability intent → student reality</t>
        </is>
      </c>
      <c r="I139" s="18" t="inlineStr">
        <is>
          <t>If institutional capability architecture is strong but student agency/transfer evidence is weak, flag intent-to-experience gap.</t>
        </is>
      </c>
      <c r="J139" s="18" t="inlineStr">
        <is>
          <t>Student capability review</t>
        </is>
      </c>
      <c r="K139" s="18" t="inlineStr">
        <is>
          <t>Student evidence does not automatically raise D03.</t>
        </is>
      </c>
    </row>
    <row r="140">
      <c r="A140" s="18" t="inlineStr">
        <is>
          <t>CD09</t>
        </is>
      </c>
      <c r="B140" s="18" t="inlineStr">
        <is>
          <t>D03</t>
        </is>
      </c>
      <c r="C140" s="18" t="inlineStr">
        <is>
          <t>I02</t>
        </is>
      </c>
      <c r="D140" s="18" t="inlineStr">
        <is>
          <t>Critical Reasoning Development</t>
        </is>
      </c>
      <c r="E140" s="18" t="inlineStr">
        <is>
          <t>D06</t>
        </is>
      </c>
      <c r="F140" s="18" t="inlineStr">
        <is>
          <t>I10</t>
        </is>
      </c>
      <c r="G140" s="18" t="inlineStr">
        <is>
          <t>Problem Solving &amp; Transfer</t>
        </is>
      </c>
      <c r="H140" s="18" t="inlineStr">
        <is>
          <t>Institutional capability intent → student reality</t>
        </is>
      </c>
      <c r="I140" s="18" t="inlineStr">
        <is>
          <t>If institutional capability architecture is strong but student agency/transfer evidence is weak, flag intent-to-experience gap.</t>
        </is>
      </c>
      <c r="J140" s="18" t="inlineStr">
        <is>
          <t>Student capability review</t>
        </is>
      </c>
      <c r="K140" s="18" t="inlineStr">
        <is>
          <t>Student evidence does not automatically raise D03.</t>
        </is>
      </c>
    </row>
    <row r="141">
      <c r="A141" s="18" t="inlineStr">
        <is>
          <t>CD09</t>
        </is>
      </c>
      <c r="B141" s="18" t="inlineStr">
        <is>
          <t>D03</t>
        </is>
      </c>
      <c r="C141" s="18" t="inlineStr">
        <is>
          <t>I02</t>
        </is>
      </c>
      <c r="D141" s="18" t="inlineStr">
        <is>
          <t>Critical Reasoning Development</t>
        </is>
      </c>
      <c r="E141" s="18" t="inlineStr">
        <is>
          <t>D06</t>
        </is>
      </c>
      <c r="F141" s="18" t="inlineStr">
        <is>
          <t>I14</t>
        </is>
      </c>
      <c r="G141" s="18" t="inlineStr">
        <is>
          <t>Student Voice &amp; Feedback Loop</t>
        </is>
      </c>
      <c r="H141" s="18" t="inlineStr">
        <is>
          <t>Institutional capability intent → student reality</t>
        </is>
      </c>
      <c r="I141" s="18" t="inlineStr">
        <is>
          <t>If institutional capability architecture is strong but student agency/transfer evidence is weak, flag intent-to-experience gap.</t>
        </is>
      </c>
      <c r="J141" s="18" t="inlineStr">
        <is>
          <t>Student capability review</t>
        </is>
      </c>
      <c r="K141" s="18" t="inlineStr">
        <is>
          <t>Student evidence does not automatically raise D03.</t>
        </is>
      </c>
    </row>
    <row r="142">
      <c r="A142" s="18" t="inlineStr">
        <is>
          <t>CD09</t>
        </is>
      </c>
      <c r="B142" s="18" t="inlineStr">
        <is>
          <t>D03</t>
        </is>
      </c>
      <c r="C142" s="18" t="inlineStr">
        <is>
          <t>I05</t>
        </is>
      </c>
      <c r="D142" s="18" t="inlineStr">
        <is>
          <t>Problem Formulation</t>
        </is>
      </c>
      <c r="E142" s="18" t="inlineStr">
        <is>
          <t>D06</t>
        </is>
      </c>
      <c r="F142" s="18" t="inlineStr">
        <is>
          <t>I02</t>
        </is>
      </c>
      <c r="G142" s="18" t="inlineStr">
        <is>
          <t>Critical AI Evaluation</t>
        </is>
      </c>
      <c r="H142" s="18" t="inlineStr">
        <is>
          <t>Institutional capability intent → student reality</t>
        </is>
      </c>
      <c r="I142" s="18" t="inlineStr">
        <is>
          <t>If institutional capability architecture is strong but student agency/transfer evidence is weak, flag intent-to-experience gap.</t>
        </is>
      </c>
      <c r="J142" s="18" t="inlineStr">
        <is>
          <t>Student capability review</t>
        </is>
      </c>
      <c r="K142" s="18" t="inlineStr">
        <is>
          <t>Student evidence does not automatically raise D03.</t>
        </is>
      </c>
    </row>
    <row r="143">
      <c r="A143" s="18" t="inlineStr">
        <is>
          <t>CD09</t>
        </is>
      </c>
      <c r="B143" s="18" t="inlineStr">
        <is>
          <t>D03</t>
        </is>
      </c>
      <c r="C143" s="18" t="inlineStr">
        <is>
          <t>I05</t>
        </is>
      </c>
      <c r="D143" s="18" t="inlineStr">
        <is>
          <t>Problem Formulation</t>
        </is>
      </c>
      <c r="E143" s="18" t="inlineStr">
        <is>
          <t>D06</t>
        </is>
      </c>
      <c r="F143" s="18" t="inlineStr">
        <is>
          <t>I03</t>
        </is>
      </c>
      <c r="G143" s="18" t="inlineStr">
        <is>
          <t>Learning Agency</t>
        </is>
      </c>
      <c r="H143" s="18" t="inlineStr">
        <is>
          <t>Institutional capability intent → student reality</t>
        </is>
      </c>
      <c r="I143" s="18" t="inlineStr">
        <is>
          <t>If institutional capability architecture is strong but student agency/transfer evidence is weak, flag intent-to-experience gap.</t>
        </is>
      </c>
      <c r="J143" s="18" t="inlineStr">
        <is>
          <t>Student capability review</t>
        </is>
      </c>
      <c r="K143" s="18" t="inlineStr">
        <is>
          <t>Student evidence does not automatically raise D03.</t>
        </is>
      </c>
    </row>
    <row r="144">
      <c r="A144" s="18" t="inlineStr">
        <is>
          <t>CD09</t>
        </is>
      </c>
      <c r="B144" s="18" t="inlineStr">
        <is>
          <t>D03</t>
        </is>
      </c>
      <c r="C144" s="18" t="inlineStr">
        <is>
          <t>I05</t>
        </is>
      </c>
      <c r="D144" s="18" t="inlineStr">
        <is>
          <t>Problem Formulation</t>
        </is>
      </c>
      <c r="E144" s="18" t="inlineStr">
        <is>
          <t>D06</t>
        </is>
      </c>
      <c r="F144" s="18" t="inlineStr">
        <is>
          <t>I04</t>
        </is>
      </c>
      <c r="G144" s="18" t="inlineStr">
        <is>
          <t>Independent Intellectual Agency</t>
        </is>
      </c>
      <c r="H144" s="18" t="inlineStr">
        <is>
          <t>Institutional capability intent → student reality</t>
        </is>
      </c>
      <c r="I144" s="18" t="inlineStr">
        <is>
          <t>If institutional capability architecture is strong but student agency/transfer evidence is weak, flag intent-to-experience gap.</t>
        </is>
      </c>
      <c r="J144" s="18" t="inlineStr">
        <is>
          <t>Student capability review</t>
        </is>
      </c>
      <c r="K144" s="18" t="inlineStr">
        <is>
          <t>Student evidence does not automatically raise D03.</t>
        </is>
      </c>
    </row>
    <row r="145">
      <c r="A145" s="18" t="inlineStr">
        <is>
          <t>CD09</t>
        </is>
      </c>
      <c r="B145" s="18" t="inlineStr">
        <is>
          <t>D03</t>
        </is>
      </c>
      <c r="C145" s="18" t="inlineStr">
        <is>
          <t>I05</t>
        </is>
      </c>
      <c r="D145" s="18" t="inlineStr">
        <is>
          <t>Problem Formulation</t>
        </is>
      </c>
      <c r="E145" s="18" t="inlineStr">
        <is>
          <t>D06</t>
        </is>
      </c>
      <c r="F145" s="18" t="inlineStr">
        <is>
          <t>I10</t>
        </is>
      </c>
      <c r="G145" s="18" t="inlineStr">
        <is>
          <t>Problem Solving &amp; Transfer</t>
        </is>
      </c>
      <c r="H145" s="18" t="inlineStr">
        <is>
          <t>Institutional capability intent → student reality</t>
        </is>
      </c>
      <c r="I145" s="18" t="inlineStr">
        <is>
          <t>If institutional capability architecture is strong but student agency/transfer evidence is weak, flag intent-to-experience gap.</t>
        </is>
      </c>
      <c r="J145" s="18" t="inlineStr">
        <is>
          <t>Student capability review</t>
        </is>
      </c>
      <c r="K145" s="18" t="inlineStr">
        <is>
          <t>Student evidence does not automatically raise D03.</t>
        </is>
      </c>
    </row>
    <row r="146">
      <c r="A146" s="18" t="inlineStr">
        <is>
          <t>CD09</t>
        </is>
      </c>
      <c r="B146" s="18" t="inlineStr">
        <is>
          <t>D03</t>
        </is>
      </c>
      <c r="C146" s="18" t="inlineStr">
        <is>
          <t>I05</t>
        </is>
      </c>
      <c r="D146" s="18" t="inlineStr">
        <is>
          <t>Problem Formulation</t>
        </is>
      </c>
      <c r="E146" s="18" t="inlineStr">
        <is>
          <t>D06</t>
        </is>
      </c>
      <c r="F146" s="18" t="inlineStr">
        <is>
          <t>I14</t>
        </is>
      </c>
      <c r="G146" s="18" t="inlineStr">
        <is>
          <t>Student Voice &amp; Feedback Loop</t>
        </is>
      </c>
      <c r="H146" s="18" t="inlineStr">
        <is>
          <t>Institutional capability intent → student reality</t>
        </is>
      </c>
      <c r="I146" s="18" t="inlineStr">
        <is>
          <t>If institutional capability architecture is strong but student agency/transfer evidence is weak, flag intent-to-experience gap.</t>
        </is>
      </c>
      <c r="J146" s="18" t="inlineStr">
        <is>
          <t>Student capability review</t>
        </is>
      </c>
      <c r="K146" s="18" t="inlineStr">
        <is>
          <t>Student evidence does not automatically raise D03.</t>
        </is>
      </c>
    </row>
    <row r="147">
      <c r="A147" s="18" t="inlineStr">
        <is>
          <t>CD09</t>
        </is>
      </c>
      <c r="B147" s="18" t="inlineStr">
        <is>
          <t>D03</t>
        </is>
      </c>
      <c r="C147" s="18" t="inlineStr">
        <is>
          <t>I08</t>
        </is>
      </c>
      <c r="D147" s="18" t="inlineStr">
        <is>
          <t>AI Verification Capability</t>
        </is>
      </c>
      <c r="E147" s="18" t="inlineStr">
        <is>
          <t>D06</t>
        </is>
      </c>
      <c r="F147" s="18" t="inlineStr">
        <is>
          <t>I02</t>
        </is>
      </c>
      <c r="G147" s="18" t="inlineStr">
        <is>
          <t>Critical AI Evaluation</t>
        </is>
      </c>
      <c r="H147" s="18" t="inlineStr">
        <is>
          <t>Institutional capability intent → student reality</t>
        </is>
      </c>
      <c r="I147" s="18" t="inlineStr">
        <is>
          <t>If institutional capability architecture is strong but student agency/transfer evidence is weak, flag intent-to-experience gap.</t>
        </is>
      </c>
      <c r="J147" s="18" t="inlineStr">
        <is>
          <t>Student capability review</t>
        </is>
      </c>
      <c r="K147" s="18" t="inlineStr">
        <is>
          <t>Student evidence does not automatically raise D03.</t>
        </is>
      </c>
    </row>
    <row r="148">
      <c r="A148" s="18" t="inlineStr">
        <is>
          <t>CD09</t>
        </is>
      </c>
      <c r="B148" s="18" t="inlineStr">
        <is>
          <t>D03</t>
        </is>
      </c>
      <c r="C148" s="18" t="inlineStr">
        <is>
          <t>I08</t>
        </is>
      </c>
      <c r="D148" s="18" t="inlineStr">
        <is>
          <t>AI Verification Capability</t>
        </is>
      </c>
      <c r="E148" s="18" t="inlineStr">
        <is>
          <t>D06</t>
        </is>
      </c>
      <c r="F148" s="18" t="inlineStr">
        <is>
          <t>I03</t>
        </is>
      </c>
      <c r="G148" s="18" t="inlineStr">
        <is>
          <t>Learning Agency</t>
        </is>
      </c>
      <c r="H148" s="18" t="inlineStr">
        <is>
          <t>Institutional capability intent → student reality</t>
        </is>
      </c>
      <c r="I148" s="18" t="inlineStr">
        <is>
          <t>If institutional capability architecture is strong but student agency/transfer evidence is weak, flag intent-to-experience gap.</t>
        </is>
      </c>
      <c r="J148" s="18" t="inlineStr">
        <is>
          <t>Student capability review</t>
        </is>
      </c>
      <c r="K148" s="18" t="inlineStr">
        <is>
          <t>Student evidence does not automatically raise D03.</t>
        </is>
      </c>
    </row>
    <row r="149">
      <c r="A149" s="18" t="inlineStr">
        <is>
          <t>CD09</t>
        </is>
      </c>
      <c r="B149" s="18" t="inlineStr">
        <is>
          <t>D03</t>
        </is>
      </c>
      <c r="C149" s="18" t="inlineStr">
        <is>
          <t>I08</t>
        </is>
      </c>
      <c r="D149" s="18" t="inlineStr">
        <is>
          <t>AI Verification Capability</t>
        </is>
      </c>
      <c r="E149" s="18" t="inlineStr">
        <is>
          <t>D06</t>
        </is>
      </c>
      <c r="F149" s="18" t="inlineStr">
        <is>
          <t>I04</t>
        </is>
      </c>
      <c r="G149" s="18" t="inlineStr">
        <is>
          <t>Independent Intellectual Agency</t>
        </is>
      </c>
      <c r="H149" s="18" t="inlineStr">
        <is>
          <t>Institutional capability intent → student reality</t>
        </is>
      </c>
      <c r="I149" s="18" t="inlineStr">
        <is>
          <t>If institutional capability architecture is strong but student agency/transfer evidence is weak, flag intent-to-experience gap.</t>
        </is>
      </c>
      <c r="J149" s="18" t="inlineStr">
        <is>
          <t>Student capability review</t>
        </is>
      </c>
      <c r="K149" s="18" t="inlineStr">
        <is>
          <t>Student evidence does not automatically raise D03.</t>
        </is>
      </c>
    </row>
    <row r="150">
      <c r="A150" s="18" t="inlineStr">
        <is>
          <t>CD09</t>
        </is>
      </c>
      <c r="B150" s="18" t="inlineStr">
        <is>
          <t>D03</t>
        </is>
      </c>
      <c r="C150" s="18" t="inlineStr">
        <is>
          <t>I08</t>
        </is>
      </c>
      <c r="D150" s="18" t="inlineStr">
        <is>
          <t>AI Verification Capability</t>
        </is>
      </c>
      <c r="E150" s="18" t="inlineStr">
        <is>
          <t>D06</t>
        </is>
      </c>
      <c r="F150" s="18" t="inlineStr">
        <is>
          <t>I10</t>
        </is>
      </c>
      <c r="G150" s="18" t="inlineStr">
        <is>
          <t>Problem Solving &amp; Transfer</t>
        </is>
      </c>
      <c r="H150" s="18" t="inlineStr">
        <is>
          <t>Institutional capability intent → student reality</t>
        </is>
      </c>
      <c r="I150" s="18" t="inlineStr">
        <is>
          <t>If institutional capability architecture is strong but student agency/transfer evidence is weak, flag intent-to-experience gap.</t>
        </is>
      </c>
      <c r="J150" s="18" t="inlineStr">
        <is>
          <t>Student capability review</t>
        </is>
      </c>
      <c r="K150" s="18" t="inlineStr">
        <is>
          <t>Student evidence does not automatically raise D03.</t>
        </is>
      </c>
    </row>
    <row r="151">
      <c r="A151" s="18" t="inlineStr">
        <is>
          <t>CD09</t>
        </is>
      </c>
      <c r="B151" s="18" t="inlineStr">
        <is>
          <t>D03</t>
        </is>
      </c>
      <c r="C151" s="18" t="inlineStr">
        <is>
          <t>I08</t>
        </is>
      </c>
      <c r="D151" s="18" t="inlineStr">
        <is>
          <t>AI Verification Capability</t>
        </is>
      </c>
      <c r="E151" s="18" t="inlineStr">
        <is>
          <t>D06</t>
        </is>
      </c>
      <c r="F151" s="18" t="inlineStr">
        <is>
          <t>I14</t>
        </is>
      </c>
      <c r="G151" s="18" t="inlineStr">
        <is>
          <t>Student Voice &amp; Feedback Loop</t>
        </is>
      </c>
      <c r="H151" s="18" t="inlineStr">
        <is>
          <t>Institutional capability intent → student reality</t>
        </is>
      </c>
      <c r="I151" s="18" t="inlineStr">
        <is>
          <t>If institutional capability architecture is strong but student agency/transfer evidence is weak, flag intent-to-experience gap.</t>
        </is>
      </c>
      <c r="J151" s="18" t="inlineStr">
        <is>
          <t>Student capability review</t>
        </is>
      </c>
      <c r="K151" s="18" t="inlineStr">
        <is>
          <t>Student evidence does not automatically raise D03.</t>
        </is>
      </c>
    </row>
    <row r="152">
      <c r="A152" s="18" t="inlineStr">
        <is>
          <t>CD09</t>
        </is>
      </c>
      <c r="B152" s="18" t="inlineStr">
        <is>
          <t>D03</t>
        </is>
      </c>
      <c r="C152" s="18" t="inlineStr">
        <is>
          <t>I15</t>
        </is>
      </c>
      <c r="D152" s="18" t="inlineStr">
        <is>
          <t>Intellectual Agency</t>
        </is>
      </c>
      <c r="E152" s="18" t="inlineStr">
        <is>
          <t>D06</t>
        </is>
      </c>
      <c r="F152" s="18" t="inlineStr">
        <is>
          <t>I02</t>
        </is>
      </c>
      <c r="G152" s="18" t="inlineStr">
        <is>
          <t>Critical AI Evaluation</t>
        </is>
      </c>
      <c r="H152" s="18" t="inlineStr">
        <is>
          <t>Institutional capability intent → student reality</t>
        </is>
      </c>
      <c r="I152" s="18" t="inlineStr">
        <is>
          <t>If institutional capability architecture is strong but student agency/transfer evidence is weak, flag intent-to-experience gap.</t>
        </is>
      </c>
      <c r="J152" s="18" t="inlineStr">
        <is>
          <t>Student capability review</t>
        </is>
      </c>
      <c r="K152" s="18" t="inlineStr">
        <is>
          <t>Student evidence does not automatically raise D03.</t>
        </is>
      </c>
    </row>
    <row r="153">
      <c r="A153" s="18" t="inlineStr">
        <is>
          <t>CD09</t>
        </is>
      </c>
      <c r="B153" s="18" t="inlineStr">
        <is>
          <t>D03</t>
        </is>
      </c>
      <c r="C153" s="18" t="inlineStr">
        <is>
          <t>I15</t>
        </is>
      </c>
      <c r="D153" s="18" t="inlineStr">
        <is>
          <t>Intellectual Agency</t>
        </is>
      </c>
      <c r="E153" s="18" t="inlineStr">
        <is>
          <t>D06</t>
        </is>
      </c>
      <c r="F153" s="18" t="inlineStr">
        <is>
          <t>I03</t>
        </is>
      </c>
      <c r="G153" s="18" t="inlineStr">
        <is>
          <t>Learning Agency</t>
        </is>
      </c>
      <c r="H153" s="18" t="inlineStr">
        <is>
          <t>Institutional capability intent → student reality</t>
        </is>
      </c>
      <c r="I153" s="18" t="inlineStr">
        <is>
          <t>If institutional capability architecture is strong but student agency/transfer evidence is weak, flag intent-to-experience gap.</t>
        </is>
      </c>
      <c r="J153" s="18" t="inlineStr">
        <is>
          <t>Student capability review</t>
        </is>
      </c>
      <c r="K153" s="18" t="inlineStr">
        <is>
          <t>Student evidence does not automatically raise D03.</t>
        </is>
      </c>
    </row>
    <row r="154">
      <c r="A154" s="18" t="inlineStr">
        <is>
          <t>CD09</t>
        </is>
      </c>
      <c r="B154" s="18" t="inlineStr">
        <is>
          <t>D03</t>
        </is>
      </c>
      <c r="C154" s="18" t="inlineStr">
        <is>
          <t>I15</t>
        </is>
      </c>
      <c r="D154" s="18" t="inlineStr">
        <is>
          <t>Intellectual Agency</t>
        </is>
      </c>
      <c r="E154" s="18" t="inlineStr">
        <is>
          <t>D06</t>
        </is>
      </c>
      <c r="F154" s="18" t="inlineStr">
        <is>
          <t>I04</t>
        </is>
      </c>
      <c r="G154" s="18" t="inlineStr">
        <is>
          <t>Independent Intellectual Agency</t>
        </is>
      </c>
      <c r="H154" s="18" t="inlineStr">
        <is>
          <t>Institutional capability intent → student reality</t>
        </is>
      </c>
      <c r="I154" s="18" t="inlineStr">
        <is>
          <t>If institutional capability architecture is strong but student agency/transfer evidence is weak, flag intent-to-experience gap.</t>
        </is>
      </c>
      <c r="J154" s="18" t="inlineStr">
        <is>
          <t>Student capability review</t>
        </is>
      </c>
      <c r="K154" s="18" t="inlineStr">
        <is>
          <t>Student evidence does not automatically raise D03.</t>
        </is>
      </c>
    </row>
    <row r="155">
      <c r="A155" s="18" t="inlineStr">
        <is>
          <t>CD09</t>
        </is>
      </c>
      <c r="B155" s="18" t="inlineStr">
        <is>
          <t>D03</t>
        </is>
      </c>
      <c r="C155" s="18" t="inlineStr">
        <is>
          <t>I15</t>
        </is>
      </c>
      <c r="D155" s="18" t="inlineStr">
        <is>
          <t>Intellectual Agency</t>
        </is>
      </c>
      <c r="E155" s="18" t="inlineStr">
        <is>
          <t>D06</t>
        </is>
      </c>
      <c r="F155" s="18" t="inlineStr">
        <is>
          <t>I10</t>
        </is>
      </c>
      <c r="G155" s="18" t="inlineStr">
        <is>
          <t>Problem Solving &amp; Transfer</t>
        </is>
      </c>
      <c r="H155" s="18" t="inlineStr">
        <is>
          <t>Institutional capability intent → student reality</t>
        </is>
      </c>
      <c r="I155" s="18" t="inlineStr">
        <is>
          <t>If institutional capability architecture is strong but student agency/transfer evidence is weak, flag intent-to-experience gap.</t>
        </is>
      </c>
      <c r="J155" s="18" t="inlineStr">
        <is>
          <t>Student capability review</t>
        </is>
      </c>
      <c r="K155" s="18" t="inlineStr">
        <is>
          <t>Student evidence does not automatically raise D03.</t>
        </is>
      </c>
    </row>
    <row r="156">
      <c r="A156" s="18" t="inlineStr">
        <is>
          <t>CD09</t>
        </is>
      </c>
      <c r="B156" s="18" t="inlineStr">
        <is>
          <t>D03</t>
        </is>
      </c>
      <c r="C156" s="18" t="inlineStr">
        <is>
          <t>I15</t>
        </is>
      </c>
      <c r="D156" s="18" t="inlineStr">
        <is>
          <t>Intellectual Agency</t>
        </is>
      </c>
      <c r="E156" s="18" t="inlineStr">
        <is>
          <t>D06</t>
        </is>
      </c>
      <c r="F156" s="18" t="inlineStr">
        <is>
          <t>I14</t>
        </is>
      </c>
      <c r="G156" s="18" t="inlineStr">
        <is>
          <t>Student Voice &amp; Feedback Loop</t>
        </is>
      </c>
      <c r="H156" s="18" t="inlineStr">
        <is>
          <t>Institutional capability intent → student reality</t>
        </is>
      </c>
      <c r="I156" s="18" t="inlineStr">
        <is>
          <t>If institutional capability architecture is strong but student agency/transfer evidence is weak, flag intent-to-experience gap.</t>
        </is>
      </c>
      <c r="J156" s="18" t="inlineStr">
        <is>
          <t>Student capability review</t>
        </is>
      </c>
      <c r="K156" s="18" t="inlineStr">
        <is>
          <t>Student evidence does not automatically raise D03.</t>
        </is>
      </c>
    </row>
    <row r="157">
      <c r="A157" s="18" t="inlineStr">
        <is>
          <t>CD09</t>
        </is>
      </c>
      <c r="B157" s="18" t="inlineStr">
        <is>
          <t>D03</t>
        </is>
      </c>
      <c r="C157" s="18" t="inlineStr">
        <is>
          <t>I16</t>
        </is>
      </c>
      <c r="D157" s="18" t="inlineStr">
        <is>
          <t>Transfer Capability</t>
        </is>
      </c>
      <c r="E157" s="18" t="inlineStr">
        <is>
          <t>D06</t>
        </is>
      </c>
      <c r="F157" s="18" t="inlineStr">
        <is>
          <t>I02</t>
        </is>
      </c>
      <c r="G157" s="18" t="inlineStr">
        <is>
          <t>Critical AI Evaluation</t>
        </is>
      </c>
      <c r="H157" s="18" t="inlineStr">
        <is>
          <t>Institutional capability intent → student reality</t>
        </is>
      </c>
      <c r="I157" s="18" t="inlineStr">
        <is>
          <t>If institutional capability architecture is strong but student agency/transfer evidence is weak, flag intent-to-experience gap.</t>
        </is>
      </c>
      <c r="J157" s="18" t="inlineStr">
        <is>
          <t>Student capability review</t>
        </is>
      </c>
      <c r="K157" s="18" t="inlineStr">
        <is>
          <t>Student evidence does not automatically raise D03.</t>
        </is>
      </c>
    </row>
    <row r="158">
      <c r="A158" s="18" t="inlineStr">
        <is>
          <t>CD09</t>
        </is>
      </c>
      <c r="B158" s="18" t="inlineStr">
        <is>
          <t>D03</t>
        </is>
      </c>
      <c r="C158" s="18" t="inlineStr">
        <is>
          <t>I16</t>
        </is>
      </c>
      <c r="D158" s="18" t="inlineStr">
        <is>
          <t>Transfer Capability</t>
        </is>
      </c>
      <c r="E158" s="18" t="inlineStr">
        <is>
          <t>D06</t>
        </is>
      </c>
      <c r="F158" s="18" t="inlineStr">
        <is>
          <t>I03</t>
        </is>
      </c>
      <c r="G158" s="18" t="inlineStr">
        <is>
          <t>Learning Agency</t>
        </is>
      </c>
      <c r="H158" s="18" t="inlineStr">
        <is>
          <t>Institutional capability intent → student reality</t>
        </is>
      </c>
      <c r="I158" s="18" t="inlineStr">
        <is>
          <t>If institutional capability architecture is strong but student agency/transfer evidence is weak, flag intent-to-experience gap.</t>
        </is>
      </c>
      <c r="J158" s="18" t="inlineStr">
        <is>
          <t>Student capability review</t>
        </is>
      </c>
      <c r="K158" s="18" t="inlineStr">
        <is>
          <t>Student evidence does not automatically raise D03.</t>
        </is>
      </c>
    </row>
    <row r="159">
      <c r="A159" s="18" t="inlineStr">
        <is>
          <t>CD09</t>
        </is>
      </c>
      <c r="B159" s="18" t="inlineStr">
        <is>
          <t>D03</t>
        </is>
      </c>
      <c r="C159" s="18" t="inlineStr">
        <is>
          <t>I16</t>
        </is>
      </c>
      <c r="D159" s="18" t="inlineStr">
        <is>
          <t>Transfer Capability</t>
        </is>
      </c>
      <c r="E159" s="18" t="inlineStr">
        <is>
          <t>D06</t>
        </is>
      </c>
      <c r="F159" s="18" t="inlineStr">
        <is>
          <t>I04</t>
        </is>
      </c>
      <c r="G159" s="18" t="inlineStr">
        <is>
          <t>Independent Intellectual Agency</t>
        </is>
      </c>
      <c r="H159" s="18" t="inlineStr">
        <is>
          <t>Institutional capability intent → student reality</t>
        </is>
      </c>
      <c r="I159" s="18" t="inlineStr">
        <is>
          <t>If institutional capability architecture is strong but student agency/transfer evidence is weak, flag intent-to-experience gap.</t>
        </is>
      </c>
      <c r="J159" s="18" t="inlineStr">
        <is>
          <t>Student capability review</t>
        </is>
      </c>
      <c r="K159" s="18" t="inlineStr">
        <is>
          <t>Student evidence does not automatically raise D03.</t>
        </is>
      </c>
    </row>
    <row r="160">
      <c r="A160" s="18" t="inlineStr">
        <is>
          <t>CD09</t>
        </is>
      </c>
      <c r="B160" s="18" t="inlineStr">
        <is>
          <t>D03</t>
        </is>
      </c>
      <c r="C160" s="18" t="inlineStr">
        <is>
          <t>I16</t>
        </is>
      </c>
      <c r="D160" s="18" t="inlineStr">
        <is>
          <t>Transfer Capability</t>
        </is>
      </c>
      <c r="E160" s="18" t="inlineStr">
        <is>
          <t>D06</t>
        </is>
      </c>
      <c r="F160" s="18" t="inlineStr">
        <is>
          <t>I10</t>
        </is>
      </c>
      <c r="G160" s="18" t="inlineStr">
        <is>
          <t>Problem Solving &amp; Transfer</t>
        </is>
      </c>
      <c r="H160" s="18" t="inlineStr">
        <is>
          <t>Institutional capability intent → student reality</t>
        </is>
      </c>
      <c r="I160" s="18" t="inlineStr">
        <is>
          <t>If institutional capability architecture is strong but student agency/transfer evidence is weak, flag intent-to-experience gap.</t>
        </is>
      </c>
      <c r="J160" s="18" t="inlineStr">
        <is>
          <t>Student capability review</t>
        </is>
      </c>
      <c r="K160" s="18" t="inlineStr">
        <is>
          <t>Student evidence does not automatically raise D03.</t>
        </is>
      </c>
    </row>
    <row r="161">
      <c r="A161" s="18" t="inlineStr">
        <is>
          <t>CD09</t>
        </is>
      </c>
      <c r="B161" s="18" t="inlineStr">
        <is>
          <t>D03</t>
        </is>
      </c>
      <c r="C161" s="18" t="inlineStr">
        <is>
          <t>I16</t>
        </is>
      </c>
      <c r="D161" s="18" t="inlineStr">
        <is>
          <t>Transfer Capability</t>
        </is>
      </c>
      <c r="E161" s="18" t="inlineStr">
        <is>
          <t>D06</t>
        </is>
      </c>
      <c r="F161" s="18" t="inlineStr">
        <is>
          <t>I14</t>
        </is>
      </c>
      <c r="G161" s="18" t="inlineStr">
        <is>
          <t>Student Voice &amp; Feedback Loop</t>
        </is>
      </c>
      <c r="H161" s="18" t="inlineStr">
        <is>
          <t>Institutional capability intent → student reality</t>
        </is>
      </c>
      <c r="I161" s="18" t="inlineStr">
        <is>
          <t>If institutional capability architecture is strong but student agency/transfer evidence is weak, flag intent-to-experience gap.</t>
        </is>
      </c>
      <c r="J161" s="18" t="inlineStr">
        <is>
          <t>Student capability review</t>
        </is>
      </c>
      <c r="K161" s="18" t="inlineStr">
        <is>
          <t>Student evidence does not automatically raise D03.</t>
        </is>
      </c>
    </row>
    <row r="162">
      <c r="A162" s="18" t="inlineStr">
        <is>
          <t>CD10</t>
        </is>
      </c>
      <c r="B162" s="18" t="inlineStr">
        <is>
          <t>D03</t>
        </is>
      </c>
      <c r="C162" s="18" t="inlineStr">
        <is>
          <t>I02</t>
        </is>
      </c>
      <c r="D162" s="18" t="inlineStr">
        <is>
          <t>Critical Reasoning Development</t>
        </is>
      </c>
      <c r="E162" s="18" t="inlineStr">
        <is>
          <t>D07</t>
        </is>
      </c>
      <c r="F162" s="18" t="inlineStr">
        <is>
          <t>I02</t>
        </is>
      </c>
      <c r="G162" s="18" t="inlineStr">
        <is>
          <t>Cognitive Demonstration Depth</t>
        </is>
      </c>
      <c r="H162" s="18" t="inlineStr">
        <is>
          <t>Capability target → proof of capability</t>
        </is>
      </c>
      <c r="I162" s="18" t="inlineStr">
        <is>
          <t>If target capabilities are explicit but assessments cannot demonstrate them, flag capability-proof gap.</t>
        </is>
      </c>
      <c r="J162" s="18" t="inlineStr">
        <is>
          <t>Assessment alignment review</t>
        </is>
      </c>
      <c r="K162" s="18" t="inlineStr">
        <is>
          <t>D03 defines target; D07 verifies it.</t>
        </is>
      </c>
    </row>
    <row r="163">
      <c r="A163" s="18" t="inlineStr">
        <is>
          <t>CD10</t>
        </is>
      </c>
      <c r="B163" s="18" t="inlineStr">
        <is>
          <t>D03</t>
        </is>
      </c>
      <c r="C163" s="18" t="inlineStr">
        <is>
          <t>I02</t>
        </is>
      </c>
      <c r="D163" s="18" t="inlineStr">
        <is>
          <t>Critical Reasoning Development</t>
        </is>
      </c>
      <c r="E163" s="18" t="inlineStr">
        <is>
          <t>D07</t>
        </is>
      </c>
      <c r="F163" s="18" t="inlineStr">
        <is>
          <t>I03</t>
        </is>
      </c>
      <c r="G163" s="18" t="inlineStr">
        <is>
          <t>Authenticity of Demonstration</t>
        </is>
      </c>
      <c r="H163" s="18" t="inlineStr">
        <is>
          <t>Capability target → proof of capability</t>
        </is>
      </c>
      <c r="I163" s="18" t="inlineStr">
        <is>
          <t>If target capabilities are explicit but assessments cannot demonstrate them, flag capability-proof gap.</t>
        </is>
      </c>
      <c r="J163" s="18" t="inlineStr">
        <is>
          <t>Assessment alignment review</t>
        </is>
      </c>
      <c r="K163" s="18" t="inlineStr">
        <is>
          <t>D03 defines target; D07 verifies it.</t>
        </is>
      </c>
    </row>
    <row r="164">
      <c r="A164" s="18" t="inlineStr">
        <is>
          <t>CD10</t>
        </is>
      </c>
      <c r="B164" s="18" t="inlineStr">
        <is>
          <t>D03</t>
        </is>
      </c>
      <c r="C164" s="18" t="inlineStr">
        <is>
          <t>I02</t>
        </is>
      </c>
      <c r="D164" s="18" t="inlineStr">
        <is>
          <t>Critical Reasoning Development</t>
        </is>
      </c>
      <c r="E164" s="18" t="inlineStr">
        <is>
          <t>D07</t>
        </is>
      </c>
      <c r="F164" s="18" t="inlineStr">
        <is>
          <t>I05</t>
        </is>
      </c>
      <c r="G164" s="18" t="inlineStr">
        <is>
          <t>Verification &amp; Defence</t>
        </is>
      </c>
      <c r="H164" s="18" t="inlineStr">
        <is>
          <t>Capability target → proof of capability</t>
        </is>
      </c>
      <c r="I164" s="18" t="inlineStr">
        <is>
          <t>If target capabilities are explicit but assessments cannot demonstrate them, flag capability-proof gap.</t>
        </is>
      </c>
      <c r="J164" s="18" t="inlineStr">
        <is>
          <t>Assessment alignment review</t>
        </is>
      </c>
      <c r="K164" s="18" t="inlineStr">
        <is>
          <t>D03 defines target; D07 verifies it.</t>
        </is>
      </c>
    </row>
    <row r="165">
      <c r="A165" s="18" t="inlineStr">
        <is>
          <t>CD10</t>
        </is>
      </c>
      <c r="B165" s="18" t="inlineStr">
        <is>
          <t>D03</t>
        </is>
      </c>
      <c r="C165" s="18" t="inlineStr">
        <is>
          <t>I02</t>
        </is>
      </c>
      <c r="D165" s="18" t="inlineStr">
        <is>
          <t>Critical Reasoning Development</t>
        </is>
      </c>
      <c r="E165" s="18" t="inlineStr">
        <is>
          <t>D07</t>
        </is>
      </c>
      <c r="F165" s="18" t="inlineStr">
        <is>
          <t>I07</t>
        </is>
      </c>
      <c r="G165" s="18" t="inlineStr">
        <is>
          <t>Evidence of Learning</t>
        </is>
      </c>
      <c r="H165" s="18" t="inlineStr">
        <is>
          <t>Capability target → proof of capability</t>
        </is>
      </c>
      <c r="I165" s="18" t="inlineStr">
        <is>
          <t>If target capabilities are explicit but assessments cannot demonstrate them, flag capability-proof gap.</t>
        </is>
      </c>
      <c r="J165" s="18" t="inlineStr">
        <is>
          <t>Assessment alignment review</t>
        </is>
      </c>
      <c r="K165" s="18" t="inlineStr">
        <is>
          <t>D03 defines target; D07 verifies it.</t>
        </is>
      </c>
    </row>
    <row r="166">
      <c r="A166" s="18" t="inlineStr">
        <is>
          <t>CD10</t>
        </is>
      </c>
      <c r="B166" s="18" t="inlineStr">
        <is>
          <t>D03</t>
        </is>
      </c>
      <c r="C166" s="18" t="inlineStr">
        <is>
          <t>I02</t>
        </is>
      </c>
      <c r="D166" s="18" t="inlineStr">
        <is>
          <t>Critical Reasoning Development</t>
        </is>
      </c>
      <c r="E166" s="18" t="inlineStr">
        <is>
          <t>D07</t>
        </is>
      </c>
      <c r="F166" s="18" t="inlineStr">
        <is>
          <t>I08</t>
        </is>
      </c>
      <c r="G166" s="18" t="inlineStr">
        <is>
          <t>Capability Outcome Measurement</t>
        </is>
      </c>
      <c r="H166" s="18" t="inlineStr">
        <is>
          <t>Capability target → proof of capability</t>
        </is>
      </c>
      <c r="I166" s="18" t="inlineStr">
        <is>
          <t>If target capabilities are explicit but assessments cannot demonstrate them, flag capability-proof gap.</t>
        </is>
      </c>
      <c r="J166" s="18" t="inlineStr">
        <is>
          <t>Assessment alignment review</t>
        </is>
      </c>
      <c r="K166" s="18" t="inlineStr">
        <is>
          <t>D03 defines target; D07 verifies it.</t>
        </is>
      </c>
    </row>
    <row r="167">
      <c r="A167" s="18" t="inlineStr">
        <is>
          <t>CD10</t>
        </is>
      </c>
      <c r="B167" s="18" t="inlineStr">
        <is>
          <t>D03</t>
        </is>
      </c>
      <c r="C167" s="18" t="inlineStr">
        <is>
          <t>I05</t>
        </is>
      </c>
      <c r="D167" s="18" t="inlineStr">
        <is>
          <t>Problem Formulation</t>
        </is>
      </c>
      <c r="E167" s="18" t="inlineStr">
        <is>
          <t>D07</t>
        </is>
      </c>
      <c r="F167" s="18" t="inlineStr">
        <is>
          <t>I02</t>
        </is>
      </c>
      <c r="G167" s="18" t="inlineStr">
        <is>
          <t>Cognitive Demonstration Depth</t>
        </is>
      </c>
      <c r="H167" s="18" t="inlineStr">
        <is>
          <t>Capability target → proof of capability</t>
        </is>
      </c>
      <c r="I167" s="18" t="inlineStr">
        <is>
          <t>If target capabilities are explicit but assessments cannot demonstrate them, flag capability-proof gap.</t>
        </is>
      </c>
      <c r="J167" s="18" t="inlineStr">
        <is>
          <t>Assessment alignment review</t>
        </is>
      </c>
      <c r="K167" s="18" t="inlineStr">
        <is>
          <t>D03 defines target; D07 verifies it.</t>
        </is>
      </c>
    </row>
    <row r="168">
      <c r="A168" s="18" t="inlineStr">
        <is>
          <t>CD10</t>
        </is>
      </c>
      <c r="B168" s="18" t="inlineStr">
        <is>
          <t>D03</t>
        </is>
      </c>
      <c r="C168" s="18" t="inlineStr">
        <is>
          <t>I05</t>
        </is>
      </c>
      <c r="D168" s="18" t="inlineStr">
        <is>
          <t>Problem Formulation</t>
        </is>
      </c>
      <c r="E168" s="18" t="inlineStr">
        <is>
          <t>D07</t>
        </is>
      </c>
      <c r="F168" s="18" t="inlineStr">
        <is>
          <t>I03</t>
        </is>
      </c>
      <c r="G168" s="18" t="inlineStr">
        <is>
          <t>Authenticity of Demonstration</t>
        </is>
      </c>
      <c r="H168" s="18" t="inlineStr">
        <is>
          <t>Capability target → proof of capability</t>
        </is>
      </c>
      <c r="I168" s="18" t="inlineStr">
        <is>
          <t>If target capabilities are explicit but assessments cannot demonstrate them, flag capability-proof gap.</t>
        </is>
      </c>
      <c r="J168" s="18" t="inlineStr">
        <is>
          <t>Assessment alignment review</t>
        </is>
      </c>
      <c r="K168" s="18" t="inlineStr">
        <is>
          <t>D03 defines target; D07 verifies it.</t>
        </is>
      </c>
    </row>
    <row r="169">
      <c r="A169" s="18" t="inlineStr">
        <is>
          <t>CD10</t>
        </is>
      </c>
      <c r="B169" s="18" t="inlineStr">
        <is>
          <t>D03</t>
        </is>
      </c>
      <c r="C169" s="18" t="inlineStr">
        <is>
          <t>I05</t>
        </is>
      </c>
      <c r="D169" s="18" t="inlineStr">
        <is>
          <t>Problem Formulation</t>
        </is>
      </c>
      <c r="E169" s="18" t="inlineStr">
        <is>
          <t>D07</t>
        </is>
      </c>
      <c r="F169" s="18" t="inlineStr">
        <is>
          <t>I05</t>
        </is>
      </c>
      <c r="G169" s="18" t="inlineStr">
        <is>
          <t>Verification &amp; Defence</t>
        </is>
      </c>
      <c r="H169" s="18" t="inlineStr">
        <is>
          <t>Capability target → proof of capability</t>
        </is>
      </c>
      <c r="I169" s="18" t="inlineStr">
        <is>
          <t>If target capabilities are explicit but assessments cannot demonstrate them, flag capability-proof gap.</t>
        </is>
      </c>
      <c r="J169" s="18" t="inlineStr">
        <is>
          <t>Assessment alignment review</t>
        </is>
      </c>
      <c r="K169" s="18" t="inlineStr">
        <is>
          <t>D03 defines target; D07 verifies it.</t>
        </is>
      </c>
    </row>
    <row r="170">
      <c r="A170" s="18" t="inlineStr">
        <is>
          <t>CD10</t>
        </is>
      </c>
      <c r="B170" s="18" t="inlineStr">
        <is>
          <t>D03</t>
        </is>
      </c>
      <c r="C170" s="18" t="inlineStr">
        <is>
          <t>I05</t>
        </is>
      </c>
      <c r="D170" s="18" t="inlineStr">
        <is>
          <t>Problem Formulation</t>
        </is>
      </c>
      <c r="E170" s="18" t="inlineStr">
        <is>
          <t>D07</t>
        </is>
      </c>
      <c r="F170" s="18" t="inlineStr">
        <is>
          <t>I07</t>
        </is>
      </c>
      <c r="G170" s="18" t="inlineStr">
        <is>
          <t>Evidence of Learning</t>
        </is>
      </c>
      <c r="H170" s="18" t="inlineStr">
        <is>
          <t>Capability target → proof of capability</t>
        </is>
      </c>
      <c r="I170" s="18" t="inlineStr">
        <is>
          <t>If target capabilities are explicit but assessments cannot demonstrate them, flag capability-proof gap.</t>
        </is>
      </c>
      <c r="J170" s="18" t="inlineStr">
        <is>
          <t>Assessment alignment review</t>
        </is>
      </c>
      <c r="K170" s="18" t="inlineStr">
        <is>
          <t>D03 defines target; D07 verifies it.</t>
        </is>
      </c>
    </row>
    <row r="171">
      <c r="A171" s="18" t="inlineStr">
        <is>
          <t>CD10</t>
        </is>
      </c>
      <c r="B171" s="18" t="inlineStr">
        <is>
          <t>D03</t>
        </is>
      </c>
      <c r="C171" s="18" t="inlineStr">
        <is>
          <t>I05</t>
        </is>
      </c>
      <c r="D171" s="18" t="inlineStr">
        <is>
          <t>Problem Formulation</t>
        </is>
      </c>
      <c r="E171" s="18" t="inlineStr">
        <is>
          <t>D07</t>
        </is>
      </c>
      <c r="F171" s="18" t="inlineStr">
        <is>
          <t>I08</t>
        </is>
      </c>
      <c r="G171" s="18" t="inlineStr">
        <is>
          <t>Capability Outcome Measurement</t>
        </is>
      </c>
      <c r="H171" s="18" t="inlineStr">
        <is>
          <t>Capability target → proof of capability</t>
        </is>
      </c>
      <c r="I171" s="18" t="inlineStr">
        <is>
          <t>If target capabilities are explicit but assessments cannot demonstrate them, flag capability-proof gap.</t>
        </is>
      </c>
      <c r="J171" s="18" t="inlineStr">
        <is>
          <t>Assessment alignment review</t>
        </is>
      </c>
      <c r="K171" s="18" t="inlineStr">
        <is>
          <t>D03 defines target; D07 verifies it.</t>
        </is>
      </c>
    </row>
    <row r="172">
      <c r="A172" s="18" t="inlineStr">
        <is>
          <t>CD10</t>
        </is>
      </c>
      <c r="B172" s="18" t="inlineStr">
        <is>
          <t>D03</t>
        </is>
      </c>
      <c r="C172" s="18" t="inlineStr">
        <is>
          <t>I07</t>
        </is>
      </c>
      <c r="D172" s="18" t="inlineStr">
        <is>
          <t>Judgement Capability</t>
        </is>
      </c>
      <c r="E172" s="18" t="inlineStr">
        <is>
          <t>D07</t>
        </is>
      </c>
      <c r="F172" s="18" t="inlineStr">
        <is>
          <t>I02</t>
        </is>
      </c>
      <c r="G172" s="18" t="inlineStr">
        <is>
          <t>Cognitive Demonstration Depth</t>
        </is>
      </c>
      <c r="H172" s="18" t="inlineStr">
        <is>
          <t>Capability target → proof of capability</t>
        </is>
      </c>
      <c r="I172" s="18" t="inlineStr">
        <is>
          <t>If target capabilities are explicit but assessments cannot demonstrate them, flag capability-proof gap.</t>
        </is>
      </c>
      <c r="J172" s="18" t="inlineStr">
        <is>
          <t>Assessment alignment review</t>
        </is>
      </c>
      <c r="K172" s="18" t="inlineStr">
        <is>
          <t>D03 defines target; D07 verifies it.</t>
        </is>
      </c>
    </row>
    <row r="173">
      <c r="A173" s="18" t="inlineStr">
        <is>
          <t>CD10</t>
        </is>
      </c>
      <c r="B173" s="18" t="inlineStr">
        <is>
          <t>D03</t>
        </is>
      </c>
      <c r="C173" s="18" t="inlineStr">
        <is>
          <t>I07</t>
        </is>
      </c>
      <c r="D173" s="18" t="inlineStr">
        <is>
          <t>Judgement Capability</t>
        </is>
      </c>
      <c r="E173" s="18" t="inlineStr">
        <is>
          <t>D07</t>
        </is>
      </c>
      <c r="F173" s="18" t="inlineStr">
        <is>
          <t>I03</t>
        </is>
      </c>
      <c r="G173" s="18" t="inlineStr">
        <is>
          <t>Authenticity of Demonstration</t>
        </is>
      </c>
      <c r="H173" s="18" t="inlineStr">
        <is>
          <t>Capability target → proof of capability</t>
        </is>
      </c>
      <c r="I173" s="18" t="inlineStr">
        <is>
          <t>If target capabilities are explicit but assessments cannot demonstrate them, flag capability-proof gap.</t>
        </is>
      </c>
      <c r="J173" s="18" t="inlineStr">
        <is>
          <t>Assessment alignment review</t>
        </is>
      </c>
      <c r="K173" s="18" t="inlineStr">
        <is>
          <t>D03 defines target; D07 verifies it.</t>
        </is>
      </c>
    </row>
    <row r="174">
      <c r="A174" s="18" t="inlineStr">
        <is>
          <t>CD10</t>
        </is>
      </c>
      <c r="B174" s="18" t="inlineStr">
        <is>
          <t>D03</t>
        </is>
      </c>
      <c r="C174" s="18" t="inlineStr">
        <is>
          <t>I07</t>
        </is>
      </c>
      <c r="D174" s="18" t="inlineStr">
        <is>
          <t>Judgement Capability</t>
        </is>
      </c>
      <c r="E174" s="18" t="inlineStr">
        <is>
          <t>D07</t>
        </is>
      </c>
      <c r="F174" s="18" t="inlineStr">
        <is>
          <t>I05</t>
        </is>
      </c>
      <c r="G174" s="18" t="inlineStr">
        <is>
          <t>Verification &amp; Defence</t>
        </is>
      </c>
      <c r="H174" s="18" t="inlineStr">
        <is>
          <t>Capability target → proof of capability</t>
        </is>
      </c>
      <c r="I174" s="18" t="inlineStr">
        <is>
          <t>If target capabilities are explicit but assessments cannot demonstrate them, flag capability-proof gap.</t>
        </is>
      </c>
      <c r="J174" s="18" t="inlineStr">
        <is>
          <t>Assessment alignment review</t>
        </is>
      </c>
      <c r="K174" s="18" t="inlineStr">
        <is>
          <t>D03 defines target; D07 verifies it.</t>
        </is>
      </c>
    </row>
    <row r="175">
      <c r="A175" s="18" t="inlineStr">
        <is>
          <t>CD10</t>
        </is>
      </c>
      <c r="B175" s="18" t="inlineStr">
        <is>
          <t>D03</t>
        </is>
      </c>
      <c r="C175" s="18" t="inlineStr">
        <is>
          <t>I07</t>
        </is>
      </c>
      <c r="D175" s="18" t="inlineStr">
        <is>
          <t>Judgement Capability</t>
        </is>
      </c>
      <c r="E175" s="18" t="inlineStr">
        <is>
          <t>D07</t>
        </is>
      </c>
      <c r="F175" s="18" t="inlineStr">
        <is>
          <t>I07</t>
        </is>
      </c>
      <c r="G175" s="18" t="inlineStr">
        <is>
          <t>Evidence of Learning</t>
        </is>
      </c>
      <c r="H175" s="18" t="inlineStr">
        <is>
          <t>Capability target → proof of capability</t>
        </is>
      </c>
      <c r="I175" s="18" t="inlineStr">
        <is>
          <t>If target capabilities are explicit but assessments cannot demonstrate them, flag capability-proof gap.</t>
        </is>
      </c>
      <c r="J175" s="18" t="inlineStr">
        <is>
          <t>Assessment alignment review</t>
        </is>
      </c>
      <c r="K175" s="18" t="inlineStr">
        <is>
          <t>D03 defines target; D07 verifies it.</t>
        </is>
      </c>
    </row>
    <row r="176">
      <c r="A176" s="18" t="inlineStr">
        <is>
          <t>CD10</t>
        </is>
      </c>
      <c r="B176" s="18" t="inlineStr">
        <is>
          <t>D03</t>
        </is>
      </c>
      <c r="C176" s="18" t="inlineStr">
        <is>
          <t>I07</t>
        </is>
      </c>
      <c r="D176" s="18" t="inlineStr">
        <is>
          <t>Judgement Capability</t>
        </is>
      </c>
      <c r="E176" s="18" t="inlineStr">
        <is>
          <t>D07</t>
        </is>
      </c>
      <c r="F176" s="18" t="inlineStr">
        <is>
          <t>I08</t>
        </is>
      </c>
      <c r="G176" s="18" t="inlineStr">
        <is>
          <t>Capability Outcome Measurement</t>
        </is>
      </c>
      <c r="H176" s="18" t="inlineStr">
        <is>
          <t>Capability target → proof of capability</t>
        </is>
      </c>
      <c r="I176" s="18" t="inlineStr">
        <is>
          <t>If target capabilities are explicit but assessments cannot demonstrate them, flag capability-proof gap.</t>
        </is>
      </c>
      <c r="J176" s="18" t="inlineStr">
        <is>
          <t>Assessment alignment review</t>
        </is>
      </c>
      <c r="K176" s="18" t="inlineStr">
        <is>
          <t>D03 defines target; D07 verifies it.</t>
        </is>
      </c>
    </row>
    <row r="177">
      <c r="A177" s="18" t="inlineStr">
        <is>
          <t>CD10</t>
        </is>
      </c>
      <c r="B177" s="18" t="inlineStr">
        <is>
          <t>D03</t>
        </is>
      </c>
      <c r="C177" s="18" t="inlineStr">
        <is>
          <t>I16</t>
        </is>
      </c>
      <c r="D177" s="18" t="inlineStr">
        <is>
          <t>Transfer Capability</t>
        </is>
      </c>
      <c r="E177" s="18" t="inlineStr">
        <is>
          <t>D07</t>
        </is>
      </c>
      <c r="F177" s="18" t="inlineStr">
        <is>
          <t>I02</t>
        </is>
      </c>
      <c r="G177" s="18" t="inlineStr">
        <is>
          <t>Cognitive Demonstration Depth</t>
        </is>
      </c>
      <c r="H177" s="18" t="inlineStr">
        <is>
          <t>Capability target → proof of capability</t>
        </is>
      </c>
      <c r="I177" s="18" t="inlineStr">
        <is>
          <t>If target capabilities are explicit but assessments cannot demonstrate them, flag capability-proof gap.</t>
        </is>
      </c>
      <c r="J177" s="18" t="inlineStr">
        <is>
          <t>Assessment alignment review</t>
        </is>
      </c>
      <c r="K177" s="18" t="inlineStr">
        <is>
          <t>D03 defines target; D07 verifies it.</t>
        </is>
      </c>
    </row>
    <row r="178">
      <c r="A178" s="18" t="inlineStr">
        <is>
          <t>CD10</t>
        </is>
      </c>
      <c r="B178" s="18" t="inlineStr">
        <is>
          <t>D03</t>
        </is>
      </c>
      <c r="C178" s="18" t="inlineStr">
        <is>
          <t>I16</t>
        </is>
      </c>
      <c r="D178" s="18" t="inlineStr">
        <is>
          <t>Transfer Capability</t>
        </is>
      </c>
      <c r="E178" s="18" t="inlineStr">
        <is>
          <t>D07</t>
        </is>
      </c>
      <c r="F178" s="18" t="inlineStr">
        <is>
          <t>I03</t>
        </is>
      </c>
      <c r="G178" s="18" t="inlineStr">
        <is>
          <t>Authenticity of Demonstration</t>
        </is>
      </c>
      <c r="H178" s="18" t="inlineStr">
        <is>
          <t>Capability target → proof of capability</t>
        </is>
      </c>
      <c r="I178" s="18" t="inlineStr">
        <is>
          <t>If target capabilities are explicit but assessments cannot demonstrate them, flag capability-proof gap.</t>
        </is>
      </c>
      <c r="J178" s="18" t="inlineStr">
        <is>
          <t>Assessment alignment review</t>
        </is>
      </c>
      <c r="K178" s="18" t="inlineStr">
        <is>
          <t>D03 defines target; D07 verifies it.</t>
        </is>
      </c>
    </row>
    <row r="179">
      <c r="A179" s="18" t="inlineStr">
        <is>
          <t>CD10</t>
        </is>
      </c>
      <c r="B179" s="18" t="inlineStr">
        <is>
          <t>D03</t>
        </is>
      </c>
      <c r="C179" s="18" t="inlineStr">
        <is>
          <t>I16</t>
        </is>
      </c>
      <c r="D179" s="18" t="inlineStr">
        <is>
          <t>Transfer Capability</t>
        </is>
      </c>
      <c r="E179" s="18" t="inlineStr">
        <is>
          <t>D07</t>
        </is>
      </c>
      <c r="F179" s="18" t="inlineStr">
        <is>
          <t>I05</t>
        </is>
      </c>
      <c r="G179" s="18" t="inlineStr">
        <is>
          <t>Verification &amp; Defence</t>
        </is>
      </c>
      <c r="H179" s="18" t="inlineStr">
        <is>
          <t>Capability target → proof of capability</t>
        </is>
      </c>
      <c r="I179" s="18" t="inlineStr">
        <is>
          <t>If target capabilities are explicit but assessments cannot demonstrate them, flag capability-proof gap.</t>
        </is>
      </c>
      <c r="J179" s="18" t="inlineStr">
        <is>
          <t>Assessment alignment review</t>
        </is>
      </c>
      <c r="K179" s="18" t="inlineStr">
        <is>
          <t>D03 defines target; D07 verifies it.</t>
        </is>
      </c>
    </row>
    <row r="180">
      <c r="A180" s="18" t="inlineStr">
        <is>
          <t>CD10</t>
        </is>
      </c>
      <c r="B180" s="18" t="inlineStr">
        <is>
          <t>D03</t>
        </is>
      </c>
      <c r="C180" s="18" t="inlineStr">
        <is>
          <t>I16</t>
        </is>
      </c>
      <c r="D180" s="18" t="inlineStr">
        <is>
          <t>Transfer Capability</t>
        </is>
      </c>
      <c r="E180" s="18" t="inlineStr">
        <is>
          <t>D07</t>
        </is>
      </c>
      <c r="F180" s="18" t="inlineStr">
        <is>
          <t>I07</t>
        </is>
      </c>
      <c r="G180" s="18" t="inlineStr">
        <is>
          <t>Evidence of Learning</t>
        </is>
      </c>
      <c r="H180" s="18" t="inlineStr">
        <is>
          <t>Capability target → proof of capability</t>
        </is>
      </c>
      <c r="I180" s="18" t="inlineStr">
        <is>
          <t>If target capabilities are explicit but assessments cannot demonstrate them, flag capability-proof gap.</t>
        </is>
      </c>
      <c r="J180" s="18" t="inlineStr">
        <is>
          <t>Assessment alignment review</t>
        </is>
      </c>
      <c r="K180" s="18" t="inlineStr">
        <is>
          <t>D03 defines target; D07 verifies it.</t>
        </is>
      </c>
    </row>
    <row r="181">
      <c r="A181" s="18" t="inlineStr">
        <is>
          <t>CD10</t>
        </is>
      </c>
      <c r="B181" s="18" t="inlineStr">
        <is>
          <t>D03</t>
        </is>
      </c>
      <c r="C181" s="18" t="inlineStr">
        <is>
          <t>I16</t>
        </is>
      </c>
      <c r="D181" s="18" t="inlineStr">
        <is>
          <t>Transfer Capability</t>
        </is>
      </c>
      <c r="E181" s="18" t="inlineStr">
        <is>
          <t>D07</t>
        </is>
      </c>
      <c r="F181" s="18" t="inlineStr">
        <is>
          <t>I08</t>
        </is>
      </c>
      <c r="G181" s="18" t="inlineStr">
        <is>
          <t>Capability Outcome Measurement</t>
        </is>
      </c>
      <c r="H181" s="18" t="inlineStr">
        <is>
          <t>Capability target → proof of capability</t>
        </is>
      </c>
      <c r="I181" s="18" t="inlineStr">
        <is>
          <t>If target capabilities are explicit but assessments cannot demonstrate them, flag capability-proof gap.</t>
        </is>
      </c>
      <c r="J181" s="18" t="inlineStr">
        <is>
          <t>Assessment alignment review</t>
        </is>
      </c>
      <c r="K181" s="18" t="inlineStr">
        <is>
          <t>D03 defines target; D07 verifies it.</t>
        </is>
      </c>
    </row>
    <row r="182">
      <c r="A182" s="18" t="inlineStr">
        <is>
          <t>CD11</t>
        </is>
      </c>
      <c r="B182" s="18" t="inlineStr">
        <is>
          <t>D04</t>
        </is>
      </c>
      <c r="C182" s="18" t="inlineStr">
        <is>
          <t>I02</t>
        </is>
      </c>
      <c r="D182" s="18" t="inlineStr">
        <is>
          <t>Future Learning Outcome Alignment</t>
        </is>
      </c>
      <c r="E182" s="18" t="inlineStr">
        <is>
          <t>D07</t>
        </is>
      </c>
      <c r="F182" s="18" t="inlineStr">
        <is>
          <t>I01</t>
        </is>
      </c>
      <c r="G182" s="18" t="inlineStr">
        <is>
          <t>Assessment Design Maturity</t>
        </is>
      </c>
      <c r="H182" s="18" t="inlineStr">
        <is>
          <t>Future curriculum → assessment evidence</t>
        </is>
      </c>
      <c r="I182" s="18" t="inlineStr">
        <is>
          <t>If programme redesign is strong but assessment remains answer-production oriented, flag curriculum-assessment disconnect.</t>
        </is>
      </c>
      <c r="J182" s="18" t="inlineStr">
        <is>
          <t>Assessment redesign</t>
        </is>
      </c>
      <c r="K182" s="18" t="inlineStr">
        <is>
          <t>No D04 uplift from assessment activity.</t>
        </is>
      </c>
    </row>
    <row r="183">
      <c r="A183" s="18" t="inlineStr">
        <is>
          <t>CD11</t>
        </is>
      </c>
      <c r="B183" s="18" t="inlineStr">
        <is>
          <t>D04</t>
        </is>
      </c>
      <c r="C183" s="18" t="inlineStr">
        <is>
          <t>I02</t>
        </is>
      </c>
      <c r="D183" s="18" t="inlineStr">
        <is>
          <t>Future Learning Outcome Alignment</t>
        </is>
      </c>
      <c r="E183" s="18" t="inlineStr">
        <is>
          <t>D07</t>
        </is>
      </c>
      <c r="F183" s="18" t="inlineStr">
        <is>
          <t>I02</t>
        </is>
      </c>
      <c r="G183" s="18" t="inlineStr">
        <is>
          <t>Cognitive Demonstration Depth</t>
        </is>
      </c>
      <c r="H183" s="18" t="inlineStr">
        <is>
          <t>Future curriculum → assessment evidence</t>
        </is>
      </c>
      <c r="I183" s="18" t="inlineStr">
        <is>
          <t>If programme redesign is strong but assessment remains answer-production oriented, flag curriculum-assessment disconnect.</t>
        </is>
      </c>
      <c r="J183" s="18" t="inlineStr">
        <is>
          <t>Assessment redesign</t>
        </is>
      </c>
      <c r="K183" s="18" t="inlineStr">
        <is>
          <t>No D04 uplift from assessment activity.</t>
        </is>
      </c>
    </row>
    <row r="184">
      <c r="A184" s="18" t="inlineStr">
        <is>
          <t>CD11</t>
        </is>
      </c>
      <c r="B184" s="18" t="inlineStr">
        <is>
          <t>D04</t>
        </is>
      </c>
      <c r="C184" s="18" t="inlineStr">
        <is>
          <t>I02</t>
        </is>
      </c>
      <c r="D184" s="18" t="inlineStr">
        <is>
          <t>Future Learning Outcome Alignment</t>
        </is>
      </c>
      <c r="E184" s="18" t="inlineStr">
        <is>
          <t>D07</t>
        </is>
      </c>
      <c r="F184" s="18" t="inlineStr">
        <is>
          <t>I04</t>
        </is>
      </c>
      <c r="G184" s="18" t="inlineStr">
        <is>
          <t>AI-Aware Assessment Maturity</t>
        </is>
      </c>
      <c r="H184" s="18" t="inlineStr">
        <is>
          <t>Future curriculum → assessment evidence</t>
        </is>
      </c>
      <c r="I184" s="18" t="inlineStr">
        <is>
          <t>If programme redesign is strong but assessment remains answer-production oriented, flag curriculum-assessment disconnect.</t>
        </is>
      </c>
      <c r="J184" s="18" t="inlineStr">
        <is>
          <t>Assessment redesign</t>
        </is>
      </c>
      <c r="K184" s="18" t="inlineStr">
        <is>
          <t>No D04 uplift from assessment activity.</t>
        </is>
      </c>
    </row>
    <row r="185">
      <c r="A185" s="18" t="inlineStr">
        <is>
          <t>CD11</t>
        </is>
      </c>
      <c r="B185" s="18" t="inlineStr">
        <is>
          <t>D04</t>
        </is>
      </c>
      <c r="C185" s="18" t="inlineStr">
        <is>
          <t>I02</t>
        </is>
      </c>
      <c r="D185" s="18" t="inlineStr">
        <is>
          <t>Future Learning Outcome Alignment</t>
        </is>
      </c>
      <c r="E185" s="18" t="inlineStr">
        <is>
          <t>D07</t>
        </is>
      </c>
      <c r="F185" s="18" t="inlineStr">
        <is>
          <t>I07</t>
        </is>
      </c>
      <c r="G185" s="18" t="inlineStr">
        <is>
          <t>Evidence of Learning</t>
        </is>
      </c>
      <c r="H185" s="18" t="inlineStr">
        <is>
          <t>Future curriculum → assessment evidence</t>
        </is>
      </c>
      <c r="I185" s="18" t="inlineStr">
        <is>
          <t>If programme redesign is strong but assessment remains answer-production oriented, flag curriculum-assessment disconnect.</t>
        </is>
      </c>
      <c r="J185" s="18" t="inlineStr">
        <is>
          <t>Assessment redesign</t>
        </is>
      </c>
      <c r="K185" s="18" t="inlineStr">
        <is>
          <t>No D04 uplift from assessment activity.</t>
        </is>
      </c>
    </row>
    <row r="186">
      <c r="A186" s="18" t="inlineStr">
        <is>
          <t>CD11</t>
        </is>
      </c>
      <c r="B186" s="18" t="inlineStr">
        <is>
          <t>D04</t>
        </is>
      </c>
      <c r="C186" s="18" t="inlineStr">
        <is>
          <t>I02</t>
        </is>
      </c>
      <c r="D186" s="18" t="inlineStr">
        <is>
          <t>Future Learning Outcome Alignment</t>
        </is>
      </c>
      <c r="E186" s="18" t="inlineStr">
        <is>
          <t>D07</t>
        </is>
      </c>
      <c r="F186" s="18" t="inlineStr">
        <is>
          <t>I08</t>
        </is>
      </c>
      <c r="G186" s="18" t="inlineStr">
        <is>
          <t>Capability Outcome Measurement</t>
        </is>
      </c>
      <c r="H186" s="18" t="inlineStr">
        <is>
          <t>Future curriculum → assessment evidence</t>
        </is>
      </c>
      <c r="I186" s="18" t="inlineStr">
        <is>
          <t>If programme redesign is strong but assessment remains answer-production oriented, flag curriculum-assessment disconnect.</t>
        </is>
      </c>
      <c r="J186" s="18" t="inlineStr">
        <is>
          <t>Assessment redesign</t>
        </is>
      </c>
      <c r="K186" s="18" t="inlineStr">
        <is>
          <t>No D04 uplift from assessment activity.</t>
        </is>
      </c>
    </row>
    <row r="187">
      <c r="A187" s="18" t="inlineStr">
        <is>
          <t>CD11</t>
        </is>
      </c>
      <c r="B187" s="18" t="inlineStr">
        <is>
          <t>D04</t>
        </is>
      </c>
      <c r="C187" s="18" t="inlineStr">
        <is>
          <t>I04</t>
        </is>
      </c>
      <c r="D187" s="18" t="inlineStr">
        <is>
          <t>Disciplinary AI Integration Depth</t>
        </is>
      </c>
      <c r="E187" s="18" t="inlineStr">
        <is>
          <t>D07</t>
        </is>
      </c>
      <c r="F187" s="18" t="inlineStr">
        <is>
          <t>I01</t>
        </is>
      </c>
      <c r="G187" s="18" t="inlineStr">
        <is>
          <t>Assessment Design Maturity</t>
        </is>
      </c>
      <c r="H187" s="18" t="inlineStr">
        <is>
          <t>Future curriculum → assessment evidence</t>
        </is>
      </c>
      <c r="I187" s="18" t="inlineStr">
        <is>
          <t>If programme redesign is strong but assessment remains answer-production oriented, flag curriculum-assessment disconnect.</t>
        </is>
      </c>
      <c r="J187" s="18" t="inlineStr">
        <is>
          <t>Assessment redesign</t>
        </is>
      </c>
      <c r="K187" s="18" t="inlineStr">
        <is>
          <t>No D04 uplift from assessment activity.</t>
        </is>
      </c>
    </row>
    <row r="188">
      <c r="A188" s="18" t="inlineStr">
        <is>
          <t>CD11</t>
        </is>
      </c>
      <c r="B188" s="18" t="inlineStr">
        <is>
          <t>D04</t>
        </is>
      </c>
      <c r="C188" s="18" t="inlineStr">
        <is>
          <t>I04</t>
        </is>
      </c>
      <c r="D188" s="18" t="inlineStr">
        <is>
          <t>Disciplinary AI Integration Depth</t>
        </is>
      </c>
      <c r="E188" s="18" t="inlineStr">
        <is>
          <t>D07</t>
        </is>
      </c>
      <c r="F188" s="18" t="inlineStr">
        <is>
          <t>I02</t>
        </is>
      </c>
      <c r="G188" s="18" t="inlineStr">
        <is>
          <t>Cognitive Demonstration Depth</t>
        </is>
      </c>
      <c r="H188" s="18" t="inlineStr">
        <is>
          <t>Future curriculum → assessment evidence</t>
        </is>
      </c>
      <c r="I188" s="18" t="inlineStr">
        <is>
          <t>If programme redesign is strong but assessment remains answer-production oriented, flag curriculum-assessment disconnect.</t>
        </is>
      </c>
      <c r="J188" s="18" t="inlineStr">
        <is>
          <t>Assessment redesign</t>
        </is>
      </c>
      <c r="K188" s="18" t="inlineStr">
        <is>
          <t>No D04 uplift from assessment activity.</t>
        </is>
      </c>
    </row>
    <row r="189">
      <c r="A189" s="18" t="inlineStr">
        <is>
          <t>CD11</t>
        </is>
      </c>
      <c r="B189" s="18" t="inlineStr">
        <is>
          <t>D04</t>
        </is>
      </c>
      <c r="C189" s="18" t="inlineStr">
        <is>
          <t>I04</t>
        </is>
      </c>
      <c r="D189" s="18" t="inlineStr">
        <is>
          <t>Disciplinary AI Integration Depth</t>
        </is>
      </c>
      <c r="E189" s="18" t="inlineStr">
        <is>
          <t>D07</t>
        </is>
      </c>
      <c r="F189" s="18" t="inlineStr">
        <is>
          <t>I04</t>
        </is>
      </c>
      <c r="G189" s="18" t="inlineStr">
        <is>
          <t>AI-Aware Assessment Maturity</t>
        </is>
      </c>
      <c r="H189" s="18" t="inlineStr">
        <is>
          <t>Future curriculum → assessment evidence</t>
        </is>
      </c>
      <c r="I189" s="18" t="inlineStr">
        <is>
          <t>If programme redesign is strong but assessment remains answer-production oriented, flag curriculum-assessment disconnect.</t>
        </is>
      </c>
      <c r="J189" s="18" t="inlineStr">
        <is>
          <t>Assessment redesign</t>
        </is>
      </c>
      <c r="K189" s="18" t="inlineStr">
        <is>
          <t>No D04 uplift from assessment activity.</t>
        </is>
      </c>
    </row>
    <row r="190">
      <c r="A190" s="18" t="inlineStr">
        <is>
          <t>CD11</t>
        </is>
      </c>
      <c r="B190" s="18" t="inlineStr">
        <is>
          <t>D04</t>
        </is>
      </c>
      <c r="C190" s="18" t="inlineStr">
        <is>
          <t>I04</t>
        </is>
      </c>
      <c r="D190" s="18" t="inlineStr">
        <is>
          <t>Disciplinary AI Integration Depth</t>
        </is>
      </c>
      <c r="E190" s="18" t="inlineStr">
        <is>
          <t>D07</t>
        </is>
      </c>
      <c r="F190" s="18" t="inlineStr">
        <is>
          <t>I07</t>
        </is>
      </c>
      <c r="G190" s="18" t="inlineStr">
        <is>
          <t>Evidence of Learning</t>
        </is>
      </c>
      <c r="H190" s="18" t="inlineStr">
        <is>
          <t>Future curriculum → assessment evidence</t>
        </is>
      </c>
      <c r="I190" s="18" t="inlineStr">
        <is>
          <t>If programme redesign is strong but assessment remains answer-production oriented, flag curriculum-assessment disconnect.</t>
        </is>
      </c>
      <c r="J190" s="18" t="inlineStr">
        <is>
          <t>Assessment redesign</t>
        </is>
      </c>
      <c r="K190" s="18" t="inlineStr">
        <is>
          <t>No D04 uplift from assessment activity.</t>
        </is>
      </c>
    </row>
    <row r="191">
      <c r="A191" s="18" t="inlineStr">
        <is>
          <t>CD11</t>
        </is>
      </c>
      <c r="B191" s="18" t="inlineStr">
        <is>
          <t>D04</t>
        </is>
      </c>
      <c r="C191" s="18" t="inlineStr">
        <is>
          <t>I04</t>
        </is>
      </c>
      <c r="D191" s="18" t="inlineStr">
        <is>
          <t>Disciplinary AI Integration Depth</t>
        </is>
      </c>
      <c r="E191" s="18" t="inlineStr">
        <is>
          <t>D07</t>
        </is>
      </c>
      <c r="F191" s="18" t="inlineStr">
        <is>
          <t>I08</t>
        </is>
      </c>
      <c r="G191" s="18" t="inlineStr">
        <is>
          <t>Capability Outcome Measurement</t>
        </is>
      </c>
      <c r="H191" s="18" t="inlineStr">
        <is>
          <t>Future curriculum → assessment evidence</t>
        </is>
      </c>
      <c r="I191" s="18" t="inlineStr">
        <is>
          <t>If programme redesign is strong but assessment remains answer-production oriented, flag curriculum-assessment disconnect.</t>
        </is>
      </c>
      <c r="J191" s="18" t="inlineStr">
        <is>
          <t>Assessment redesign</t>
        </is>
      </c>
      <c r="K191" s="18" t="inlineStr">
        <is>
          <t>No D04 uplift from assessment activity.</t>
        </is>
      </c>
    </row>
    <row r="192">
      <c r="A192" s="18" t="inlineStr">
        <is>
          <t>CD11</t>
        </is>
      </c>
      <c r="B192" s="18" t="inlineStr">
        <is>
          <t>D04</t>
        </is>
      </c>
      <c r="C192" s="18" t="inlineStr">
        <is>
          <t>I05</t>
        </is>
      </c>
      <c r="D192" s="18" t="inlineStr">
        <is>
          <t>Content Obsolescence Response</t>
        </is>
      </c>
      <c r="E192" s="18" t="inlineStr">
        <is>
          <t>D07</t>
        </is>
      </c>
      <c r="F192" s="18" t="inlineStr">
        <is>
          <t>I01</t>
        </is>
      </c>
      <c r="G192" s="18" t="inlineStr">
        <is>
          <t>Assessment Design Maturity</t>
        </is>
      </c>
      <c r="H192" s="18" t="inlineStr">
        <is>
          <t>Future curriculum → assessment evidence</t>
        </is>
      </c>
      <c r="I192" s="18" t="inlineStr">
        <is>
          <t>If programme redesign is strong but assessment remains answer-production oriented, flag curriculum-assessment disconnect.</t>
        </is>
      </c>
      <c r="J192" s="18" t="inlineStr">
        <is>
          <t>Assessment redesign</t>
        </is>
      </c>
      <c r="K192" s="18" t="inlineStr">
        <is>
          <t>No D04 uplift from assessment activity.</t>
        </is>
      </c>
    </row>
    <row r="193">
      <c r="A193" s="18" t="inlineStr">
        <is>
          <t>CD11</t>
        </is>
      </c>
      <c r="B193" s="18" t="inlineStr">
        <is>
          <t>D04</t>
        </is>
      </c>
      <c r="C193" s="18" t="inlineStr">
        <is>
          <t>I05</t>
        </is>
      </c>
      <c r="D193" s="18" t="inlineStr">
        <is>
          <t>Content Obsolescence Response</t>
        </is>
      </c>
      <c r="E193" s="18" t="inlineStr">
        <is>
          <t>D07</t>
        </is>
      </c>
      <c r="F193" s="18" t="inlineStr">
        <is>
          <t>I02</t>
        </is>
      </c>
      <c r="G193" s="18" t="inlineStr">
        <is>
          <t>Cognitive Demonstration Depth</t>
        </is>
      </c>
      <c r="H193" s="18" t="inlineStr">
        <is>
          <t>Future curriculum → assessment evidence</t>
        </is>
      </c>
      <c r="I193" s="18" t="inlineStr">
        <is>
          <t>If programme redesign is strong but assessment remains answer-production oriented, flag curriculum-assessment disconnect.</t>
        </is>
      </c>
      <c r="J193" s="18" t="inlineStr">
        <is>
          <t>Assessment redesign</t>
        </is>
      </c>
      <c r="K193" s="18" t="inlineStr">
        <is>
          <t>No D04 uplift from assessment activity.</t>
        </is>
      </c>
    </row>
    <row r="194">
      <c r="A194" s="18" t="inlineStr">
        <is>
          <t>CD11</t>
        </is>
      </c>
      <c r="B194" s="18" t="inlineStr">
        <is>
          <t>D04</t>
        </is>
      </c>
      <c r="C194" s="18" t="inlineStr">
        <is>
          <t>I05</t>
        </is>
      </c>
      <c r="D194" s="18" t="inlineStr">
        <is>
          <t>Content Obsolescence Response</t>
        </is>
      </c>
      <c r="E194" s="18" t="inlineStr">
        <is>
          <t>D07</t>
        </is>
      </c>
      <c r="F194" s="18" t="inlineStr">
        <is>
          <t>I04</t>
        </is>
      </c>
      <c r="G194" s="18" t="inlineStr">
        <is>
          <t>AI-Aware Assessment Maturity</t>
        </is>
      </c>
      <c r="H194" s="18" t="inlineStr">
        <is>
          <t>Future curriculum → assessment evidence</t>
        </is>
      </c>
      <c r="I194" s="18" t="inlineStr">
        <is>
          <t>If programme redesign is strong but assessment remains answer-production oriented, flag curriculum-assessment disconnect.</t>
        </is>
      </c>
      <c r="J194" s="18" t="inlineStr">
        <is>
          <t>Assessment redesign</t>
        </is>
      </c>
      <c r="K194" s="18" t="inlineStr">
        <is>
          <t>No D04 uplift from assessment activity.</t>
        </is>
      </c>
    </row>
    <row r="195">
      <c r="A195" s="18" t="inlineStr">
        <is>
          <t>CD11</t>
        </is>
      </c>
      <c r="B195" s="18" t="inlineStr">
        <is>
          <t>D04</t>
        </is>
      </c>
      <c r="C195" s="18" t="inlineStr">
        <is>
          <t>I05</t>
        </is>
      </c>
      <c r="D195" s="18" t="inlineStr">
        <is>
          <t>Content Obsolescence Response</t>
        </is>
      </c>
      <c r="E195" s="18" t="inlineStr">
        <is>
          <t>D07</t>
        </is>
      </c>
      <c r="F195" s="18" t="inlineStr">
        <is>
          <t>I07</t>
        </is>
      </c>
      <c r="G195" s="18" t="inlineStr">
        <is>
          <t>Evidence of Learning</t>
        </is>
      </c>
      <c r="H195" s="18" t="inlineStr">
        <is>
          <t>Future curriculum → assessment evidence</t>
        </is>
      </c>
      <c r="I195" s="18" t="inlineStr">
        <is>
          <t>If programme redesign is strong but assessment remains answer-production oriented, flag curriculum-assessment disconnect.</t>
        </is>
      </c>
      <c r="J195" s="18" t="inlineStr">
        <is>
          <t>Assessment redesign</t>
        </is>
      </c>
      <c r="K195" s="18" t="inlineStr">
        <is>
          <t>No D04 uplift from assessment activity.</t>
        </is>
      </c>
    </row>
    <row r="196">
      <c r="A196" s="18" t="inlineStr">
        <is>
          <t>CD11</t>
        </is>
      </c>
      <c r="B196" s="18" t="inlineStr">
        <is>
          <t>D04</t>
        </is>
      </c>
      <c r="C196" s="18" t="inlineStr">
        <is>
          <t>I05</t>
        </is>
      </c>
      <c r="D196" s="18" t="inlineStr">
        <is>
          <t>Content Obsolescence Response</t>
        </is>
      </c>
      <c r="E196" s="18" t="inlineStr">
        <is>
          <t>D07</t>
        </is>
      </c>
      <c r="F196" s="18" t="inlineStr">
        <is>
          <t>I08</t>
        </is>
      </c>
      <c r="G196" s="18" t="inlineStr">
        <is>
          <t>Capability Outcome Measurement</t>
        </is>
      </c>
      <c r="H196" s="18" t="inlineStr">
        <is>
          <t>Future curriculum → assessment evidence</t>
        </is>
      </c>
      <c r="I196" s="18" t="inlineStr">
        <is>
          <t>If programme redesign is strong but assessment remains answer-production oriented, flag curriculum-assessment disconnect.</t>
        </is>
      </c>
      <c r="J196" s="18" t="inlineStr">
        <is>
          <t>Assessment redesign</t>
        </is>
      </c>
      <c r="K196" s="18" t="inlineStr">
        <is>
          <t>No D04 uplift from assessment activity.</t>
        </is>
      </c>
    </row>
    <row r="197">
      <c r="A197" s="18" t="inlineStr">
        <is>
          <t>CD11</t>
        </is>
      </c>
      <c r="B197" s="18" t="inlineStr">
        <is>
          <t>D04</t>
        </is>
      </c>
      <c r="C197" s="18" t="inlineStr">
        <is>
          <t>I08</t>
        </is>
      </c>
      <c r="D197" s="18" t="inlineStr">
        <is>
          <t>Programme Agility</t>
        </is>
      </c>
      <c r="E197" s="18" t="inlineStr">
        <is>
          <t>D07</t>
        </is>
      </c>
      <c r="F197" s="18" t="inlineStr">
        <is>
          <t>I01</t>
        </is>
      </c>
      <c r="G197" s="18" t="inlineStr">
        <is>
          <t>Assessment Design Maturity</t>
        </is>
      </c>
      <c r="H197" s="18" t="inlineStr">
        <is>
          <t>Future curriculum → assessment evidence</t>
        </is>
      </c>
      <c r="I197" s="18" t="inlineStr">
        <is>
          <t>If programme redesign is strong but assessment remains answer-production oriented, flag curriculum-assessment disconnect.</t>
        </is>
      </c>
      <c r="J197" s="18" t="inlineStr">
        <is>
          <t>Assessment redesign</t>
        </is>
      </c>
      <c r="K197" s="18" t="inlineStr">
        <is>
          <t>No D04 uplift from assessment activity.</t>
        </is>
      </c>
    </row>
    <row r="198">
      <c r="A198" s="18" t="inlineStr">
        <is>
          <t>CD11</t>
        </is>
      </c>
      <c r="B198" s="18" t="inlineStr">
        <is>
          <t>D04</t>
        </is>
      </c>
      <c r="C198" s="18" t="inlineStr">
        <is>
          <t>I08</t>
        </is>
      </c>
      <c r="D198" s="18" t="inlineStr">
        <is>
          <t>Programme Agility</t>
        </is>
      </c>
      <c r="E198" s="18" t="inlineStr">
        <is>
          <t>D07</t>
        </is>
      </c>
      <c r="F198" s="18" t="inlineStr">
        <is>
          <t>I02</t>
        </is>
      </c>
      <c r="G198" s="18" t="inlineStr">
        <is>
          <t>Cognitive Demonstration Depth</t>
        </is>
      </c>
      <c r="H198" s="18" t="inlineStr">
        <is>
          <t>Future curriculum → assessment evidence</t>
        </is>
      </c>
      <c r="I198" s="18" t="inlineStr">
        <is>
          <t>If programme redesign is strong but assessment remains answer-production oriented, flag curriculum-assessment disconnect.</t>
        </is>
      </c>
      <c r="J198" s="18" t="inlineStr">
        <is>
          <t>Assessment redesign</t>
        </is>
      </c>
      <c r="K198" s="18" t="inlineStr">
        <is>
          <t>No D04 uplift from assessment activity.</t>
        </is>
      </c>
    </row>
    <row r="199">
      <c r="A199" s="18" t="inlineStr">
        <is>
          <t>CD11</t>
        </is>
      </c>
      <c r="B199" s="18" t="inlineStr">
        <is>
          <t>D04</t>
        </is>
      </c>
      <c r="C199" s="18" t="inlineStr">
        <is>
          <t>I08</t>
        </is>
      </c>
      <c r="D199" s="18" t="inlineStr">
        <is>
          <t>Programme Agility</t>
        </is>
      </c>
      <c r="E199" s="18" t="inlineStr">
        <is>
          <t>D07</t>
        </is>
      </c>
      <c r="F199" s="18" t="inlineStr">
        <is>
          <t>I04</t>
        </is>
      </c>
      <c r="G199" s="18" t="inlineStr">
        <is>
          <t>AI-Aware Assessment Maturity</t>
        </is>
      </c>
      <c r="H199" s="18" t="inlineStr">
        <is>
          <t>Future curriculum → assessment evidence</t>
        </is>
      </c>
      <c r="I199" s="18" t="inlineStr">
        <is>
          <t>If programme redesign is strong but assessment remains answer-production oriented, flag curriculum-assessment disconnect.</t>
        </is>
      </c>
      <c r="J199" s="18" t="inlineStr">
        <is>
          <t>Assessment redesign</t>
        </is>
      </c>
      <c r="K199" s="18" t="inlineStr">
        <is>
          <t>No D04 uplift from assessment activity.</t>
        </is>
      </c>
    </row>
    <row r="200">
      <c r="A200" s="18" t="inlineStr">
        <is>
          <t>CD11</t>
        </is>
      </c>
      <c r="B200" s="18" t="inlineStr">
        <is>
          <t>D04</t>
        </is>
      </c>
      <c r="C200" s="18" t="inlineStr">
        <is>
          <t>I08</t>
        </is>
      </c>
      <c r="D200" s="18" t="inlineStr">
        <is>
          <t>Programme Agility</t>
        </is>
      </c>
      <c r="E200" s="18" t="inlineStr">
        <is>
          <t>D07</t>
        </is>
      </c>
      <c r="F200" s="18" t="inlineStr">
        <is>
          <t>I07</t>
        </is>
      </c>
      <c r="G200" s="18" t="inlineStr">
        <is>
          <t>Evidence of Learning</t>
        </is>
      </c>
      <c r="H200" s="18" t="inlineStr">
        <is>
          <t>Future curriculum → assessment evidence</t>
        </is>
      </c>
      <c r="I200" s="18" t="inlineStr">
        <is>
          <t>If programme redesign is strong but assessment remains answer-production oriented, flag curriculum-assessment disconnect.</t>
        </is>
      </c>
      <c r="J200" s="18" t="inlineStr">
        <is>
          <t>Assessment redesign</t>
        </is>
      </c>
      <c r="K200" s="18" t="inlineStr">
        <is>
          <t>No D04 uplift from assessment activity.</t>
        </is>
      </c>
    </row>
    <row r="201">
      <c r="A201" s="18" t="inlineStr">
        <is>
          <t>CD11</t>
        </is>
      </c>
      <c r="B201" s="18" t="inlineStr">
        <is>
          <t>D04</t>
        </is>
      </c>
      <c r="C201" s="18" t="inlineStr">
        <is>
          <t>I08</t>
        </is>
      </c>
      <c r="D201" s="18" t="inlineStr">
        <is>
          <t>Programme Agility</t>
        </is>
      </c>
      <c r="E201" s="18" t="inlineStr">
        <is>
          <t>D07</t>
        </is>
      </c>
      <c r="F201" s="18" t="inlineStr">
        <is>
          <t>I08</t>
        </is>
      </c>
      <c r="G201" s="18" t="inlineStr">
        <is>
          <t>Capability Outcome Measurement</t>
        </is>
      </c>
      <c r="H201" s="18" t="inlineStr">
        <is>
          <t>Future curriculum → assessment evidence</t>
        </is>
      </c>
      <c r="I201" s="18" t="inlineStr">
        <is>
          <t>If programme redesign is strong but assessment remains answer-production oriented, flag curriculum-assessment disconnect.</t>
        </is>
      </c>
      <c r="J201" s="18" t="inlineStr">
        <is>
          <t>Assessment redesign</t>
        </is>
      </c>
      <c r="K201" s="18" t="inlineStr">
        <is>
          <t>No D04 uplift from assessment activity.</t>
        </is>
      </c>
    </row>
    <row r="202">
      <c r="A202" s="18" t="inlineStr">
        <is>
          <t>CD11</t>
        </is>
      </c>
      <c r="B202" s="18" t="inlineStr">
        <is>
          <t>D04</t>
        </is>
      </c>
      <c r="C202" s="18" t="inlineStr">
        <is>
          <t>I12</t>
        </is>
      </c>
      <c r="D202" s="18" t="inlineStr">
        <is>
          <t>Portfolio Foresight</t>
        </is>
      </c>
      <c r="E202" s="18" t="inlineStr">
        <is>
          <t>D07</t>
        </is>
      </c>
      <c r="F202" s="18" t="inlineStr">
        <is>
          <t>I01</t>
        </is>
      </c>
      <c r="G202" s="18" t="inlineStr">
        <is>
          <t>Assessment Design Maturity</t>
        </is>
      </c>
      <c r="H202" s="18" t="inlineStr">
        <is>
          <t>Future curriculum → assessment evidence</t>
        </is>
      </c>
      <c r="I202" s="18" t="inlineStr">
        <is>
          <t>If programme redesign is strong but assessment remains answer-production oriented, flag curriculum-assessment disconnect.</t>
        </is>
      </c>
      <c r="J202" s="18" t="inlineStr">
        <is>
          <t>Assessment redesign</t>
        </is>
      </c>
      <c r="K202" s="18" t="inlineStr">
        <is>
          <t>No D04 uplift from assessment activity.</t>
        </is>
      </c>
    </row>
    <row r="203">
      <c r="A203" s="18" t="inlineStr">
        <is>
          <t>CD11</t>
        </is>
      </c>
      <c r="B203" s="18" t="inlineStr">
        <is>
          <t>D04</t>
        </is>
      </c>
      <c r="C203" s="18" t="inlineStr">
        <is>
          <t>I12</t>
        </is>
      </c>
      <c r="D203" s="18" t="inlineStr">
        <is>
          <t>Portfolio Foresight</t>
        </is>
      </c>
      <c r="E203" s="18" t="inlineStr">
        <is>
          <t>D07</t>
        </is>
      </c>
      <c r="F203" s="18" t="inlineStr">
        <is>
          <t>I02</t>
        </is>
      </c>
      <c r="G203" s="18" t="inlineStr">
        <is>
          <t>Cognitive Demonstration Depth</t>
        </is>
      </c>
      <c r="H203" s="18" t="inlineStr">
        <is>
          <t>Future curriculum → assessment evidence</t>
        </is>
      </c>
      <c r="I203" s="18" t="inlineStr">
        <is>
          <t>If programme redesign is strong but assessment remains answer-production oriented, flag curriculum-assessment disconnect.</t>
        </is>
      </c>
      <c r="J203" s="18" t="inlineStr">
        <is>
          <t>Assessment redesign</t>
        </is>
      </c>
      <c r="K203" s="18" t="inlineStr">
        <is>
          <t>No D04 uplift from assessment activity.</t>
        </is>
      </c>
    </row>
    <row r="204">
      <c r="A204" s="18" t="inlineStr">
        <is>
          <t>CD11</t>
        </is>
      </c>
      <c r="B204" s="18" t="inlineStr">
        <is>
          <t>D04</t>
        </is>
      </c>
      <c r="C204" s="18" t="inlineStr">
        <is>
          <t>I12</t>
        </is>
      </c>
      <c r="D204" s="18" t="inlineStr">
        <is>
          <t>Portfolio Foresight</t>
        </is>
      </c>
      <c r="E204" s="18" t="inlineStr">
        <is>
          <t>D07</t>
        </is>
      </c>
      <c r="F204" s="18" t="inlineStr">
        <is>
          <t>I04</t>
        </is>
      </c>
      <c r="G204" s="18" t="inlineStr">
        <is>
          <t>AI-Aware Assessment Maturity</t>
        </is>
      </c>
      <c r="H204" s="18" t="inlineStr">
        <is>
          <t>Future curriculum → assessment evidence</t>
        </is>
      </c>
      <c r="I204" s="18" t="inlineStr">
        <is>
          <t>If programme redesign is strong but assessment remains answer-production oriented, flag curriculum-assessment disconnect.</t>
        </is>
      </c>
      <c r="J204" s="18" t="inlineStr">
        <is>
          <t>Assessment redesign</t>
        </is>
      </c>
      <c r="K204" s="18" t="inlineStr">
        <is>
          <t>No D04 uplift from assessment activity.</t>
        </is>
      </c>
    </row>
    <row r="205">
      <c r="A205" s="18" t="inlineStr">
        <is>
          <t>CD11</t>
        </is>
      </c>
      <c r="B205" s="18" t="inlineStr">
        <is>
          <t>D04</t>
        </is>
      </c>
      <c r="C205" s="18" t="inlineStr">
        <is>
          <t>I12</t>
        </is>
      </c>
      <c r="D205" s="18" t="inlineStr">
        <is>
          <t>Portfolio Foresight</t>
        </is>
      </c>
      <c r="E205" s="18" t="inlineStr">
        <is>
          <t>D07</t>
        </is>
      </c>
      <c r="F205" s="18" t="inlineStr">
        <is>
          <t>I07</t>
        </is>
      </c>
      <c r="G205" s="18" t="inlineStr">
        <is>
          <t>Evidence of Learning</t>
        </is>
      </c>
      <c r="H205" s="18" t="inlineStr">
        <is>
          <t>Future curriculum → assessment evidence</t>
        </is>
      </c>
      <c r="I205" s="18" t="inlineStr">
        <is>
          <t>If programme redesign is strong but assessment remains answer-production oriented, flag curriculum-assessment disconnect.</t>
        </is>
      </c>
      <c r="J205" s="18" t="inlineStr">
        <is>
          <t>Assessment redesign</t>
        </is>
      </c>
      <c r="K205" s="18" t="inlineStr">
        <is>
          <t>No D04 uplift from assessment activity.</t>
        </is>
      </c>
    </row>
    <row r="206">
      <c r="A206" s="18" t="inlineStr">
        <is>
          <t>CD11</t>
        </is>
      </c>
      <c r="B206" s="18" t="inlineStr">
        <is>
          <t>D04</t>
        </is>
      </c>
      <c r="C206" s="18" t="inlineStr">
        <is>
          <t>I12</t>
        </is>
      </c>
      <c r="D206" s="18" t="inlineStr">
        <is>
          <t>Portfolio Foresight</t>
        </is>
      </c>
      <c r="E206" s="18" t="inlineStr">
        <is>
          <t>D07</t>
        </is>
      </c>
      <c r="F206" s="18" t="inlineStr">
        <is>
          <t>I08</t>
        </is>
      </c>
      <c r="G206" s="18" t="inlineStr">
        <is>
          <t>Capability Outcome Measurement</t>
        </is>
      </c>
      <c r="H206" s="18" t="inlineStr">
        <is>
          <t>Future curriculum → assessment evidence</t>
        </is>
      </c>
      <c r="I206" s="18" t="inlineStr">
        <is>
          <t>If programme redesign is strong but assessment remains answer-production oriented, flag curriculum-assessment disconnect.</t>
        </is>
      </c>
      <c r="J206" s="18" t="inlineStr">
        <is>
          <t>Assessment redesign</t>
        </is>
      </c>
      <c r="K206" s="18" t="inlineStr">
        <is>
          <t>No D04 uplift from assessment activity.</t>
        </is>
      </c>
    </row>
    <row r="207">
      <c r="A207" s="18" t="inlineStr">
        <is>
          <t>CD12</t>
        </is>
      </c>
      <c r="B207" s="18" t="inlineStr">
        <is>
          <t>D05</t>
        </is>
      </c>
      <c r="C207" s="18" t="inlineStr">
        <is>
          <t>I03</t>
        </is>
      </c>
      <c r="D207" s="18" t="inlineStr">
        <is>
          <t>AI-Enhanced Pedagogy</t>
        </is>
      </c>
      <c r="E207" s="18" t="inlineStr">
        <is>
          <t>D07</t>
        </is>
      </c>
      <c r="F207" s="18" t="inlineStr">
        <is>
          <t>I01</t>
        </is>
      </c>
      <c r="G207" s="18" t="inlineStr">
        <is>
          <t>Assessment Design Maturity</t>
        </is>
      </c>
      <c r="H207" s="18" t="inlineStr">
        <is>
          <t>Faculty redesign capability → assessment change</t>
        </is>
      </c>
      <c r="I207" s="18" t="inlineStr">
        <is>
          <t>If faculty training/capability is high but assessment practice remains unchanged, flag training-to-practice gap.</t>
        </is>
      </c>
      <c r="J207" s="18" t="inlineStr">
        <is>
          <t>Faculty practice review</t>
        </is>
      </c>
      <c r="K207" s="18" t="inlineStr">
        <is>
          <t>Training attendance alone cannot raise D05 practice maturity.</t>
        </is>
      </c>
    </row>
    <row r="208">
      <c r="A208" s="18" t="inlineStr">
        <is>
          <t>CD12</t>
        </is>
      </c>
      <c r="B208" s="18" t="inlineStr">
        <is>
          <t>D05</t>
        </is>
      </c>
      <c r="C208" s="18" t="inlineStr">
        <is>
          <t>I03</t>
        </is>
      </c>
      <c r="D208" s="18" t="inlineStr">
        <is>
          <t>AI-Enhanced Pedagogy</t>
        </is>
      </c>
      <c r="E208" s="18" t="inlineStr">
        <is>
          <t>D07</t>
        </is>
      </c>
      <c r="F208" s="18" t="inlineStr">
        <is>
          <t>I04</t>
        </is>
      </c>
      <c r="G208" s="18" t="inlineStr">
        <is>
          <t>AI-Aware Assessment Maturity</t>
        </is>
      </c>
      <c r="H208" s="18" t="inlineStr">
        <is>
          <t>Faculty redesign capability → assessment change</t>
        </is>
      </c>
      <c r="I208" s="18" t="inlineStr">
        <is>
          <t>If faculty training/capability is high but assessment practice remains unchanged, flag training-to-practice gap.</t>
        </is>
      </c>
      <c r="J208" s="18" t="inlineStr">
        <is>
          <t>Faculty practice review</t>
        </is>
      </c>
      <c r="K208" s="18" t="inlineStr">
        <is>
          <t>Training attendance alone cannot raise D05 practice maturity.</t>
        </is>
      </c>
    </row>
    <row r="209">
      <c r="A209" s="18" t="inlineStr">
        <is>
          <t>CD12</t>
        </is>
      </c>
      <c r="B209" s="18" t="inlineStr">
        <is>
          <t>D05</t>
        </is>
      </c>
      <c r="C209" s="18" t="inlineStr">
        <is>
          <t>I03</t>
        </is>
      </c>
      <c r="D209" s="18" t="inlineStr">
        <is>
          <t>AI-Enhanced Pedagogy</t>
        </is>
      </c>
      <c r="E209" s="18" t="inlineStr">
        <is>
          <t>D07</t>
        </is>
      </c>
      <c r="F209" s="18" t="inlineStr">
        <is>
          <t>I05</t>
        </is>
      </c>
      <c r="G209" s="18" t="inlineStr">
        <is>
          <t>Verification &amp; Defence</t>
        </is>
      </c>
      <c r="H209" s="18" t="inlineStr">
        <is>
          <t>Faculty redesign capability → assessment change</t>
        </is>
      </c>
      <c r="I209" s="18" t="inlineStr">
        <is>
          <t>If faculty training/capability is high but assessment practice remains unchanged, flag training-to-practice gap.</t>
        </is>
      </c>
      <c r="J209" s="18" t="inlineStr">
        <is>
          <t>Faculty practice review</t>
        </is>
      </c>
      <c r="K209" s="18" t="inlineStr">
        <is>
          <t>Training attendance alone cannot raise D05 practice maturity.</t>
        </is>
      </c>
    </row>
    <row r="210">
      <c r="A210" s="18" t="inlineStr">
        <is>
          <t>CD12</t>
        </is>
      </c>
      <c r="B210" s="18" t="inlineStr">
        <is>
          <t>D05</t>
        </is>
      </c>
      <c r="C210" s="18" t="inlineStr">
        <is>
          <t>I03</t>
        </is>
      </c>
      <c r="D210" s="18" t="inlineStr">
        <is>
          <t>AI-Enhanced Pedagogy</t>
        </is>
      </c>
      <c r="E210" s="18" t="inlineStr">
        <is>
          <t>D07</t>
        </is>
      </c>
      <c r="F210" s="18" t="inlineStr">
        <is>
          <t>I11</t>
        </is>
      </c>
      <c r="G210" s="18" t="inlineStr">
        <is>
          <t>Assessment Innovation</t>
        </is>
      </c>
      <c r="H210" s="18" t="inlineStr">
        <is>
          <t>Faculty redesign capability → assessment change</t>
        </is>
      </c>
      <c r="I210" s="18" t="inlineStr">
        <is>
          <t>If faculty training/capability is high but assessment practice remains unchanged, flag training-to-practice gap.</t>
        </is>
      </c>
      <c r="J210" s="18" t="inlineStr">
        <is>
          <t>Faculty practice review</t>
        </is>
      </c>
      <c r="K210" s="18" t="inlineStr">
        <is>
          <t>Training attendance alone cannot raise D05 practice maturity.</t>
        </is>
      </c>
    </row>
    <row r="211">
      <c r="A211" s="18" t="inlineStr">
        <is>
          <t>CD12</t>
        </is>
      </c>
      <c r="B211" s="18" t="inlineStr">
        <is>
          <t>D05</t>
        </is>
      </c>
      <c r="C211" s="18" t="inlineStr">
        <is>
          <t>I04</t>
        </is>
      </c>
      <c r="D211" s="18" t="inlineStr">
        <is>
          <t>Assessment Redesign Capability</t>
        </is>
      </c>
      <c r="E211" s="18" t="inlineStr">
        <is>
          <t>D07</t>
        </is>
      </c>
      <c r="F211" s="18" t="inlineStr">
        <is>
          <t>I01</t>
        </is>
      </c>
      <c r="G211" s="18" t="inlineStr">
        <is>
          <t>Assessment Design Maturity</t>
        </is>
      </c>
      <c r="H211" s="18" t="inlineStr">
        <is>
          <t>Faculty redesign capability → assessment change</t>
        </is>
      </c>
      <c r="I211" s="18" t="inlineStr">
        <is>
          <t>If faculty training/capability is high but assessment practice remains unchanged, flag training-to-practice gap.</t>
        </is>
      </c>
      <c r="J211" s="18" t="inlineStr">
        <is>
          <t>Faculty practice review</t>
        </is>
      </c>
      <c r="K211" s="18" t="inlineStr">
        <is>
          <t>Training attendance alone cannot raise D05 practice maturity.</t>
        </is>
      </c>
    </row>
    <row r="212">
      <c r="A212" s="18" t="inlineStr">
        <is>
          <t>CD12</t>
        </is>
      </c>
      <c r="B212" s="18" t="inlineStr">
        <is>
          <t>D05</t>
        </is>
      </c>
      <c r="C212" s="18" t="inlineStr">
        <is>
          <t>I04</t>
        </is>
      </c>
      <c r="D212" s="18" t="inlineStr">
        <is>
          <t>Assessment Redesign Capability</t>
        </is>
      </c>
      <c r="E212" s="18" t="inlineStr">
        <is>
          <t>D07</t>
        </is>
      </c>
      <c r="F212" s="18" t="inlineStr">
        <is>
          <t>I04</t>
        </is>
      </c>
      <c r="G212" s="18" t="inlineStr">
        <is>
          <t>AI-Aware Assessment Maturity</t>
        </is>
      </c>
      <c r="H212" s="18" t="inlineStr">
        <is>
          <t>Faculty redesign capability → assessment change</t>
        </is>
      </c>
      <c r="I212" s="18" t="inlineStr">
        <is>
          <t>If faculty training/capability is high but assessment practice remains unchanged, flag training-to-practice gap.</t>
        </is>
      </c>
      <c r="J212" s="18" t="inlineStr">
        <is>
          <t>Faculty practice review</t>
        </is>
      </c>
      <c r="K212" s="18" t="inlineStr">
        <is>
          <t>Training attendance alone cannot raise D05 practice maturity.</t>
        </is>
      </c>
    </row>
    <row r="213">
      <c r="A213" s="18" t="inlineStr">
        <is>
          <t>CD12</t>
        </is>
      </c>
      <c r="B213" s="18" t="inlineStr">
        <is>
          <t>D05</t>
        </is>
      </c>
      <c r="C213" s="18" t="inlineStr">
        <is>
          <t>I04</t>
        </is>
      </c>
      <c r="D213" s="18" t="inlineStr">
        <is>
          <t>Assessment Redesign Capability</t>
        </is>
      </c>
      <c r="E213" s="18" t="inlineStr">
        <is>
          <t>D07</t>
        </is>
      </c>
      <c r="F213" s="18" t="inlineStr">
        <is>
          <t>I05</t>
        </is>
      </c>
      <c r="G213" s="18" t="inlineStr">
        <is>
          <t>Verification &amp; Defence</t>
        </is>
      </c>
      <c r="H213" s="18" t="inlineStr">
        <is>
          <t>Faculty redesign capability → assessment change</t>
        </is>
      </c>
      <c r="I213" s="18" t="inlineStr">
        <is>
          <t>If faculty training/capability is high but assessment practice remains unchanged, flag training-to-practice gap.</t>
        </is>
      </c>
      <c r="J213" s="18" t="inlineStr">
        <is>
          <t>Faculty practice review</t>
        </is>
      </c>
      <c r="K213" s="18" t="inlineStr">
        <is>
          <t>Training attendance alone cannot raise D05 practice maturity.</t>
        </is>
      </c>
    </row>
    <row r="214">
      <c r="A214" s="18" t="inlineStr">
        <is>
          <t>CD12</t>
        </is>
      </c>
      <c r="B214" s="18" t="inlineStr">
        <is>
          <t>D05</t>
        </is>
      </c>
      <c r="C214" s="18" t="inlineStr">
        <is>
          <t>I04</t>
        </is>
      </c>
      <c r="D214" s="18" t="inlineStr">
        <is>
          <t>Assessment Redesign Capability</t>
        </is>
      </c>
      <c r="E214" s="18" t="inlineStr">
        <is>
          <t>D07</t>
        </is>
      </c>
      <c r="F214" s="18" t="inlineStr">
        <is>
          <t>I11</t>
        </is>
      </c>
      <c r="G214" s="18" t="inlineStr">
        <is>
          <t>Assessment Innovation</t>
        </is>
      </c>
      <c r="H214" s="18" t="inlineStr">
        <is>
          <t>Faculty redesign capability → assessment change</t>
        </is>
      </c>
      <c r="I214" s="18" t="inlineStr">
        <is>
          <t>If faculty training/capability is high but assessment practice remains unchanged, flag training-to-practice gap.</t>
        </is>
      </c>
      <c r="J214" s="18" t="inlineStr">
        <is>
          <t>Faculty practice review</t>
        </is>
      </c>
      <c r="K214" s="18" t="inlineStr">
        <is>
          <t>Training attendance alone cannot raise D05 practice maturity.</t>
        </is>
      </c>
    </row>
    <row r="215">
      <c r="A215" s="18" t="inlineStr">
        <is>
          <t>CD12</t>
        </is>
      </c>
      <c r="B215" s="18" t="inlineStr">
        <is>
          <t>D05</t>
        </is>
      </c>
      <c r="C215" s="18" t="inlineStr">
        <is>
          <t>I05</t>
        </is>
      </c>
      <c r="D215" s="18" t="inlineStr">
        <is>
          <t>Faculty Learning &amp; Development Effectiveness</t>
        </is>
      </c>
      <c r="E215" s="18" t="inlineStr">
        <is>
          <t>D07</t>
        </is>
      </c>
      <c r="F215" s="18" t="inlineStr">
        <is>
          <t>I01</t>
        </is>
      </c>
      <c r="G215" s="18" t="inlineStr">
        <is>
          <t>Assessment Design Maturity</t>
        </is>
      </c>
      <c r="H215" s="18" t="inlineStr">
        <is>
          <t>Faculty redesign capability → assessment change</t>
        </is>
      </c>
      <c r="I215" s="18" t="inlineStr">
        <is>
          <t>If faculty training/capability is high but assessment practice remains unchanged, flag training-to-practice gap.</t>
        </is>
      </c>
      <c r="J215" s="18" t="inlineStr">
        <is>
          <t>Faculty practice review</t>
        </is>
      </c>
      <c r="K215" s="18" t="inlineStr">
        <is>
          <t>Training attendance alone cannot raise D05 practice maturity.</t>
        </is>
      </c>
    </row>
    <row r="216">
      <c r="A216" s="18" t="inlineStr">
        <is>
          <t>CD12</t>
        </is>
      </c>
      <c r="B216" s="18" t="inlineStr">
        <is>
          <t>D05</t>
        </is>
      </c>
      <c r="C216" s="18" t="inlineStr">
        <is>
          <t>I05</t>
        </is>
      </c>
      <c r="D216" s="18" t="inlineStr">
        <is>
          <t>Faculty Learning &amp; Development Effectiveness</t>
        </is>
      </c>
      <c r="E216" s="18" t="inlineStr">
        <is>
          <t>D07</t>
        </is>
      </c>
      <c r="F216" s="18" t="inlineStr">
        <is>
          <t>I04</t>
        </is>
      </c>
      <c r="G216" s="18" t="inlineStr">
        <is>
          <t>AI-Aware Assessment Maturity</t>
        </is>
      </c>
      <c r="H216" s="18" t="inlineStr">
        <is>
          <t>Faculty redesign capability → assessment change</t>
        </is>
      </c>
      <c r="I216" s="18" t="inlineStr">
        <is>
          <t>If faculty training/capability is high but assessment practice remains unchanged, flag training-to-practice gap.</t>
        </is>
      </c>
      <c r="J216" s="18" t="inlineStr">
        <is>
          <t>Faculty practice review</t>
        </is>
      </c>
      <c r="K216" s="18" t="inlineStr">
        <is>
          <t>Training attendance alone cannot raise D05 practice maturity.</t>
        </is>
      </c>
    </row>
    <row r="217">
      <c r="A217" s="18" t="inlineStr">
        <is>
          <t>CD12</t>
        </is>
      </c>
      <c r="B217" s="18" t="inlineStr">
        <is>
          <t>D05</t>
        </is>
      </c>
      <c r="C217" s="18" t="inlineStr">
        <is>
          <t>I05</t>
        </is>
      </c>
      <c r="D217" s="18" t="inlineStr">
        <is>
          <t>Faculty Learning &amp; Development Effectiveness</t>
        </is>
      </c>
      <c r="E217" s="18" t="inlineStr">
        <is>
          <t>D07</t>
        </is>
      </c>
      <c r="F217" s="18" t="inlineStr">
        <is>
          <t>I05</t>
        </is>
      </c>
      <c r="G217" s="18" t="inlineStr">
        <is>
          <t>Verification &amp; Defence</t>
        </is>
      </c>
      <c r="H217" s="18" t="inlineStr">
        <is>
          <t>Faculty redesign capability → assessment change</t>
        </is>
      </c>
      <c r="I217" s="18" t="inlineStr">
        <is>
          <t>If faculty training/capability is high but assessment practice remains unchanged, flag training-to-practice gap.</t>
        </is>
      </c>
      <c r="J217" s="18" t="inlineStr">
        <is>
          <t>Faculty practice review</t>
        </is>
      </c>
      <c r="K217" s="18" t="inlineStr">
        <is>
          <t>Training attendance alone cannot raise D05 practice maturity.</t>
        </is>
      </c>
    </row>
    <row r="218">
      <c r="A218" s="18" t="inlineStr">
        <is>
          <t>CD12</t>
        </is>
      </c>
      <c r="B218" s="18" t="inlineStr">
        <is>
          <t>D05</t>
        </is>
      </c>
      <c r="C218" s="18" t="inlineStr">
        <is>
          <t>I05</t>
        </is>
      </c>
      <c r="D218" s="18" t="inlineStr">
        <is>
          <t>Faculty Learning &amp; Development Effectiveness</t>
        </is>
      </c>
      <c r="E218" s="18" t="inlineStr">
        <is>
          <t>D07</t>
        </is>
      </c>
      <c r="F218" s="18" t="inlineStr">
        <is>
          <t>I11</t>
        </is>
      </c>
      <c r="G218" s="18" t="inlineStr">
        <is>
          <t>Assessment Innovation</t>
        </is>
      </c>
      <c r="H218" s="18" t="inlineStr">
        <is>
          <t>Faculty redesign capability → assessment change</t>
        </is>
      </c>
      <c r="I218" s="18" t="inlineStr">
        <is>
          <t>If faculty training/capability is high but assessment practice remains unchanged, flag training-to-practice gap.</t>
        </is>
      </c>
      <c r="J218" s="18" t="inlineStr">
        <is>
          <t>Faculty practice review</t>
        </is>
      </c>
      <c r="K218" s="18" t="inlineStr">
        <is>
          <t>Training attendance alone cannot raise D05 practice maturity.</t>
        </is>
      </c>
    </row>
    <row r="219">
      <c r="A219" s="18" t="inlineStr">
        <is>
          <t>CD12</t>
        </is>
      </c>
      <c r="B219" s="18" t="inlineStr">
        <is>
          <t>D05</t>
        </is>
      </c>
      <c r="C219" s="18" t="inlineStr">
        <is>
          <t>I12</t>
        </is>
      </c>
      <c r="D219" s="18" t="inlineStr">
        <is>
          <t>Faculty Adoption Learning Loop</t>
        </is>
      </c>
      <c r="E219" s="18" t="inlineStr">
        <is>
          <t>D07</t>
        </is>
      </c>
      <c r="F219" s="18" t="inlineStr">
        <is>
          <t>I01</t>
        </is>
      </c>
      <c r="G219" s="18" t="inlineStr">
        <is>
          <t>Assessment Design Maturity</t>
        </is>
      </c>
      <c r="H219" s="18" t="inlineStr">
        <is>
          <t>Faculty redesign capability → assessment change</t>
        </is>
      </c>
      <c r="I219" s="18" t="inlineStr">
        <is>
          <t>If faculty training/capability is high but assessment practice remains unchanged, flag training-to-practice gap.</t>
        </is>
      </c>
      <c r="J219" s="18" t="inlineStr">
        <is>
          <t>Faculty practice review</t>
        </is>
      </c>
      <c r="K219" s="18" t="inlineStr">
        <is>
          <t>Training attendance alone cannot raise D05 practice maturity.</t>
        </is>
      </c>
    </row>
    <row r="220">
      <c r="A220" s="18" t="inlineStr">
        <is>
          <t>CD12</t>
        </is>
      </c>
      <c r="B220" s="18" t="inlineStr">
        <is>
          <t>D05</t>
        </is>
      </c>
      <c r="C220" s="18" t="inlineStr">
        <is>
          <t>I12</t>
        </is>
      </c>
      <c r="D220" s="18" t="inlineStr">
        <is>
          <t>Faculty Adoption Learning Loop</t>
        </is>
      </c>
      <c r="E220" s="18" t="inlineStr">
        <is>
          <t>D07</t>
        </is>
      </c>
      <c r="F220" s="18" t="inlineStr">
        <is>
          <t>I04</t>
        </is>
      </c>
      <c r="G220" s="18" t="inlineStr">
        <is>
          <t>AI-Aware Assessment Maturity</t>
        </is>
      </c>
      <c r="H220" s="18" t="inlineStr">
        <is>
          <t>Faculty redesign capability → assessment change</t>
        </is>
      </c>
      <c r="I220" s="18" t="inlineStr">
        <is>
          <t>If faculty training/capability is high but assessment practice remains unchanged, flag training-to-practice gap.</t>
        </is>
      </c>
      <c r="J220" s="18" t="inlineStr">
        <is>
          <t>Faculty practice review</t>
        </is>
      </c>
      <c r="K220" s="18" t="inlineStr">
        <is>
          <t>Training attendance alone cannot raise D05 practice maturity.</t>
        </is>
      </c>
    </row>
    <row r="221">
      <c r="A221" s="18" t="inlineStr">
        <is>
          <t>CD12</t>
        </is>
      </c>
      <c r="B221" s="18" t="inlineStr">
        <is>
          <t>D05</t>
        </is>
      </c>
      <c r="C221" s="18" t="inlineStr">
        <is>
          <t>I12</t>
        </is>
      </c>
      <c r="D221" s="18" t="inlineStr">
        <is>
          <t>Faculty Adoption Learning Loop</t>
        </is>
      </c>
      <c r="E221" s="18" t="inlineStr">
        <is>
          <t>D07</t>
        </is>
      </c>
      <c r="F221" s="18" t="inlineStr">
        <is>
          <t>I05</t>
        </is>
      </c>
      <c r="G221" s="18" t="inlineStr">
        <is>
          <t>Verification &amp; Defence</t>
        </is>
      </c>
      <c r="H221" s="18" t="inlineStr">
        <is>
          <t>Faculty redesign capability → assessment change</t>
        </is>
      </c>
      <c r="I221" s="18" t="inlineStr">
        <is>
          <t>If faculty training/capability is high but assessment practice remains unchanged, flag training-to-practice gap.</t>
        </is>
      </c>
      <c r="J221" s="18" t="inlineStr">
        <is>
          <t>Faculty practice review</t>
        </is>
      </c>
      <c r="K221" s="18" t="inlineStr">
        <is>
          <t>Training attendance alone cannot raise D05 practice maturity.</t>
        </is>
      </c>
    </row>
    <row r="222">
      <c r="A222" s="18" t="inlineStr">
        <is>
          <t>CD12</t>
        </is>
      </c>
      <c r="B222" s="18" t="inlineStr">
        <is>
          <t>D05</t>
        </is>
      </c>
      <c r="C222" s="18" t="inlineStr">
        <is>
          <t>I12</t>
        </is>
      </c>
      <c r="D222" s="18" t="inlineStr">
        <is>
          <t>Faculty Adoption Learning Loop</t>
        </is>
      </c>
      <c r="E222" s="18" t="inlineStr">
        <is>
          <t>D07</t>
        </is>
      </c>
      <c r="F222" s="18" t="inlineStr">
        <is>
          <t>I11</t>
        </is>
      </c>
      <c r="G222" s="18" t="inlineStr">
        <is>
          <t>Assessment Innovation</t>
        </is>
      </c>
      <c r="H222" s="18" t="inlineStr">
        <is>
          <t>Faculty redesign capability → assessment change</t>
        </is>
      </c>
      <c r="I222" s="18" t="inlineStr">
        <is>
          <t>If faculty training/capability is high but assessment practice remains unchanged, flag training-to-practice gap.</t>
        </is>
      </c>
      <c r="J222" s="18" t="inlineStr">
        <is>
          <t>Faculty practice review</t>
        </is>
      </c>
      <c r="K222" s="18" t="inlineStr">
        <is>
          <t>Training attendance alone cannot raise D05 practice maturity.</t>
        </is>
      </c>
    </row>
    <row r="223">
      <c r="A223" s="18" t="inlineStr">
        <is>
          <t>CD13</t>
        </is>
      </c>
      <c r="B223" s="18" t="inlineStr">
        <is>
          <t>D06</t>
        </is>
      </c>
      <c r="C223" s="18" t="inlineStr">
        <is>
          <t>I04</t>
        </is>
      </c>
      <c r="D223" s="18" t="inlineStr">
        <is>
          <t>Independent Intellectual Agency</t>
        </is>
      </c>
      <c r="E223" s="18" t="inlineStr">
        <is>
          <t>D09</t>
        </is>
      </c>
      <c r="F223" s="18" t="inlineStr">
        <is>
          <t>I05</t>
        </is>
      </c>
      <c r="G223" s="18" t="inlineStr">
        <is>
          <t>Recruiter Confidence</t>
        </is>
      </c>
      <c r="H223" s="18" t="inlineStr">
        <is>
          <t>Student capability → external employability</t>
        </is>
      </c>
      <c r="I223" s="18" t="inlineStr">
        <is>
          <t>If student capability is strong but external validation/outcomes are weak, flag capability-to-career translation gap.</t>
        </is>
      </c>
      <c r="J223" s="18" t="inlineStr">
        <is>
          <t>Employability evidence review</t>
        </is>
      </c>
      <c r="K223" s="18" t="inlineStr">
        <is>
          <t>D09 owns external validation.</t>
        </is>
      </c>
    </row>
    <row r="224">
      <c r="A224" s="18" t="inlineStr">
        <is>
          <t>CD13</t>
        </is>
      </c>
      <c r="B224" s="18" t="inlineStr">
        <is>
          <t>D06</t>
        </is>
      </c>
      <c r="C224" s="18" t="inlineStr">
        <is>
          <t>I04</t>
        </is>
      </c>
      <c r="D224" s="18" t="inlineStr">
        <is>
          <t>Independent Intellectual Agency</t>
        </is>
      </c>
      <c r="E224" s="18" t="inlineStr">
        <is>
          <t>D09</t>
        </is>
      </c>
      <c r="F224" s="18" t="inlineStr">
        <is>
          <t>I06</t>
        </is>
      </c>
      <c r="G224" s="18" t="inlineStr">
        <is>
          <t>Placement Outcome Quality</t>
        </is>
      </c>
      <c r="H224" s="18" t="inlineStr">
        <is>
          <t>Student capability → external employability</t>
        </is>
      </c>
      <c r="I224" s="18" t="inlineStr">
        <is>
          <t>If student capability is strong but external validation/outcomes are weak, flag capability-to-career translation gap.</t>
        </is>
      </c>
      <c r="J224" s="18" t="inlineStr">
        <is>
          <t>Employability evidence review</t>
        </is>
      </c>
      <c r="K224" s="18" t="inlineStr">
        <is>
          <t>D09 owns external validation.</t>
        </is>
      </c>
    </row>
    <row r="225">
      <c r="A225" s="18" t="inlineStr">
        <is>
          <t>CD13</t>
        </is>
      </c>
      <c r="B225" s="18" t="inlineStr">
        <is>
          <t>D06</t>
        </is>
      </c>
      <c r="C225" s="18" t="inlineStr">
        <is>
          <t>I04</t>
        </is>
      </c>
      <c r="D225" s="18" t="inlineStr">
        <is>
          <t>Independent Intellectual Agency</t>
        </is>
      </c>
      <c r="E225" s="18" t="inlineStr">
        <is>
          <t>D09</t>
        </is>
      </c>
      <c r="F225" s="18" t="inlineStr">
        <is>
          <t>I07</t>
        </is>
      </c>
      <c r="G225" s="18" t="inlineStr">
        <is>
          <t>Career Adaptability</t>
        </is>
      </c>
      <c r="H225" s="18" t="inlineStr">
        <is>
          <t>Student capability → external employability</t>
        </is>
      </c>
      <c r="I225" s="18" t="inlineStr">
        <is>
          <t>If student capability is strong but external validation/outcomes are weak, flag capability-to-career translation gap.</t>
        </is>
      </c>
      <c r="J225" s="18" t="inlineStr">
        <is>
          <t>Employability evidence review</t>
        </is>
      </c>
      <c r="K225" s="18" t="inlineStr">
        <is>
          <t>D09 owns external validation.</t>
        </is>
      </c>
    </row>
    <row r="226">
      <c r="A226" s="18" t="inlineStr">
        <is>
          <t>CD13</t>
        </is>
      </c>
      <c r="B226" s="18" t="inlineStr">
        <is>
          <t>D06</t>
        </is>
      </c>
      <c r="C226" s="18" t="inlineStr">
        <is>
          <t>I04</t>
        </is>
      </c>
      <c r="D226" s="18" t="inlineStr">
        <is>
          <t>Independent Intellectual Agency</t>
        </is>
      </c>
      <c r="E226" s="18" t="inlineStr">
        <is>
          <t>D09</t>
        </is>
      </c>
      <c r="F226" s="18" t="inlineStr">
        <is>
          <t>I08</t>
        </is>
      </c>
      <c r="G226" s="18" t="inlineStr">
        <is>
          <t>AI-Era Employability Readiness</t>
        </is>
      </c>
      <c r="H226" s="18" t="inlineStr">
        <is>
          <t>Student capability → external employability</t>
        </is>
      </c>
      <c r="I226" s="18" t="inlineStr">
        <is>
          <t>If student capability is strong but external validation/outcomes are weak, flag capability-to-career translation gap.</t>
        </is>
      </c>
      <c r="J226" s="18" t="inlineStr">
        <is>
          <t>Employability evidence review</t>
        </is>
      </c>
      <c r="K226" s="18" t="inlineStr">
        <is>
          <t>D09 owns external validation.</t>
        </is>
      </c>
    </row>
    <row r="227">
      <c r="A227" s="18" t="inlineStr">
        <is>
          <t>CD13</t>
        </is>
      </c>
      <c r="B227" s="18" t="inlineStr">
        <is>
          <t>D06</t>
        </is>
      </c>
      <c r="C227" s="18" t="inlineStr">
        <is>
          <t>I04</t>
        </is>
      </c>
      <c r="D227" s="18" t="inlineStr">
        <is>
          <t>Independent Intellectual Agency</t>
        </is>
      </c>
      <c r="E227" s="18" t="inlineStr">
        <is>
          <t>D09</t>
        </is>
      </c>
      <c r="F227" s="18" t="inlineStr">
        <is>
          <t>I09</t>
        </is>
      </c>
      <c r="G227" s="18" t="inlineStr">
        <is>
          <t>Capability Signalling</t>
        </is>
      </c>
      <c r="H227" s="18" t="inlineStr">
        <is>
          <t>Student capability → external employability</t>
        </is>
      </c>
      <c r="I227" s="18" t="inlineStr">
        <is>
          <t>If student capability is strong but external validation/outcomes are weak, flag capability-to-career translation gap.</t>
        </is>
      </c>
      <c r="J227" s="18" t="inlineStr">
        <is>
          <t>Employability evidence review</t>
        </is>
      </c>
      <c r="K227" s="18" t="inlineStr">
        <is>
          <t>D09 owns external validation.</t>
        </is>
      </c>
    </row>
    <row r="228">
      <c r="A228" s="18" t="inlineStr">
        <is>
          <t>CD13</t>
        </is>
      </c>
      <c r="B228" s="18" t="inlineStr">
        <is>
          <t>D06</t>
        </is>
      </c>
      <c r="C228" s="18" t="inlineStr">
        <is>
          <t>I07</t>
        </is>
      </c>
      <c r="D228" s="18" t="inlineStr">
        <is>
          <t>Practical Capability</t>
        </is>
      </c>
      <c r="E228" s="18" t="inlineStr">
        <is>
          <t>D09</t>
        </is>
      </c>
      <c r="F228" s="18" t="inlineStr">
        <is>
          <t>I05</t>
        </is>
      </c>
      <c r="G228" s="18" t="inlineStr">
        <is>
          <t>Recruiter Confidence</t>
        </is>
      </c>
      <c r="H228" s="18" t="inlineStr">
        <is>
          <t>Student capability → external employability</t>
        </is>
      </c>
      <c r="I228" s="18" t="inlineStr">
        <is>
          <t>If student capability is strong but external validation/outcomes are weak, flag capability-to-career translation gap.</t>
        </is>
      </c>
      <c r="J228" s="18" t="inlineStr">
        <is>
          <t>Employability evidence review</t>
        </is>
      </c>
      <c r="K228" s="18" t="inlineStr">
        <is>
          <t>D09 owns external validation.</t>
        </is>
      </c>
    </row>
    <row r="229">
      <c r="A229" s="18" t="inlineStr">
        <is>
          <t>CD13</t>
        </is>
      </c>
      <c r="B229" s="18" t="inlineStr">
        <is>
          <t>D06</t>
        </is>
      </c>
      <c r="C229" s="18" t="inlineStr">
        <is>
          <t>I07</t>
        </is>
      </c>
      <c r="D229" s="18" t="inlineStr">
        <is>
          <t>Practical Capability</t>
        </is>
      </c>
      <c r="E229" s="18" t="inlineStr">
        <is>
          <t>D09</t>
        </is>
      </c>
      <c r="F229" s="18" t="inlineStr">
        <is>
          <t>I06</t>
        </is>
      </c>
      <c r="G229" s="18" t="inlineStr">
        <is>
          <t>Placement Outcome Quality</t>
        </is>
      </c>
      <c r="H229" s="18" t="inlineStr">
        <is>
          <t>Student capability → external employability</t>
        </is>
      </c>
      <c r="I229" s="18" t="inlineStr">
        <is>
          <t>If student capability is strong but external validation/outcomes are weak, flag capability-to-career translation gap.</t>
        </is>
      </c>
      <c r="J229" s="18" t="inlineStr">
        <is>
          <t>Employability evidence review</t>
        </is>
      </c>
      <c r="K229" s="18" t="inlineStr">
        <is>
          <t>D09 owns external validation.</t>
        </is>
      </c>
    </row>
    <row r="230">
      <c r="A230" s="18" t="inlineStr">
        <is>
          <t>CD13</t>
        </is>
      </c>
      <c r="B230" s="18" t="inlineStr">
        <is>
          <t>D06</t>
        </is>
      </c>
      <c r="C230" s="18" t="inlineStr">
        <is>
          <t>I07</t>
        </is>
      </c>
      <c r="D230" s="18" t="inlineStr">
        <is>
          <t>Practical Capability</t>
        </is>
      </c>
      <c r="E230" s="18" t="inlineStr">
        <is>
          <t>D09</t>
        </is>
      </c>
      <c r="F230" s="18" t="inlineStr">
        <is>
          <t>I07</t>
        </is>
      </c>
      <c r="G230" s="18" t="inlineStr">
        <is>
          <t>Career Adaptability</t>
        </is>
      </c>
      <c r="H230" s="18" t="inlineStr">
        <is>
          <t>Student capability → external employability</t>
        </is>
      </c>
      <c r="I230" s="18" t="inlineStr">
        <is>
          <t>If student capability is strong but external validation/outcomes are weak, flag capability-to-career translation gap.</t>
        </is>
      </c>
      <c r="J230" s="18" t="inlineStr">
        <is>
          <t>Employability evidence review</t>
        </is>
      </c>
      <c r="K230" s="18" t="inlineStr">
        <is>
          <t>D09 owns external validation.</t>
        </is>
      </c>
    </row>
    <row r="231">
      <c r="A231" s="18" t="inlineStr">
        <is>
          <t>CD13</t>
        </is>
      </c>
      <c r="B231" s="18" t="inlineStr">
        <is>
          <t>D06</t>
        </is>
      </c>
      <c r="C231" s="18" t="inlineStr">
        <is>
          <t>I07</t>
        </is>
      </c>
      <c r="D231" s="18" t="inlineStr">
        <is>
          <t>Practical Capability</t>
        </is>
      </c>
      <c r="E231" s="18" t="inlineStr">
        <is>
          <t>D09</t>
        </is>
      </c>
      <c r="F231" s="18" t="inlineStr">
        <is>
          <t>I08</t>
        </is>
      </c>
      <c r="G231" s="18" t="inlineStr">
        <is>
          <t>AI-Era Employability Readiness</t>
        </is>
      </c>
      <c r="H231" s="18" t="inlineStr">
        <is>
          <t>Student capability → external employability</t>
        </is>
      </c>
      <c r="I231" s="18" t="inlineStr">
        <is>
          <t>If student capability is strong but external validation/outcomes are weak, flag capability-to-career translation gap.</t>
        </is>
      </c>
      <c r="J231" s="18" t="inlineStr">
        <is>
          <t>Employability evidence review</t>
        </is>
      </c>
      <c r="K231" s="18" t="inlineStr">
        <is>
          <t>D09 owns external validation.</t>
        </is>
      </c>
    </row>
    <row r="232">
      <c r="A232" s="18" t="inlineStr">
        <is>
          <t>CD13</t>
        </is>
      </c>
      <c r="B232" s="18" t="inlineStr">
        <is>
          <t>D06</t>
        </is>
      </c>
      <c r="C232" s="18" t="inlineStr">
        <is>
          <t>I07</t>
        </is>
      </c>
      <c r="D232" s="18" t="inlineStr">
        <is>
          <t>Practical Capability</t>
        </is>
      </c>
      <c r="E232" s="18" t="inlineStr">
        <is>
          <t>D09</t>
        </is>
      </c>
      <c r="F232" s="18" t="inlineStr">
        <is>
          <t>I09</t>
        </is>
      </c>
      <c r="G232" s="18" t="inlineStr">
        <is>
          <t>Capability Signalling</t>
        </is>
      </c>
      <c r="H232" s="18" t="inlineStr">
        <is>
          <t>Student capability → external employability</t>
        </is>
      </c>
      <c r="I232" s="18" t="inlineStr">
        <is>
          <t>If student capability is strong but external validation/outcomes are weak, flag capability-to-career translation gap.</t>
        </is>
      </c>
      <c r="J232" s="18" t="inlineStr">
        <is>
          <t>Employability evidence review</t>
        </is>
      </c>
      <c r="K232" s="18" t="inlineStr">
        <is>
          <t>D09 owns external validation.</t>
        </is>
      </c>
    </row>
    <row r="233">
      <c r="A233" s="18" t="inlineStr">
        <is>
          <t>CD13</t>
        </is>
      </c>
      <c r="B233" s="18" t="inlineStr">
        <is>
          <t>D06</t>
        </is>
      </c>
      <c r="C233" s="18" t="inlineStr">
        <is>
          <t>I08</t>
        </is>
      </c>
      <c r="D233" s="18" t="inlineStr">
        <is>
          <t>Career Adaptability</t>
        </is>
      </c>
      <c r="E233" s="18" t="inlineStr">
        <is>
          <t>D09</t>
        </is>
      </c>
      <c r="F233" s="18" t="inlineStr">
        <is>
          <t>I05</t>
        </is>
      </c>
      <c r="G233" s="18" t="inlineStr">
        <is>
          <t>Recruiter Confidence</t>
        </is>
      </c>
      <c r="H233" s="18" t="inlineStr">
        <is>
          <t>Student capability → external employability</t>
        </is>
      </c>
      <c r="I233" s="18" t="inlineStr">
        <is>
          <t>If student capability is strong but external validation/outcomes are weak, flag capability-to-career translation gap.</t>
        </is>
      </c>
      <c r="J233" s="18" t="inlineStr">
        <is>
          <t>Employability evidence review</t>
        </is>
      </c>
      <c r="K233" s="18" t="inlineStr">
        <is>
          <t>D09 owns external validation.</t>
        </is>
      </c>
    </row>
    <row r="234">
      <c r="A234" s="18" t="inlineStr">
        <is>
          <t>CD13</t>
        </is>
      </c>
      <c r="B234" s="18" t="inlineStr">
        <is>
          <t>D06</t>
        </is>
      </c>
      <c r="C234" s="18" t="inlineStr">
        <is>
          <t>I08</t>
        </is>
      </c>
      <c r="D234" s="18" t="inlineStr">
        <is>
          <t>Career Adaptability</t>
        </is>
      </c>
      <c r="E234" s="18" t="inlineStr">
        <is>
          <t>D09</t>
        </is>
      </c>
      <c r="F234" s="18" t="inlineStr">
        <is>
          <t>I06</t>
        </is>
      </c>
      <c r="G234" s="18" t="inlineStr">
        <is>
          <t>Placement Outcome Quality</t>
        </is>
      </c>
      <c r="H234" s="18" t="inlineStr">
        <is>
          <t>Student capability → external employability</t>
        </is>
      </c>
      <c r="I234" s="18" t="inlineStr">
        <is>
          <t>If student capability is strong but external validation/outcomes are weak, flag capability-to-career translation gap.</t>
        </is>
      </c>
      <c r="J234" s="18" t="inlineStr">
        <is>
          <t>Employability evidence review</t>
        </is>
      </c>
      <c r="K234" s="18" t="inlineStr">
        <is>
          <t>D09 owns external validation.</t>
        </is>
      </c>
    </row>
    <row r="235">
      <c r="A235" s="18" t="inlineStr">
        <is>
          <t>CD13</t>
        </is>
      </c>
      <c r="B235" s="18" t="inlineStr">
        <is>
          <t>D06</t>
        </is>
      </c>
      <c r="C235" s="18" t="inlineStr">
        <is>
          <t>I08</t>
        </is>
      </c>
      <c r="D235" s="18" t="inlineStr">
        <is>
          <t>Career Adaptability</t>
        </is>
      </c>
      <c r="E235" s="18" t="inlineStr">
        <is>
          <t>D09</t>
        </is>
      </c>
      <c r="F235" s="18" t="inlineStr">
        <is>
          <t>I07</t>
        </is>
      </c>
      <c r="G235" s="18" t="inlineStr">
        <is>
          <t>Career Adaptability</t>
        </is>
      </c>
      <c r="H235" s="18" t="inlineStr">
        <is>
          <t>Student capability → external employability</t>
        </is>
      </c>
      <c r="I235" s="18" t="inlineStr">
        <is>
          <t>If student capability is strong but external validation/outcomes are weak, flag capability-to-career translation gap.</t>
        </is>
      </c>
      <c r="J235" s="18" t="inlineStr">
        <is>
          <t>Employability evidence review</t>
        </is>
      </c>
      <c r="K235" s="18" t="inlineStr">
        <is>
          <t>D09 owns external validation.</t>
        </is>
      </c>
    </row>
    <row r="236">
      <c r="A236" s="18" t="inlineStr">
        <is>
          <t>CD13</t>
        </is>
      </c>
      <c r="B236" s="18" t="inlineStr">
        <is>
          <t>D06</t>
        </is>
      </c>
      <c r="C236" s="18" t="inlineStr">
        <is>
          <t>I08</t>
        </is>
      </c>
      <c r="D236" s="18" t="inlineStr">
        <is>
          <t>Career Adaptability</t>
        </is>
      </c>
      <c r="E236" s="18" t="inlineStr">
        <is>
          <t>D09</t>
        </is>
      </c>
      <c r="F236" s="18" t="inlineStr">
        <is>
          <t>I08</t>
        </is>
      </c>
      <c r="G236" s="18" t="inlineStr">
        <is>
          <t>AI-Era Employability Readiness</t>
        </is>
      </c>
      <c r="H236" s="18" t="inlineStr">
        <is>
          <t>Student capability → external employability</t>
        </is>
      </c>
      <c r="I236" s="18" t="inlineStr">
        <is>
          <t>If student capability is strong but external validation/outcomes are weak, flag capability-to-career translation gap.</t>
        </is>
      </c>
      <c r="J236" s="18" t="inlineStr">
        <is>
          <t>Employability evidence review</t>
        </is>
      </c>
      <c r="K236" s="18" t="inlineStr">
        <is>
          <t>D09 owns external validation.</t>
        </is>
      </c>
    </row>
    <row r="237">
      <c r="A237" s="18" t="inlineStr">
        <is>
          <t>CD13</t>
        </is>
      </c>
      <c r="B237" s="18" t="inlineStr">
        <is>
          <t>D06</t>
        </is>
      </c>
      <c r="C237" s="18" t="inlineStr">
        <is>
          <t>I08</t>
        </is>
      </c>
      <c r="D237" s="18" t="inlineStr">
        <is>
          <t>Career Adaptability</t>
        </is>
      </c>
      <c r="E237" s="18" t="inlineStr">
        <is>
          <t>D09</t>
        </is>
      </c>
      <c r="F237" s="18" t="inlineStr">
        <is>
          <t>I09</t>
        </is>
      </c>
      <c r="G237" s="18" t="inlineStr">
        <is>
          <t>Capability Signalling</t>
        </is>
      </c>
      <c r="H237" s="18" t="inlineStr">
        <is>
          <t>Student capability → external employability</t>
        </is>
      </c>
      <c r="I237" s="18" t="inlineStr">
        <is>
          <t>If student capability is strong but external validation/outcomes are weak, flag capability-to-career translation gap.</t>
        </is>
      </c>
      <c r="J237" s="18" t="inlineStr">
        <is>
          <t>Employability evidence review</t>
        </is>
      </c>
      <c r="K237" s="18" t="inlineStr">
        <is>
          <t>D09 owns external validation.</t>
        </is>
      </c>
    </row>
    <row r="238">
      <c r="A238" s="18" t="inlineStr">
        <is>
          <t>CD13</t>
        </is>
      </c>
      <c r="B238" s="18" t="inlineStr">
        <is>
          <t>D06</t>
        </is>
      </c>
      <c r="C238" s="18" t="inlineStr">
        <is>
          <t>I09</t>
        </is>
      </c>
      <c r="D238" s="18" t="inlineStr">
        <is>
          <t>Portfolio &amp; Capability Signalling</t>
        </is>
      </c>
      <c r="E238" s="18" t="inlineStr">
        <is>
          <t>D09</t>
        </is>
      </c>
      <c r="F238" s="18" t="inlineStr">
        <is>
          <t>I05</t>
        </is>
      </c>
      <c r="G238" s="18" t="inlineStr">
        <is>
          <t>Recruiter Confidence</t>
        </is>
      </c>
      <c r="H238" s="18" t="inlineStr">
        <is>
          <t>Student capability → external employability</t>
        </is>
      </c>
      <c r="I238" s="18" t="inlineStr">
        <is>
          <t>If student capability is strong but external validation/outcomes are weak, flag capability-to-career translation gap.</t>
        </is>
      </c>
      <c r="J238" s="18" t="inlineStr">
        <is>
          <t>Employability evidence review</t>
        </is>
      </c>
      <c r="K238" s="18" t="inlineStr">
        <is>
          <t>D09 owns external validation.</t>
        </is>
      </c>
    </row>
    <row r="239">
      <c r="A239" s="18" t="inlineStr">
        <is>
          <t>CD13</t>
        </is>
      </c>
      <c r="B239" s="18" t="inlineStr">
        <is>
          <t>D06</t>
        </is>
      </c>
      <c r="C239" s="18" t="inlineStr">
        <is>
          <t>I09</t>
        </is>
      </c>
      <c r="D239" s="18" t="inlineStr">
        <is>
          <t>Portfolio &amp; Capability Signalling</t>
        </is>
      </c>
      <c r="E239" s="18" t="inlineStr">
        <is>
          <t>D09</t>
        </is>
      </c>
      <c r="F239" s="18" t="inlineStr">
        <is>
          <t>I06</t>
        </is>
      </c>
      <c r="G239" s="18" t="inlineStr">
        <is>
          <t>Placement Outcome Quality</t>
        </is>
      </c>
      <c r="H239" s="18" t="inlineStr">
        <is>
          <t>Student capability → external employability</t>
        </is>
      </c>
      <c r="I239" s="18" t="inlineStr">
        <is>
          <t>If student capability is strong but external validation/outcomes are weak, flag capability-to-career translation gap.</t>
        </is>
      </c>
      <c r="J239" s="18" t="inlineStr">
        <is>
          <t>Employability evidence review</t>
        </is>
      </c>
      <c r="K239" s="18" t="inlineStr">
        <is>
          <t>D09 owns external validation.</t>
        </is>
      </c>
    </row>
    <row r="240">
      <c r="A240" s="18" t="inlineStr">
        <is>
          <t>CD13</t>
        </is>
      </c>
      <c r="B240" s="18" t="inlineStr">
        <is>
          <t>D06</t>
        </is>
      </c>
      <c r="C240" s="18" t="inlineStr">
        <is>
          <t>I09</t>
        </is>
      </c>
      <c r="D240" s="18" t="inlineStr">
        <is>
          <t>Portfolio &amp; Capability Signalling</t>
        </is>
      </c>
      <c r="E240" s="18" t="inlineStr">
        <is>
          <t>D09</t>
        </is>
      </c>
      <c r="F240" s="18" t="inlineStr">
        <is>
          <t>I07</t>
        </is>
      </c>
      <c r="G240" s="18" t="inlineStr">
        <is>
          <t>Career Adaptability</t>
        </is>
      </c>
      <c r="H240" s="18" t="inlineStr">
        <is>
          <t>Student capability → external employability</t>
        </is>
      </c>
      <c r="I240" s="18" t="inlineStr">
        <is>
          <t>If student capability is strong but external validation/outcomes are weak, flag capability-to-career translation gap.</t>
        </is>
      </c>
      <c r="J240" s="18" t="inlineStr">
        <is>
          <t>Employability evidence review</t>
        </is>
      </c>
      <c r="K240" s="18" t="inlineStr">
        <is>
          <t>D09 owns external validation.</t>
        </is>
      </c>
    </row>
    <row r="241">
      <c r="A241" s="18" t="inlineStr">
        <is>
          <t>CD13</t>
        </is>
      </c>
      <c r="B241" s="18" t="inlineStr">
        <is>
          <t>D06</t>
        </is>
      </c>
      <c r="C241" s="18" t="inlineStr">
        <is>
          <t>I09</t>
        </is>
      </c>
      <c r="D241" s="18" t="inlineStr">
        <is>
          <t>Portfolio &amp; Capability Signalling</t>
        </is>
      </c>
      <c r="E241" s="18" t="inlineStr">
        <is>
          <t>D09</t>
        </is>
      </c>
      <c r="F241" s="18" t="inlineStr">
        <is>
          <t>I08</t>
        </is>
      </c>
      <c r="G241" s="18" t="inlineStr">
        <is>
          <t>AI-Era Employability Readiness</t>
        </is>
      </c>
      <c r="H241" s="18" t="inlineStr">
        <is>
          <t>Student capability → external employability</t>
        </is>
      </c>
      <c r="I241" s="18" t="inlineStr">
        <is>
          <t>If student capability is strong but external validation/outcomes are weak, flag capability-to-career translation gap.</t>
        </is>
      </c>
      <c r="J241" s="18" t="inlineStr">
        <is>
          <t>Employability evidence review</t>
        </is>
      </c>
      <c r="K241" s="18" t="inlineStr">
        <is>
          <t>D09 owns external validation.</t>
        </is>
      </c>
    </row>
    <row r="242">
      <c r="A242" s="18" t="inlineStr">
        <is>
          <t>CD13</t>
        </is>
      </c>
      <c r="B242" s="18" t="inlineStr">
        <is>
          <t>D06</t>
        </is>
      </c>
      <c r="C242" s="18" t="inlineStr">
        <is>
          <t>I09</t>
        </is>
      </c>
      <c r="D242" s="18" t="inlineStr">
        <is>
          <t>Portfolio &amp; Capability Signalling</t>
        </is>
      </c>
      <c r="E242" s="18" t="inlineStr">
        <is>
          <t>D09</t>
        </is>
      </c>
      <c r="F242" s="18" t="inlineStr">
        <is>
          <t>I09</t>
        </is>
      </c>
      <c r="G242" s="18" t="inlineStr">
        <is>
          <t>Capability Signalling</t>
        </is>
      </c>
      <c r="H242" s="18" t="inlineStr">
        <is>
          <t>Student capability → external employability</t>
        </is>
      </c>
      <c r="I242" s="18" t="inlineStr">
        <is>
          <t>If student capability is strong but external validation/outcomes are weak, flag capability-to-career translation gap.</t>
        </is>
      </c>
      <c r="J242" s="18" t="inlineStr">
        <is>
          <t>Employability evidence review</t>
        </is>
      </c>
      <c r="K242" s="18" t="inlineStr">
        <is>
          <t>D09 owns external validation.</t>
        </is>
      </c>
    </row>
    <row r="243">
      <c r="A243" s="18" t="inlineStr">
        <is>
          <t>CD13</t>
        </is>
      </c>
      <c r="B243" s="18" t="inlineStr">
        <is>
          <t>D06</t>
        </is>
      </c>
      <c r="C243" s="18" t="inlineStr">
        <is>
          <t>I10</t>
        </is>
      </c>
      <c r="D243" s="18" t="inlineStr">
        <is>
          <t>Problem Solving &amp; Transfer</t>
        </is>
      </c>
      <c r="E243" s="18" t="inlineStr">
        <is>
          <t>D09</t>
        </is>
      </c>
      <c r="F243" s="18" t="inlineStr">
        <is>
          <t>I05</t>
        </is>
      </c>
      <c r="G243" s="18" t="inlineStr">
        <is>
          <t>Recruiter Confidence</t>
        </is>
      </c>
      <c r="H243" s="18" t="inlineStr">
        <is>
          <t>Student capability → external employability</t>
        </is>
      </c>
      <c r="I243" s="18" t="inlineStr">
        <is>
          <t>If student capability is strong but external validation/outcomes are weak, flag capability-to-career translation gap.</t>
        </is>
      </c>
      <c r="J243" s="18" t="inlineStr">
        <is>
          <t>Employability evidence review</t>
        </is>
      </c>
      <c r="K243" s="18" t="inlineStr">
        <is>
          <t>D09 owns external validation.</t>
        </is>
      </c>
    </row>
    <row r="244">
      <c r="A244" s="18" t="inlineStr">
        <is>
          <t>CD13</t>
        </is>
      </c>
      <c r="B244" s="18" t="inlineStr">
        <is>
          <t>D06</t>
        </is>
      </c>
      <c r="C244" s="18" t="inlineStr">
        <is>
          <t>I10</t>
        </is>
      </c>
      <c r="D244" s="18" t="inlineStr">
        <is>
          <t>Problem Solving &amp; Transfer</t>
        </is>
      </c>
      <c r="E244" s="18" t="inlineStr">
        <is>
          <t>D09</t>
        </is>
      </c>
      <c r="F244" s="18" t="inlineStr">
        <is>
          <t>I06</t>
        </is>
      </c>
      <c r="G244" s="18" t="inlineStr">
        <is>
          <t>Placement Outcome Quality</t>
        </is>
      </c>
      <c r="H244" s="18" t="inlineStr">
        <is>
          <t>Student capability → external employability</t>
        </is>
      </c>
      <c r="I244" s="18" t="inlineStr">
        <is>
          <t>If student capability is strong but external validation/outcomes are weak, flag capability-to-career translation gap.</t>
        </is>
      </c>
      <c r="J244" s="18" t="inlineStr">
        <is>
          <t>Employability evidence review</t>
        </is>
      </c>
      <c r="K244" s="18" t="inlineStr">
        <is>
          <t>D09 owns external validation.</t>
        </is>
      </c>
    </row>
    <row r="245">
      <c r="A245" s="18" t="inlineStr">
        <is>
          <t>CD13</t>
        </is>
      </c>
      <c r="B245" s="18" t="inlineStr">
        <is>
          <t>D06</t>
        </is>
      </c>
      <c r="C245" s="18" t="inlineStr">
        <is>
          <t>I10</t>
        </is>
      </c>
      <c r="D245" s="18" t="inlineStr">
        <is>
          <t>Problem Solving &amp; Transfer</t>
        </is>
      </c>
      <c r="E245" s="18" t="inlineStr">
        <is>
          <t>D09</t>
        </is>
      </c>
      <c r="F245" s="18" t="inlineStr">
        <is>
          <t>I07</t>
        </is>
      </c>
      <c r="G245" s="18" t="inlineStr">
        <is>
          <t>Career Adaptability</t>
        </is>
      </c>
      <c r="H245" s="18" t="inlineStr">
        <is>
          <t>Student capability → external employability</t>
        </is>
      </c>
      <c r="I245" s="18" t="inlineStr">
        <is>
          <t>If student capability is strong but external validation/outcomes are weak, flag capability-to-career translation gap.</t>
        </is>
      </c>
      <c r="J245" s="18" t="inlineStr">
        <is>
          <t>Employability evidence review</t>
        </is>
      </c>
      <c r="K245" s="18" t="inlineStr">
        <is>
          <t>D09 owns external validation.</t>
        </is>
      </c>
    </row>
    <row r="246">
      <c r="A246" s="18" t="inlineStr">
        <is>
          <t>CD13</t>
        </is>
      </c>
      <c r="B246" s="18" t="inlineStr">
        <is>
          <t>D06</t>
        </is>
      </c>
      <c r="C246" s="18" t="inlineStr">
        <is>
          <t>I10</t>
        </is>
      </c>
      <c r="D246" s="18" t="inlineStr">
        <is>
          <t>Problem Solving &amp; Transfer</t>
        </is>
      </c>
      <c r="E246" s="18" t="inlineStr">
        <is>
          <t>D09</t>
        </is>
      </c>
      <c r="F246" s="18" t="inlineStr">
        <is>
          <t>I08</t>
        </is>
      </c>
      <c r="G246" s="18" t="inlineStr">
        <is>
          <t>AI-Era Employability Readiness</t>
        </is>
      </c>
      <c r="H246" s="18" t="inlineStr">
        <is>
          <t>Student capability → external employability</t>
        </is>
      </c>
      <c r="I246" s="18" t="inlineStr">
        <is>
          <t>If student capability is strong but external validation/outcomes are weak, flag capability-to-career translation gap.</t>
        </is>
      </c>
      <c r="J246" s="18" t="inlineStr">
        <is>
          <t>Employability evidence review</t>
        </is>
      </c>
      <c r="K246" s="18" t="inlineStr">
        <is>
          <t>D09 owns external validation.</t>
        </is>
      </c>
    </row>
    <row r="247">
      <c r="A247" s="18" t="inlineStr">
        <is>
          <t>CD13</t>
        </is>
      </c>
      <c r="B247" s="18" t="inlineStr">
        <is>
          <t>D06</t>
        </is>
      </c>
      <c r="C247" s="18" t="inlineStr">
        <is>
          <t>I10</t>
        </is>
      </c>
      <c r="D247" s="18" t="inlineStr">
        <is>
          <t>Problem Solving &amp; Transfer</t>
        </is>
      </c>
      <c r="E247" s="18" t="inlineStr">
        <is>
          <t>D09</t>
        </is>
      </c>
      <c r="F247" s="18" t="inlineStr">
        <is>
          <t>I09</t>
        </is>
      </c>
      <c r="G247" s="18" t="inlineStr">
        <is>
          <t>Capability Signalling</t>
        </is>
      </c>
      <c r="H247" s="18" t="inlineStr">
        <is>
          <t>Student capability → external employability</t>
        </is>
      </c>
      <c r="I247" s="18" t="inlineStr">
        <is>
          <t>If student capability is strong but external validation/outcomes are weak, flag capability-to-career translation gap.</t>
        </is>
      </c>
      <c r="J247" s="18" t="inlineStr">
        <is>
          <t>Employability evidence review</t>
        </is>
      </c>
      <c r="K247" s="18" t="inlineStr">
        <is>
          <t>D09 owns external validation.</t>
        </is>
      </c>
    </row>
    <row r="248">
      <c r="A248" s="18" t="inlineStr">
        <is>
          <t>CD13</t>
        </is>
      </c>
      <c r="B248" s="18" t="inlineStr">
        <is>
          <t>D06</t>
        </is>
      </c>
      <c r="C248" s="18" t="inlineStr">
        <is>
          <t>I11</t>
        </is>
      </c>
      <c r="D248" s="18" t="inlineStr">
        <is>
          <t>Creator &amp; Entrepreneurial Agency</t>
        </is>
      </c>
      <c r="E248" s="18" t="inlineStr">
        <is>
          <t>D09</t>
        </is>
      </c>
      <c r="F248" s="18" t="inlineStr">
        <is>
          <t>I05</t>
        </is>
      </c>
      <c r="G248" s="18" t="inlineStr">
        <is>
          <t>Recruiter Confidence</t>
        </is>
      </c>
      <c r="H248" s="18" t="inlineStr">
        <is>
          <t>Student capability → external employability</t>
        </is>
      </c>
      <c r="I248" s="18" t="inlineStr">
        <is>
          <t>If student capability is strong but external validation/outcomes are weak, flag capability-to-career translation gap.</t>
        </is>
      </c>
      <c r="J248" s="18" t="inlineStr">
        <is>
          <t>Employability evidence review</t>
        </is>
      </c>
      <c r="K248" s="18" t="inlineStr">
        <is>
          <t>D09 owns external validation.</t>
        </is>
      </c>
    </row>
    <row r="249">
      <c r="A249" s="18" t="inlineStr">
        <is>
          <t>CD13</t>
        </is>
      </c>
      <c r="B249" s="18" t="inlineStr">
        <is>
          <t>D06</t>
        </is>
      </c>
      <c r="C249" s="18" t="inlineStr">
        <is>
          <t>I11</t>
        </is>
      </c>
      <c r="D249" s="18" t="inlineStr">
        <is>
          <t>Creator &amp; Entrepreneurial Agency</t>
        </is>
      </c>
      <c r="E249" s="18" t="inlineStr">
        <is>
          <t>D09</t>
        </is>
      </c>
      <c r="F249" s="18" t="inlineStr">
        <is>
          <t>I06</t>
        </is>
      </c>
      <c r="G249" s="18" t="inlineStr">
        <is>
          <t>Placement Outcome Quality</t>
        </is>
      </c>
      <c r="H249" s="18" t="inlineStr">
        <is>
          <t>Student capability → external employability</t>
        </is>
      </c>
      <c r="I249" s="18" t="inlineStr">
        <is>
          <t>If student capability is strong but external validation/outcomes are weak, flag capability-to-career translation gap.</t>
        </is>
      </c>
      <c r="J249" s="18" t="inlineStr">
        <is>
          <t>Employability evidence review</t>
        </is>
      </c>
      <c r="K249" s="18" t="inlineStr">
        <is>
          <t>D09 owns external validation.</t>
        </is>
      </c>
    </row>
    <row r="250">
      <c r="A250" s="18" t="inlineStr">
        <is>
          <t>CD13</t>
        </is>
      </c>
      <c r="B250" s="18" t="inlineStr">
        <is>
          <t>D06</t>
        </is>
      </c>
      <c r="C250" s="18" t="inlineStr">
        <is>
          <t>I11</t>
        </is>
      </c>
      <c r="D250" s="18" t="inlineStr">
        <is>
          <t>Creator &amp; Entrepreneurial Agency</t>
        </is>
      </c>
      <c r="E250" s="18" t="inlineStr">
        <is>
          <t>D09</t>
        </is>
      </c>
      <c r="F250" s="18" t="inlineStr">
        <is>
          <t>I07</t>
        </is>
      </c>
      <c r="G250" s="18" t="inlineStr">
        <is>
          <t>Career Adaptability</t>
        </is>
      </c>
      <c r="H250" s="18" t="inlineStr">
        <is>
          <t>Student capability → external employability</t>
        </is>
      </c>
      <c r="I250" s="18" t="inlineStr">
        <is>
          <t>If student capability is strong but external validation/outcomes are weak, flag capability-to-career translation gap.</t>
        </is>
      </c>
      <c r="J250" s="18" t="inlineStr">
        <is>
          <t>Employability evidence review</t>
        </is>
      </c>
      <c r="K250" s="18" t="inlineStr">
        <is>
          <t>D09 owns external validation.</t>
        </is>
      </c>
    </row>
    <row r="251">
      <c r="A251" s="18" t="inlineStr">
        <is>
          <t>CD13</t>
        </is>
      </c>
      <c r="B251" s="18" t="inlineStr">
        <is>
          <t>D06</t>
        </is>
      </c>
      <c r="C251" s="18" t="inlineStr">
        <is>
          <t>I11</t>
        </is>
      </c>
      <c r="D251" s="18" t="inlineStr">
        <is>
          <t>Creator &amp; Entrepreneurial Agency</t>
        </is>
      </c>
      <c r="E251" s="18" t="inlineStr">
        <is>
          <t>D09</t>
        </is>
      </c>
      <c r="F251" s="18" t="inlineStr">
        <is>
          <t>I08</t>
        </is>
      </c>
      <c r="G251" s="18" t="inlineStr">
        <is>
          <t>AI-Era Employability Readiness</t>
        </is>
      </c>
      <c r="H251" s="18" t="inlineStr">
        <is>
          <t>Student capability → external employability</t>
        </is>
      </c>
      <c r="I251" s="18" t="inlineStr">
        <is>
          <t>If student capability is strong but external validation/outcomes are weak, flag capability-to-career translation gap.</t>
        </is>
      </c>
      <c r="J251" s="18" t="inlineStr">
        <is>
          <t>Employability evidence review</t>
        </is>
      </c>
      <c r="K251" s="18" t="inlineStr">
        <is>
          <t>D09 owns external validation.</t>
        </is>
      </c>
    </row>
    <row r="252">
      <c r="A252" s="18" t="inlineStr">
        <is>
          <t>CD13</t>
        </is>
      </c>
      <c r="B252" s="18" t="inlineStr">
        <is>
          <t>D06</t>
        </is>
      </c>
      <c r="C252" s="18" t="inlineStr">
        <is>
          <t>I11</t>
        </is>
      </c>
      <c r="D252" s="18" t="inlineStr">
        <is>
          <t>Creator &amp; Entrepreneurial Agency</t>
        </is>
      </c>
      <c r="E252" s="18" t="inlineStr">
        <is>
          <t>D09</t>
        </is>
      </c>
      <c r="F252" s="18" t="inlineStr">
        <is>
          <t>I09</t>
        </is>
      </c>
      <c r="G252" s="18" t="inlineStr">
        <is>
          <t>Capability Signalling</t>
        </is>
      </c>
      <c r="H252" s="18" t="inlineStr">
        <is>
          <t>Student capability → external employability</t>
        </is>
      </c>
      <c r="I252" s="18" t="inlineStr">
        <is>
          <t>If student capability is strong but external validation/outcomes are weak, flag capability-to-career translation gap.</t>
        </is>
      </c>
      <c r="J252" s="18" t="inlineStr">
        <is>
          <t>Employability evidence review</t>
        </is>
      </c>
      <c r="K252" s="18" t="inlineStr">
        <is>
          <t>D09 owns external validation.</t>
        </is>
      </c>
    </row>
    <row r="253">
      <c r="A253" s="18" t="inlineStr">
        <is>
          <t>CD14</t>
        </is>
      </c>
      <c r="B253" s="18" t="inlineStr">
        <is>
          <t>D07</t>
        </is>
      </c>
      <c r="C253" s="18" t="inlineStr">
        <is>
          <t>I07</t>
        </is>
      </c>
      <c r="D253" s="18" t="inlineStr">
        <is>
          <t>Evidence of Learning</t>
        </is>
      </c>
      <c r="E253" s="18" t="inlineStr">
        <is>
          <t>D08</t>
        </is>
      </c>
      <c r="F253" s="18" t="inlineStr">
        <is>
          <t>I02</t>
        </is>
      </c>
      <c r="G253" s="18" t="inlineStr">
        <is>
          <t>Institutional Data Architecture</t>
        </is>
      </c>
      <c r="H253" s="18" t="inlineStr">
        <is>
          <t>Assessment evidence → data infrastructure</t>
        </is>
      </c>
      <c r="I253" s="18" t="inlineStr">
        <is>
          <t>If assessment evidence analytics are claimed but data quality/interoperability/intelligence are weak, flag evidence infrastructure gap.</t>
        </is>
      </c>
      <c r="J253" s="18" t="inlineStr">
        <is>
          <t>Data/evidence architecture review</t>
        </is>
      </c>
      <c r="K253" s="18" t="inlineStr">
        <is>
          <t>Data capability is an enabler, not assessment quality itself.</t>
        </is>
      </c>
    </row>
    <row r="254">
      <c r="A254" s="18" t="inlineStr">
        <is>
          <t>CD14</t>
        </is>
      </c>
      <c r="B254" s="18" t="inlineStr">
        <is>
          <t>D07</t>
        </is>
      </c>
      <c r="C254" s="18" t="inlineStr">
        <is>
          <t>I07</t>
        </is>
      </c>
      <c r="D254" s="18" t="inlineStr">
        <is>
          <t>Evidence of Learning</t>
        </is>
      </c>
      <c r="E254" s="18" t="inlineStr">
        <is>
          <t>D08</t>
        </is>
      </c>
      <c r="F254" s="18" t="inlineStr">
        <is>
          <t>I03</t>
        </is>
      </c>
      <c r="G254" s="18" t="inlineStr">
        <is>
          <t>Data Quality &amp; Integrity</t>
        </is>
      </c>
      <c r="H254" s="18" t="inlineStr">
        <is>
          <t>Assessment evidence → data infrastructure</t>
        </is>
      </c>
      <c r="I254" s="18" t="inlineStr">
        <is>
          <t>If assessment evidence analytics are claimed but data quality/interoperability/intelligence are weak, flag evidence infrastructure gap.</t>
        </is>
      </c>
      <c r="J254" s="18" t="inlineStr">
        <is>
          <t>Data/evidence architecture review</t>
        </is>
      </c>
      <c r="K254" s="18" t="inlineStr">
        <is>
          <t>Data capability is an enabler, not assessment quality itself.</t>
        </is>
      </c>
    </row>
    <row r="255">
      <c r="A255" s="18" t="inlineStr">
        <is>
          <t>CD14</t>
        </is>
      </c>
      <c r="B255" s="18" t="inlineStr">
        <is>
          <t>D07</t>
        </is>
      </c>
      <c r="C255" s="18" t="inlineStr">
        <is>
          <t>I07</t>
        </is>
      </c>
      <c r="D255" s="18" t="inlineStr">
        <is>
          <t>Evidence of Learning</t>
        </is>
      </c>
      <c r="E255" s="18" t="inlineStr">
        <is>
          <t>D08</t>
        </is>
      </c>
      <c r="F255" s="18" t="inlineStr">
        <is>
          <t>I04</t>
        </is>
      </c>
      <c r="G255" s="18" t="inlineStr">
        <is>
          <t>System Interoperability</t>
        </is>
      </c>
      <c r="H255" s="18" t="inlineStr">
        <is>
          <t>Assessment evidence → data infrastructure</t>
        </is>
      </c>
      <c r="I255" s="18" t="inlineStr">
        <is>
          <t>If assessment evidence analytics are claimed but data quality/interoperability/intelligence are weak, flag evidence infrastructure gap.</t>
        </is>
      </c>
      <c r="J255" s="18" t="inlineStr">
        <is>
          <t>Data/evidence architecture review</t>
        </is>
      </c>
      <c r="K255" s="18" t="inlineStr">
        <is>
          <t>Data capability is an enabler, not assessment quality itself.</t>
        </is>
      </c>
    </row>
    <row r="256">
      <c r="A256" s="18" t="inlineStr">
        <is>
          <t>CD14</t>
        </is>
      </c>
      <c r="B256" s="18" t="inlineStr">
        <is>
          <t>D07</t>
        </is>
      </c>
      <c r="C256" s="18" t="inlineStr">
        <is>
          <t>I07</t>
        </is>
      </c>
      <c r="D256" s="18" t="inlineStr">
        <is>
          <t>Evidence of Learning</t>
        </is>
      </c>
      <c r="E256" s="18" t="inlineStr">
        <is>
          <t>D08</t>
        </is>
      </c>
      <c r="F256" s="18" t="inlineStr">
        <is>
          <t>I05</t>
        </is>
      </c>
      <c r="G256" s="18" t="inlineStr">
        <is>
          <t>Decision Intelligence</t>
        </is>
      </c>
      <c r="H256" s="18" t="inlineStr">
        <is>
          <t>Assessment evidence → data infrastructure</t>
        </is>
      </c>
      <c r="I256" s="18" t="inlineStr">
        <is>
          <t>If assessment evidence analytics are claimed but data quality/interoperability/intelligence are weak, flag evidence infrastructure gap.</t>
        </is>
      </c>
      <c r="J256" s="18" t="inlineStr">
        <is>
          <t>Data/evidence architecture review</t>
        </is>
      </c>
      <c r="K256" s="18" t="inlineStr">
        <is>
          <t>Data capability is an enabler, not assessment quality itself.</t>
        </is>
      </c>
    </row>
    <row r="257">
      <c r="A257" s="18" t="inlineStr">
        <is>
          <t>CD14</t>
        </is>
      </c>
      <c r="B257" s="18" t="inlineStr">
        <is>
          <t>D07</t>
        </is>
      </c>
      <c r="C257" s="18" t="inlineStr">
        <is>
          <t>I07</t>
        </is>
      </c>
      <c r="D257" s="18" t="inlineStr">
        <is>
          <t>Evidence of Learning</t>
        </is>
      </c>
      <c r="E257" s="18" t="inlineStr">
        <is>
          <t>D08</t>
        </is>
      </c>
      <c r="F257" s="18" t="inlineStr">
        <is>
          <t>I12</t>
        </is>
      </c>
      <c r="G257" s="18" t="inlineStr">
        <is>
          <t>Institutional Intelligence Capability</t>
        </is>
      </c>
      <c r="H257" s="18" t="inlineStr">
        <is>
          <t>Assessment evidence → data infrastructure</t>
        </is>
      </c>
      <c r="I257" s="18" t="inlineStr">
        <is>
          <t>If assessment evidence analytics are claimed but data quality/interoperability/intelligence are weak, flag evidence infrastructure gap.</t>
        </is>
      </c>
      <c r="J257" s="18" t="inlineStr">
        <is>
          <t>Data/evidence architecture review</t>
        </is>
      </c>
      <c r="K257" s="18" t="inlineStr">
        <is>
          <t>Data capability is an enabler, not assessment quality itself.</t>
        </is>
      </c>
    </row>
    <row r="258">
      <c r="A258" s="18" t="inlineStr">
        <is>
          <t>CD14</t>
        </is>
      </c>
      <c r="B258" s="18" t="inlineStr">
        <is>
          <t>D07</t>
        </is>
      </c>
      <c r="C258" s="18" t="inlineStr">
        <is>
          <t>I08</t>
        </is>
      </c>
      <c r="D258" s="18" t="inlineStr">
        <is>
          <t>Capability Outcome Measurement</t>
        </is>
      </c>
      <c r="E258" s="18" t="inlineStr">
        <is>
          <t>D08</t>
        </is>
      </c>
      <c r="F258" s="18" t="inlineStr">
        <is>
          <t>I02</t>
        </is>
      </c>
      <c r="G258" s="18" t="inlineStr">
        <is>
          <t>Institutional Data Architecture</t>
        </is>
      </c>
      <c r="H258" s="18" t="inlineStr">
        <is>
          <t>Assessment evidence → data infrastructure</t>
        </is>
      </c>
      <c r="I258" s="18" t="inlineStr">
        <is>
          <t>If assessment evidence analytics are claimed but data quality/interoperability/intelligence are weak, flag evidence infrastructure gap.</t>
        </is>
      </c>
      <c r="J258" s="18" t="inlineStr">
        <is>
          <t>Data/evidence architecture review</t>
        </is>
      </c>
      <c r="K258" s="18" t="inlineStr">
        <is>
          <t>Data capability is an enabler, not assessment quality itself.</t>
        </is>
      </c>
    </row>
    <row r="259">
      <c r="A259" s="18" t="inlineStr">
        <is>
          <t>CD14</t>
        </is>
      </c>
      <c r="B259" s="18" t="inlineStr">
        <is>
          <t>D07</t>
        </is>
      </c>
      <c r="C259" s="18" t="inlineStr">
        <is>
          <t>I08</t>
        </is>
      </c>
      <c r="D259" s="18" t="inlineStr">
        <is>
          <t>Capability Outcome Measurement</t>
        </is>
      </c>
      <c r="E259" s="18" t="inlineStr">
        <is>
          <t>D08</t>
        </is>
      </c>
      <c r="F259" s="18" t="inlineStr">
        <is>
          <t>I03</t>
        </is>
      </c>
      <c r="G259" s="18" t="inlineStr">
        <is>
          <t>Data Quality &amp; Integrity</t>
        </is>
      </c>
      <c r="H259" s="18" t="inlineStr">
        <is>
          <t>Assessment evidence → data infrastructure</t>
        </is>
      </c>
      <c r="I259" s="18" t="inlineStr">
        <is>
          <t>If assessment evidence analytics are claimed but data quality/interoperability/intelligence are weak, flag evidence infrastructure gap.</t>
        </is>
      </c>
      <c r="J259" s="18" t="inlineStr">
        <is>
          <t>Data/evidence architecture review</t>
        </is>
      </c>
      <c r="K259" s="18" t="inlineStr">
        <is>
          <t>Data capability is an enabler, not assessment quality itself.</t>
        </is>
      </c>
    </row>
    <row r="260">
      <c r="A260" s="18" t="inlineStr">
        <is>
          <t>CD14</t>
        </is>
      </c>
      <c r="B260" s="18" t="inlineStr">
        <is>
          <t>D07</t>
        </is>
      </c>
      <c r="C260" s="18" t="inlineStr">
        <is>
          <t>I08</t>
        </is>
      </c>
      <c r="D260" s="18" t="inlineStr">
        <is>
          <t>Capability Outcome Measurement</t>
        </is>
      </c>
      <c r="E260" s="18" t="inlineStr">
        <is>
          <t>D08</t>
        </is>
      </c>
      <c r="F260" s="18" t="inlineStr">
        <is>
          <t>I04</t>
        </is>
      </c>
      <c r="G260" s="18" t="inlineStr">
        <is>
          <t>System Interoperability</t>
        </is>
      </c>
      <c r="H260" s="18" t="inlineStr">
        <is>
          <t>Assessment evidence → data infrastructure</t>
        </is>
      </c>
      <c r="I260" s="18" t="inlineStr">
        <is>
          <t>If assessment evidence analytics are claimed but data quality/interoperability/intelligence are weak, flag evidence infrastructure gap.</t>
        </is>
      </c>
      <c r="J260" s="18" t="inlineStr">
        <is>
          <t>Data/evidence architecture review</t>
        </is>
      </c>
      <c r="K260" s="18" t="inlineStr">
        <is>
          <t>Data capability is an enabler, not assessment quality itself.</t>
        </is>
      </c>
    </row>
    <row r="261">
      <c r="A261" s="18" t="inlineStr">
        <is>
          <t>CD14</t>
        </is>
      </c>
      <c r="B261" s="18" t="inlineStr">
        <is>
          <t>D07</t>
        </is>
      </c>
      <c r="C261" s="18" t="inlineStr">
        <is>
          <t>I08</t>
        </is>
      </c>
      <c r="D261" s="18" t="inlineStr">
        <is>
          <t>Capability Outcome Measurement</t>
        </is>
      </c>
      <c r="E261" s="18" t="inlineStr">
        <is>
          <t>D08</t>
        </is>
      </c>
      <c r="F261" s="18" t="inlineStr">
        <is>
          <t>I05</t>
        </is>
      </c>
      <c r="G261" s="18" t="inlineStr">
        <is>
          <t>Decision Intelligence</t>
        </is>
      </c>
      <c r="H261" s="18" t="inlineStr">
        <is>
          <t>Assessment evidence → data infrastructure</t>
        </is>
      </c>
      <c r="I261" s="18" t="inlineStr">
        <is>
          <t>If assessment evidence analytics are claimed but data quality/interoperability/intelligence are weak, flag evidence infrastructure gap.</t>
        </is>
      </c>
      <c r="J261" s="18" t="inlineStr">
        <is>
          <t>Data/evidence architecture review</t>
        </is>
      </c>
      <c r="K261" s="18" t="inlineStr">
        <is>
          <t>Data capability is an enabler, not assessment quality itself.</t>
        </is>
      </c>
    </row>
    <row r="262">
      <c r="A262" s="18" t="inlineStr">
        <is>
          <t>CD14</t>
        </is>
      </c>
      <c r="B262" s="18" t="inlineStr">
        <is>
          <t>D07</t>
        </is>
      </c>
      <c r="C262" s="18" t="inlineStr">
        <is>
          <t>I08</t>
        </is>
      </c>
      <c r="D262" s="18" t="inlineStr">
        <is>
          <t>Capability Outcome Measurement</t>
        </is>
      </c>
      <c r="E262" s="18" t="inlineStr">
        <is>
          <t>D08</t>
        </is>
      </c>
      <c r="F262" s="18" t="inlineStr">
        <is>
          <t>I12</t>
        </is>
      </c>
      <c r="G262" s="18" t="inlineStr">
        <is>
          <t>Institutional Intelligence Capability</t>
        </is>
      </c>
      <c r="H262" s="18" t="inlineStr">
        <is>
          <t>Assessment evidence → data infrastructure</t>
        </is>
      </c>
      <c r="I262" s="18" t="inlineStr">
        <is>
          <t>If assessment evidence analytics are claimed but data quality/interoperability/intelligence are weak, flag evidence infrastructure gap.</t>
        </is>
      </c>
      <c r="J262" s="18" t="inlineStr">
        <is>
          <t>Data/evidence architecture review</t>
        </is>
      </c>
      <c r="K262" s="18" t="inlineStr">
        <is>
          <t>Data capability is an enabler, not assessment quality itself.</t>
        </is>
      </c>
    </row>
    <row r="263">
      <c r="A263" s="18" t="inlineStr">
        <is>
          <t>CD14</t>
        </is>
      </c>
      <c r="B263" s="18" t="inlineStr">
        <is>
          <t>D07</t>
        </is>
      </c>
      <c r="C263" s="18" t="inlineStr">
        <is>
          <t>I12</t>
        </is>
      </c>
      <c r="D263" s="18" t="inlineStr">
        <is>
          <t>Learning Evidence Analytics</t>
        </is>
      </c>
      <c r="E263" s="18" t="inlineStr">
        <is>
          <t>D08</t>
        </is>
      </c>
      <c r="F263" s="18" t="inlineStr">
        <is>
          <t>I02</t>
        </is>
      </c>
      <c r="G263" s="18" t="inlineStr">
        <is>
          <t>Institutional Data Architecture</t>
        </is>
      </c>
      <c r="H263" s="18" t="inlineStr">
        <is>
          <t>Assessment evidence → data infrastructure</t>
        </is>
      </c>
      <c r="I263" s="18" t="inlineStr">
        <is>
          <t>If assessment evidence analytics are claimed but data quality/interoperability/intelligence are weak, flag evidence infrastructure gap.</t>
        </is>
      </c>
      <c r="J263" s="18" t="inlineStr">
        <is>
          <t>Data/evidence architecture review</t>
        </is>
      </c>
      <c r="K263" s="18" t="inlineStr">
        <is>
          <t>Data capability is an enabler, not assessment quality itself.</t>
        </is>
      </c>
    </row>
    <row r="264">
      <c r="A264" s="18" t="inlineStr">
        <is>
          <t>CD14</t>
        </is>
      </c>
      <c r="B264" s="18" t="inlineStr">
        <is>
          <t>D07</t>
        </is>
      </c>
      <c r="C264" s="18" t="inlineStr">
        <is>
          <t>I12</t>
        </is>
      </c>
      <c r="D264" s="18" t="inlineStr">
        <is>
          <t>Learning Evidence Analytics</t>
        </is>
      </c>
      <c r="E264" s="18" t="inlineStr">
        <is>
          <t>D08</t>
        </is>
      </c>
      <c r="F264" s="18" t="inlineStr">
        <is>
          <t>I03</t>
        </is>
      </c>
      <c r="G264" s="18" t="inlineStr">
        <is>
          <t>Data Quality &amp; Integrity</t>
        </is>
      </c>
      <c r="H264" s="18" t="inlineStr">
        <is>
          <t>Assessment evidence → data infrastructure</t>
        </is>
      </c>
      <c r="I264" s="18" t="inlineStr">
        <is>
          <t>If assessment evidence analytics are claimed but data quality/interoperability/intelligence are weak, flag evidence infrastructure gap.</t>
        </is>
      </c>
      <c r="J264" s="18" t="inlineStr">
        <is>
          <t>Data/evidence architecture review</t>
        </is>
      </c>
      <c r="K264" s="18" t="inlineStr">
        <is>
          <t>Data capability is an enabler, not assessment quality itself.</t>
        </is>
      </c>
    </row>
    <row r="265">
      <c r="A265" s="18" t="inlineStr">
        <is>
          <t>CD14</t>
        </is>
      </c>
      <c r="B265" s="18" t="inlineStr">
        <is>
          <t>D07</t>
        </is>
      </c>
      <c r="C265" s="18" t="inlineStr">
        <is>
          <t>I12</t>
        </is>
      </c>
      <c r="D265" s="18" t="inlineStr">
        <is>
          <t>Learning Evidence Analytics</t>
        </is>
      </c>
      <c r="E265" s="18" t="inlineStr">
        <is>
          <t>D08</t>
        </is>
      </c>
      <c r="F265" s="18" t="inlineStr">
        <is>
          <t>I04</t>
        </is>
      </c>
      <c r="G265" s="18" t="inlineStr">
        <is>
          <t>System Interoperability</t>
        </is>
      </c>
      <c r="H265" s="18" t="inlineStr">
        <is>
          <t>Assessment evidence → data infrastructure</t>
        </is>
      </c>
      <c r="I265" s="18" t="inlineStr">
        <is>
          <t>If assessment evidence analytics are claimed but data quality/interoperability/intelligence are weak, flag evidence infrastructure gap.</t>
        </is>
      </c>
      <c r="J265" s="18" t="inlineStr">
        <is>
          <t>Data/evidence architecture review</t>
        </is>
      </c>
      <c r="K265" s="18" t="inlineStr">
        <is>
          <t>Data capability is an enabler, not assessment quality itself.</t>
        </is>
      </c>
    </row>
    <row r="266">
      <c r="A266" s="18" t="inlineStr">
        <is>
          <t>CD14</t>
        </is>
      </c>
      <c r="B266" s="18" t="inlineStr">
        <is>
          <t>D07</t>
        </is>
      </c>
      <c r="C266" s="18" t="inlineStr">
        <is>
          <t>I12</t>
        </is>
      </c>
      <c r="D266" s="18" t="inlineStr">
        <is>
          <t>Learning Evidence Analytics</t>
        </is>
      </c>
      <c r="E266" s="18" t="inlineStr">
        <is>
          <t>D08</t>
        </is>
      </c>
      <c r="F266" s="18" t="inlineStr">
        <is>
          <t>I05</t>
        </is>
      </c>
      <c r="G266" s="18" t="inlineStr">
        <is>
          <t>Decision Intelligence</t>
        </is>
      </c>
      <c r="H266" s="18" t="inlineStr">
        <is>
          <t>Assessment evidence → data infrastructure</t>
        </is>
      </c>
      <c r="I266" s="18" t="inlineStr">
        <is>
          <t>If assessment evidence analytics are claimed but data quality/interoperability/intelligence are weak, flag evidence infrastructure gap.</t>
        </is>
      </c>
      <c r="J266" s="18" t="inlineStr">
        <is>
          <t>Data/evidence architecture review</t>
        </is>
      </c>
      <c r="K266" s="18" t="inlineStr">
        <is>
          <t>Data capability is an enabler, not assessment quality itself.</t>
        </is>
      </c>
    </row>
    <row r="267">
      <c r="A267" s="18" t="inlineStr">
        <is>
          <t>CD14</t>
        </is>
      </c>
      <c r="B267" s="18" t="inlineStr">
        <is>
          <t>D07</t>
        </is>
      </c>
      <c r="C267" s="18" t="inlineStr">
        <is>
          <t>I12</t>
        </is>
      </c>
      <c r="D267" s="18" t="inlineStr">
        <is>
          <t>Learning Evidence Analytics</t>
        </is>
      </c>
      <c r="E267" s="18" t="inlineStr">
        <is>
          <t>D08</t>
        </is>
      </c>
      <c r="F267" s="18" t="inlineStr">
        <is>
          <t>I12</t>
        </is>
      </c>
      <c r="G267" s="18" t="inlineStr">
        <is>
          <t>Institutional Intelligence Capability</t>
        </is>
      </c>
      <c r="H267" s="18" t="inlineStr">
        <is>
          <t>Assessment evidence → data infrastructure</t>
        </is>
      </c>
      <c r="I267" s="18" t="inlineStr">
        <is>
          <t>If assessment evidence analytics are claimed but data quality/interoperability/intelligence are weak, flag evidence infrastructure gap.</t>
        </is>
      </c>
      <c r="J267" s="18" t="inlineStr">
        <is>
          <t>Data/evidence architecture review</t>
        </is>
      </c>
      <c r="K267" s="18" t="inlineStr">
        <is>
          <t>Data capability is an enabler, not assessment quality itself.</t>
        </is>
      </c>
    </row>
    <row r="268">
      <c r="A268" s="18" t="inlineStr">
        <is>
          <t>CD15</t>
        </is>
      </c>
      <c r="B268" s="18" t="inlineStr">
        <is>
          <t>D08</t>
        </is>
      </c>
      <c r="C268" s="18" t="inlineStr">
        <is>
          <t>I05</t>
        </is>
      </c>
      <c r="D268" s="18" t="inlineStr">
        <is>
          <t>Decision Intelligence</t>
        </is>
      </c>
      <c r="E268" s="18" t="inlineStr">
        <is>
          <t>D09</t>
        </is>
      </c>
      <c r="F268" s="18" t="inlineStr">
        <is>
          <t>I01</t>
        </is>
      </c>
      <c r="G268" s="18" t="inlineStr">
        <is>
          <t>Employer Demand Sensing</t>
        </is>
      </c>
      <c r="H268" s="18" t="inlineStr">
        <is>
          <t>Institutional intelligence → labour-market response</t>
        </is>
      </c>
      <c r="I268" s="18" t="inlineStr">
        <is>
          <t>If institutional intelligence is strong but employer signals are not translated into programme/career decisions, flag intelligence-to-relevance gap.</t>
        </is>
      </c>
      <c r="J268" s="18" t="inlineStr">
        <is>
          <t>Labour-market intelligence review</t>
        </is>
      </c>
      <c r="K268" s="18" t="inlineStr">
        <is>
          <t>D09 owns external relevance.</t>
        </is>
      </c>
    </row>
    <row r="269">
      <c r="A269" s="18" t="inlineStr">
        <is>
          <t>CD15</t>
        </is>
      </c>
      <c r="B269" s="18" t="inlineStr">
        <is>
          <t>D08</t>
        </is>
      </c>
      <c r="C269" s="18" t="inlineStr">
        <is>
          <t>I05</t>
        </is>
      </c>
      <c r="D269" s="18" t="inlineStr">
        <is>
          <t>Decision Intelligence</t>
        </is>
      </c>
      <c r="E269" s="18" t="inlineStr">
        <is>
          <t>D09</t>
        </is>
      </c>
      <c r="F269" s="18" t="inlineStr">
        <is>
          <t>I02</t>
        </is>
      </c>
      <c r="G269" s="18" t="inlineStr">
        <is>
          <t>Employability Capability Architecture</t>
        </is>
      </c>
      <c r="H269" s="18" t="inlineStr">
        <is>
          <t>Institutional intelligence → labour-market response</t>
        </is>
      </c>
      <c r="I269" s="18" t="inlineStr">
        <is>
          <t>If institutional intelligence is strong but employer signals are not translated into programme/career decisions, flag intelligence-to-relevance gap.</t>
        </is>
      </c>
      <c r="J269" s="18" t="inlineStr">
        <is>
          <t>Labour-market intelligence review</t>
        </is>
      </c>
      <c r="K269" s="18" t="inlineStr">
        <is>
          <t>D09 owns external relevance.</t>
        </is>
      </c>
    </row>
    <row r="270">
      <c r="A270" s="18" t="inlineStr">
        <is>
          <t>CD15</t>
        </is>
      </c>
      <c r="B270" s="18" t="inlineStr">
        <is>
          <t>D08</t>
        </is>
      </c>
      <c r="C270" s="18" t="inlineStr">
        <is>
          <t>I05</t>
        </is>
      </c>
      <c r="D270" s="18" t="inlineStr">
        <is>
          <t>Decision Intelligence</t>
        </is>
      </c>
      <c r="E270" s="18" t="inlineStr">
        <is>
          <t>D09</t>
        </is>
      </c>
      <c r="F270" s="18" t="inlineStr">
        <is>
          <t>I03</t>
        </is>
      </c>
      <c r="G270" s="18" t="inlineStr">
        <is>
          <t>Industry-Validated Curriculum</t>
        </is>
      </c>
      <c r="H270" s="18" t="inlineStr">
        <is>
          <t>Institutional intelligence → labour-market response</t>
        </is>
      </c>
      <c r="I270" s="18" t="inlineStr">
        <is>
          <t>If institutional intelligence is strong but employer signals are not translated into programme/career decisions, flag intelligence-to-relevance gap.</t>
        </is>
      </c>
      <c r="J270" s="18" t="inlineStr">
        <is>
          <t>Labour-market intelligence review</t>
        </is>
      </c>
      <c r="K270" s="18" t="inlineStr">
        <is>
          <t>D09 owns external relevance.</t>
        </is>
      </c>
    </row>
    <row r="271">
      <c r="A271" s="18" t="inlineStr">
        <is>
          <t>CD15</t>
        </is>
      </c>
      <c r="B271" s="18" t="inlineStr">
        <is>
          <t>D08</t>
        </is>
      </c>
      <c r="C271" s="18" t="inlineStr">
        <is>
          <t>I05</t>
        </is>
      </c>
      <c r="D271" s="18" t="inlineStr">
        <is>
          <t>Decision Intelligence</t>
        </is>
      </c>
      <c r="E271" s="18" t="inlineStr">
        <is>
          <t>D09</t>
        </is>
      </c>
      <c r="F271" s="18" t="inlineStr">
        <is>
          <t>I12</t>
        </is>
      </c>
      <c r="G271" s="18" t="inlineStr">
        <is>
          <t>Alumni Career Intelligence</t>
        </is>
      </c>
      <c r="H271" s="18" t="inlineStr">
        <is>
          <t>Institutional intelligence → labour-market response</t>
        </is>
      </c>
      <c r="I271" s="18" t="inlineStr">
        <is>
          <t>If institutional intelligence is strong but employer signals are not translated into programme/career decisions, flag intelligence-to-relevance gap.</t>
        </is>
      </c>
      <c r="J271" s="18" t="inlineStr">
        <is>
          <t>Labour-market intelligence review</t>
        </is>
      </c>
      <c r="K271" s="18" t="inlineStr">
        <is>
          <t>D09 owns external relevance.</t>
        </is>
      </c>
    </row>
    <row r="272">
      <c r="A272" s="18" t="inlineStr">
        <is>
          <t>CD15</t>
        </is>
      </c>
      <c r="B272" s="18" t="inlineStr">
        <is>
          <t>D08</t>
        </is>
      </c>
      <c r="C272" s="18" t="inlineStr">
        <is>
          <t>I12</t>
        </is>
      </c>
      <c r="D272" s="18" t="inlineStr">
        <is>
          <t>Institutional Intelligence Capability</t>
        </is>
      </c>
      <c r="E272" s="18" t="inlineStr">
        <is>
          <t>D09</t>
        </is>
      </c>
      <c r="F272" s="18" t="inlineStr">
        <is>
          <t>I01</t>
        </is>
      </c>
      <c r="G272" s="18" t="inlineStr">
        <is>
          <t>Employer Demand Sensing</t>
        </is>
      </c>
      <c r="H272" s="18" t="inlineStr">
        <is>
          <t>Institutional intelligence → labour-market response</t>
        </is>
      </c>
      <c r="I272" s="18" t="inlineStr">
        <is>
          <t>If institutional intelligence is strong but employer signals are not translated into programme/career decisions, flag intelligence-to-relevance gap.</t>
        </is>
      </c>
      <c r="J272" s="18" t="inlineStr">
        <is>
          <t>Labour-market intelligence review</t>
        </is>
      </c>
      <c r="K272" s="18" t="inlineStr">
        <is>
          <t>D09 owns external relevance.</t>
        </is>
      </c>
    </row>
    <row r="273">
      <c r="A273" s="18" t="inlineStr">
        <is>
          <t>CD15</t>
        </is>
      </c>
      <c r="B273" s="18" t="inlineStr">
        <is>
          <t>D08</t>
        </is>
      </c>
      <c r="C273" s="18" t="inlineStr">
        <is>
          <t>I12</t>
        </is>
      </c>
      <c r="D273" s="18" t="inlineStr">
        <is>
          <t>Institutional Intelligence Capability</t>
        </is>
      </c>
      <c r="E273" s="18" t="inlineStr">
        <is>
          <t>D09</t>
        </is>
      </c>
      <c r="F273" s="18" t="inlineStr">
        <is>
          <t>I02</t>
        </is>
      </c>
      <c r="G273" s="18" t="inlineStr">
        <is>
          <t>Employability Capability Architecture</t>
        </is>
      </c>
      <c r="H273" s="18" t="inlineStr">
        <is>
          <t>Institutional intelligence → labour-market response</t>
        </is>
      </c>
      <c r="I273" s="18" t="inlineStr">
        <is>
          <t>If institutional intelligence is strong but employer signals are not translated into programme/career decisions, flag intelligence-to-relevance gap.</t>
        </is>
      </c>
      <c r="J273" s="18" t="inlineStr">
        <is>
          <t>Labour-market intelligence review</t>
        </is>
      </c>
      <c r="K273" s="18" t="inlineStr">
        <is>
          <t>D09 owns external relevance.</t>
        </is>
      </c>
    </row>
    <row r="274">
      <c r="A274" s="18" t="inlineStr">
        <is>
          <t>CD15</t>
        </is>
      </c>
      <c r="B274" s="18" t="inlineStr">
        <is>
          <t>D08</t>
        </is>
      </c>
      <c r="C274" s="18" t="inlineStr">
        <is>
          <t>I12</t>
        </is>
      </c>
      <c r="D274" s="18" t="inlineStr">
        <is>
          <t>Institutional Intelligence Capability</t>
        </is>
      </c>
      <c r="E274" s="18" t="inlineStr">
        <is>
          <t>D09</t>
        </is>
      </c>
      <c r="F274" s="18" t="inlineStr">
        <is>
          <t>I03</t>
        </is>
      </c>
      <c r="G274" s="18" t="inlineStr">
        <is>
          <t>Industry-Validated Curriculum</t>
        </is>
      </c>
      <c r="H274" s="18" t="inlineStr">
        <is>
          <t>Institutional intelligence → labour-market response</t>
        </is>
      </c>
      <c r="I274" s="18" t="inlineStr">
        <is>
          <t>If institutional intelligence is strong but employer signals are not translated into programme/career decisions, flag intelligence-to-relevance gap.</t>
        </is>
      </c>
      <c r="J274" s="18" t="inlineStr">
        <is>
          <t>Labour-market intelligence review</t>
        </is>
      </c>
      <c r="K274" s="18" t="inlineStr">
        <is>
          <t>D09 owns external relevance.</t>
        </is>
      </c>
    </row>
    <row r="275">
      <c r="A275" s="18" t="inlineStr">
        <is>
          <t>CD15</t>
        </is>
      </c>
      <c r="B275" s="18" t="inlineStr">
        <is>
          <t>D08</t>
        </is>
      </c>
      <c r="C275" s="18" t="inlineStr">
        <is>
          <t>I12</t>
        </is>
      </c>
      <c r="D275" s="18" t="inlineStr">
        <is>
          <t>Institutional Intelligence Capability</t>
        </is>
      </c>
      <c r="E275" s="18" t="inlineStr">
        <is>
          <t>D09</t>
        </is>
      </c>
      <c r="F275" s="18" t="inlineStr">
        <is>
          <t>I12</t>
        </is>
      </c>
      <c r="G275" s="18" t="inlineStr">
        <is>
          <t>Alumni Career Intelligence</t>
        </is>
      </c>
      <c r="H275" s="18" t="inlineStr">
        <is>
          <t>Institutional intelligence → labour-market response</t>
        </is>
      </c>
      <c r="I275" s="18" t="inlineStr">
        <is>
          <t>If institutional intelligence is strong but employer signals are not translated into programme/career decisions, flag intelligence-to-relevance gap.</t>
        </is>
      </c>
      <c r="J275" s="18" t="inlineStr">
        <is>
          <t>Labour-market intelligence review</t>
        </is>
      </c>
      <c r="K275" s="18" t="inlineStr">
        <is>
          <t>D09 owns external relevance.</t>
        </is>
      </c>
    </row>
    <row r="276">
      <c r="A276" s="18" t="inlineStr">
        <is>
          <t>CD16</t>
        </is>
      </c>
      <c r="B276" s="18" t="inlineStr">
        <is>
          <t>D09</t>
        </is>
      </c>
      <c r="C276" s="18" t="inlineStr">
        <is>
          <t>I01</t>
        </is>
      </c>
      <c r="D276" s="18" t="inlineStr">
        <is>
          <t>Employer Demand Sensing</t>
        </is>
      </c>
      <c r="E276" s="18" t="inlineStr">
        <is>
          <t>D04</t>
        </is>
      </c>
      <c r="F276" s="18" t="inlineStr">
        <is>
          <t>I01</t>
        </is>
      </c>
      <c r="G276" s="18" t="inlineStr">
        <is>
          <t>Curriculum Sensing Maturity</t>
        </is>
      </c>
      <c r="H276" s="18" t="inlineStr">
        <is>
          <t>Employer signal → programme evolution</t>
        </is>
      </c>
      <c r="I276" s="18" t="inlineStr">
        <is>
          <t>If employer intelligence is strong but programme evolution is weak, flag signal-to-curriculum response gap.</t>
        </is>
      </c>
      <c r="J276" s="18" t="inlineStr">
        <is>
          <t>Programme portfolio review</t>
        </is>
      </c>
      <c r="K276" s="18" t="inlineStr">
        <is>
          <t>Employer signal is an input, not duplicate programme maturity.</t>
        </is>
      </c>
    </row>
    <row r="277">
      <c r="A277" s="18" t="inlineStr">
        <is>
          <t>CD16</t>
        </is>
      </c>
      <c r="B277" s="18" t="inlineStr">
        <is>
          <t>D09</t>
        </is>
      </c>
      <c r="C277" s="18" t="inlineStr">
        <is>
          <t>I01</t>
        </is>
      </c>
      <c r="D277" s="18" t="inlineStr">
        <is>
          <t>Employer Demand Sensing</t>
        </is>
      </c>
      <c r="E277" s="18" t="inlineStr">
        <is>
          <t>D04</t>
        </is>
      </c>
      <c r="F277" s="18" t="inlineStr">
        <is>
          <t>I03</t>
        </is>
      </c>
      <c r="G277" s="18" t="inlineStr">
        <is>
          <t>Programme Review Effectiveness</t>
        </is>
      </c>
      <c r="H277" s="18" t="inlineStr">
        <is>
          <t>Employer signal → programme evolution</t>
        </is>
      </c>
      <c r="I277" s="18" t="inlineStr">
        <is>
          <t>If employer intelligence is strong but programme evolution is weak, flag signal-to-curriculum response gap.</t>
        </is>
      </c>
      <c r="J277" s="18" t="inlineStr">
        <is>
          <t>Programme portfolio review</t>
        </is>
      </c>
      <c r="K277" s="18" t="inlineStr">
        <is>
          <t>Employer signal is an input, not duplicate programme maturity.</t>
        </is>
      </c>
    </row>
    <row r="278">
      <c r="A278" s="18" t="inlineStr">
        <is>
          <t>CD16</t>
        </is>
      </c>
      <c r="B278" s="18" t="inlineStr">
        <is>
          <t>D09</t>
        </is>
      </c>
      <c r="C278" s="18" t="inlineStr">
        <is>
          <t>I01</t>
        </is>
      </c>
      <c r="D278" s="18" t="inlineStr">
        <is>
          <t>Employer Demand Sensing</t>
        </is>
      </c>
      <c r="E278" s="18" t="inlineStr">
        <is>
          <t>D04</t>
        </is>
      </c>
      <c r="F278" s="18" t="inlineStr">
        <is>
          <t>I08</t>
        </is>
      </c>
      <c r="G278" s="18" t="inlineStr">
        <is>
          <t>Programme Agility</t>
        </is>
      </c>
      <c r="H278" s="18" t="inlineStr">
        <is>
          <t>Employer signal → programme evolution</t>
        </is>
      </c>
      <c r="I278" s="18" t="inlineStr">
        <is>
          <t>If employer intelligence is strong but programme evolution is weak, flag signal-to-curriculum response gap.</t>
        </is>
      </c>
      <c r="J278" s="18" t="inlineStr">
        <is>
          <t>Programme portfolio review</t>
        </is>
      </c>
      <c r="K278" s="18" t="inlineStr">
        <is>
          <t>Employer signal is an input, not duplicate programme maturity.</t>
        </is>
      </c>
    </row>
    <row r="279">
      <c r="A279" s="18" t="inlineStr">
        <is>
          <t>CD16</t>
        </is>
      </c>
      <c r="B279" s="18" t="inlineStr">
        <is>
          <t>D09</t>
        </is>
      </c>
      <c r="C279" s="18" t="inlineStr">
        <is>
          <t>I01</t>
        </is>
      </c>
      <c r="D279" s="18" t="inlineStr">
        <is>
          <t>Employer Demand Sensing</t>
        </is>
      </c>
      <c r="E279" s="18" t="inlineStr">
        <is>
          <t>D04</t>
        </is>
      </c>
      <c r="F279" s="18" t="inlineStr">
        <is>
          <t>I12</t>
        </is>
      </c>
      <c r="G279" s="18" t="inlineStr">
        <is>
          <t>Portfolio Foresight</t>
        </is>
      </c>
      <c r="H279" s="18" t="inlineStr">
        <is>
          <t>Employer signal → programme evolution</t>
        </is>
      </c>
      <c r="I279" s="18" t="inlineStr">
        <is>
          <t>If employer intelligence is strong but programme evolution is weak, flag signal-to-curriculum response gap.</t>
        </is>
      </c>
      <c r="J279" s="18" t="inlineStr">
        <is>
          <t>Programme portfolio review</t>
        </is>
      </c>
      <c r="K279" s="18" t="inlineStr">
        <is>
          <t>Employer signal is an input, not duplicate programme maturity.</t>
        </is>
      </c>
    </row>
    <row r="280">
      <c r="A280" s="18" t="inlineStr">
        <is>
          <t>CD16</t>
        </is>
      </c>
      <c r="B280" s="18" t="inlineStr">
        <is>
          <t>D09</t>
        </is>
      </c>
      <c r="C280" s="18" t="inlineStr">
        <is>
          <t>I03</t>
        </is>
      </c>
      <c r="D280" s="18" t="inlineStr">
        <is>
          <t>Industry-Validated Curriculum</t>
        </is>
      </c>
      <c r="E280" s="18" t="inlineStr">
        <is>
          <t>D04</t>
        </is>
      </c>
      <c r="F280" s="18" t="inlineStr">
        <is>
          <t>I01</t>
        </is>
      </c>
      <c r="G280" s="18" t="inlineStr">
        <is>
          <t>Curriculum Sensing Maturity</t>
        </is>
      </c>
      <c r="H280" s="18" t="inlineStr">
        <is>
          <t>Employer signal → programme evolution</t>
        </is>
      </c>
      <c r="I280" s="18" t="inlineStr">
        <is>
          <t>If employer intelligence is strong but programme evolution is weak, flag signal-to-curriculum response gap.</t>
        </is>
      </c>
      <c r="J280" s="18" t="inlineStr">
        <is>
          <t>Programme portfolio review</t>
        </is>
      </c>
      <c r="K280" s="18" t="inlineStr">
        <is>
          <t>Employer signal is an input, not duplicate programme maturity.</t>
        </is>
      </c>
    </row>
    <row r="281">
      <c r="A281" s="18" t="inlineStr">
        <is>
          <t>CD16</t>
        </is>
      </c>
      <c r="B281" s="18" t="inlineStr">
        <is>
          <t>D09</t>
        </is>
      </c>
      <c r="C281" s="18" t="inlineStr">
        <is>
          <t>I03</t>
        </is>
      </c>
      <c r="D281" s="18" t="inlineStr">
        <is>
          <t>Industry-Validated Curriculum</t>
        </is>
      </c>
      <c r="E281" s="18" t="inlineStr">
        <is>
          <t>D04</t>
        </is>
      </c>
      <c r="F281" s="18" t="inlineStr">
        <is>
          <t>I03</t>
        </is>
      </c>
      <c r="G281" s="18" t="inlineStr">
        <is>
          <t>Programme Review Effectiveness</t>
        </is>
      </c>
      <c r="H281" s="18" t="inlineStr">
        <is>
          <t>Employer signal → programme evolution</t>
        </is>
      </c>
      <c r="I281" s="18" t="inlineStr">
        <is>
          <t>If employer intelligence is strong but programme evolution is weak, flag signal-to-curriculum response gap.</t>
        </is>
      </c>
      <c r="J281" s="18" t="inlineStr">
        <is>
          <t>Programme portfolio review</t>
        </is>
      </c>
      <c r="K281" s="18" t="inlineStr">
        <is>
          <t>Employer signal is an input, not duplicate programme maturity.</t>
        </is>
      </c>
    </row>
    <row r="282">
      <c r="A282" s="18" t="inlineStr">
        <is>
          <t>CD16</t>
        </is>
      </c>
      <c r="B282" s="18" t="inlineStr">
        <is>
          <t>D09</t>
        </is>
      </c>
      <c r="C282" s="18" t="inlineStr">
        <is>
          <t>I03</t>
        </is>
      </c>
      <c r="D282" s="18" t="inlineStr">
        <is>
          <t>Industry-Validated Curriculum</t>
        </is>
      </c>
      <c r="E282" s="18" t="inlineStr">
        <is>
          <t>D04</t>
        </is>
      </c>
      <c r="F282" s="18" t="inlineStr">
        <is>
          <t>I08</t>
        </is>
      </c>
      <c r="G282" s="18" t="inlineStr">
        <is>
          <t>Programme Agility</t>
        </is>
      </c>
      <c r="H282" s="18" t="inlineStr">
        <is>
          <t>Employer signal → programme evolution</t>
        </is>
      </c>
      <c r="I282" s="18" t="inlineStr">
        <is>
          <t>If employer intelligence is strong but programme evolution is weak, flag signal-to-curriculum response gap.</t>
        </is>
      </c>
      <c r="J282" s="18" t="inlineStr">
        <is>
          <t>Programme portfolio review</t>
        </is>
      </c>
      <c r="K282" s="18" t="inlineStr">
        <is>
          <t>Employer signal is an input, not duplicate programme maturity.</t>
        </is>
      </c>
    </row>
    <row r="283">
      <c r="A283" s="18" t="inlineStr">
        <is>
          <t>CD16</t>
        </is>
      </c>
      <c r="B283" s="18" t="inlineStr">
        <is>
          <t>D09</t>
        </is>
      </c>
      <c r="C283" s="18" t="inlineStr">
        <is>
          <t>I03</t>
        </is>
      </c>
      <c r="D283" s="18" t="inlineStr">
        <is>
          <t>Industry-Validated Curriculum</t>
        </is>
      </c>
      <c r="E283" s="18" t="inlineStr">
        <is>
          <t>D04</t>
        </is>
      </c>
      <c r="F283" s="18" t="inlineStr">
        <is>
          <t>I12</t>
        </is>
      </c>
      <c r="G283" s="18" t="inlineStr">
        <is>
          <t>Portfolio Foresight</t>
        </is>
      </c>
      <c r="H283" s="18" t="inlineStr">
        <is>
          <t>Employer signal → programme evolution</t>
        </is>
      </c>
      <c r="I283" s="18" t="inlineStr">
        <is>
          <t>If employer intelligence is strong but programme evolution is weak, flag signal-to-curriculum response gap.</t>
        </is>
      </c>
      <c r="J283" s="18" t="inlineStr">
        <is>
          <t>Programme portfolio review</t>
        </is>
      </c>
      <c r="K283" s="18" t="inlineStr">
        <is>
          <t>Employer signal is an input, not duplicate programme maturity.</t>
        </is>
      </c>
    </row>
    <row r="284">
      <c r="A284" s="18" t="inlineStr">
        <is>
          <t>CD16</t>
        </is>
      </c>
      <c r="B284" s="18" t="inlineStr">
        <is>
          <t>D09</t>
        </is>
      </c>
      <c r="C284" s="18" t="inlineStr">
        <is>
          <t>I10</t>
        </is>
      </c>
      <c r="D284" s="18" t="inlineStr">
        <is>
          <t>Industry Co-Creation</t>
        </is>
      </c>
      <c r="E284" s="18" t="inlineStr">
        <is>
          <t>D04</t>
        </is>
      </c>
      <c r="F284" s="18" t="inlineStr">
        <is>
          <t>I01</t>
        </is>
      </c>
      <c r="G284" s="18" t="inlineStr">
        <is>
          <t>Curriculum Sensing Maturity</t>
        </is>
      </c>
      <c r="H284" s="18" t="inlineStr">
        <is>
          <t>Employer signal → programme evolution</t>
        </is>
      </c>
      <c r="I284" s="18" t="inlineStr">
        <is>
          <t>If employer intelligence is strong but programme evolution is weak, flag signal-to-curriculum response gap.</t>
        </is>
      </c>
      <c r="J284" s="18" t="inlineStr">
        <is>
          <t>Programme portfolio review</t>
        </is>
      </c>
      <c r="K284" s="18" t="inlineStr">
        <is>
          <t>Employer signal is an input, not duplicate programme maturity.</t>
        </is>
      </c>
    </row>
    <row r="285">
      <c r="A285" s="18" t="inlineStr">
        <is>
          <t>CD16</t>
        </is>
      </c>
      <c r="B285" s="18" t="inlineStr">
        <is>
          <t>D09</t>
        </is>
      </c>
      <c r="C285" s="18" t="inlineStr">
        <is>
          <t>I10</t>
        </is>
      </c>
      <c r="D285" s="18" t="inlineStr">
        <is>
          <t>Industry Co-Creation</t>
        </is>
      </c>
      <c r="E285" s="18" t="inlineStr">
        <is>
          <t>D04</t>
        </is>
      </c>
      <c r="F285" s="18" t="inlineStr">
        <is>
          <t>I03</t>
        </is>
      </c>
      <c r="G285" s="18" t="inlineStr">
        <is>
          <t>Programme Review Effectiveness</t>
        </is>
      </c>
      <c r="H285" s="18" t="inlineStr">
        <is>
          <t>Employer signal → programme evolution</t>
        </is>
      </c>
      <c r="I285" s="18" t="inlineStr">
        <is>
          <t>If employer intelligence is strong but programme evolution is weak, flag signal-to-curriculum response gap.</t>
        </is>
      </c>
      <c r="J285" s="18" t="inlineStr">
        <is>
          <t>Programme portfolio review</t>
        </is>
      </c>
      <c r="K285" s="18" t="inlineStr">
        <is>
          <t>Employer signal is an input, not duplicate programme maturity.</t>
        </is>
      </c>
    </row>
    <row r="286">
      <c r="A286" s="18" t="inlineStr">
        <is>
          <t>CD16</t>
        </is>
      </c>
      <c r="B286" s="18" t="inlineStr">
        <is>
          <t>D09</t>
        </is>
      </c>
      <c r="C286" s="18" t="inlineStr">
        <is>
          <t>I10</t>
        </is>
      </c>
      <c r="D286" s="18" t="inlineStr">
        <is>
          <t>Industry Co-Creation</t>
        </is>
      </c>
      <c r="E286" s="18" t="inlineStr">
        <is>
          <t>D04</t>
        </is>
      </c>
      <c r="F286" s="18" t="inlineStr">
        <is>
          <t>I08</t>
        </is>
      </c>
      <c r="G286" s="18" t="inlineStr">
        <is>
          <t>Programme Agility</t>
        </is>
      </c>
      <c r="H286" s="18" t="inlineStr">
        <is>
          <t>Employer signal → programme evolution</t>
        </is>
      </c>
      <c r="I286" s="18" t="inlineStr">
        <is>
          <t>If employer intelligence is strong but programme evolution is weak, flag signal-to-curriculum response gap.</t>
        </is>
      </c>
      <c r="J286" s="18" t="inlineStr">
        <is>
          <t>Programme portfolio review</t>
        </is>
      </c>
      <c r="K286" s="18" t="inlineStr">
        <is>
          <t>Employer signal is an input, not duplicate programme maturity.</t>
        </is>
      </c>
    </row>
    <row r="287">
      <c r="A287" s="18" t="inlineStr">
        <is>
          <t>CD16</t>
        </is>
      </c>
      <c r="B287" s="18" t="inlineStr">
        <is>
          <t>D09</t>
        </is>
      </c>
      <c r="C287" s="18" t="inlineStr">
        <is>
          <t>I10</t>
        </is>
      </c>
      <c r="D287" s="18" t="inlineStr">
        <is>
          <t>Industry Co-Creation</t>
        </is>
      </c>
      <c r="E287" s="18" t="inlineStr">
        <is>
          <t>D04</t>
        </is>
      </c>
      <c r="F287" s="18" t="inlineStr">
        <is>
          <t>I12</t>
        </is>
      </c>
      <c r="G287" s="18" t="inlineStr">
        <is>
          <t>Portfolio Foresight</t>
        </is>
      </c>
      <c r="H287" s="18" t="inlineStr">
        <is>
          <t>Employer signal → programme evolution</t>
        </is>
      </c>
      <c r="I287" s="18" t="inlineStr">
        <is>
          <t>If employer intelligence is strong but programme evolution is weak, flag signal-to-curriculum response gap.</t>
        </is>
      </c>
      <c r="J287" s="18" t="inlineStr">
        <is>
          <t>Programme portfolio review</t>
        </is>
      </c>
      <c r="K287" s="18" t="inlineStr">
        <is>
          <t>Employer signal is an input, not duplicate programme maturity.</t>
        </is>
      </c>
    </row>
    <row r="288">
      <c r="A288" s="18" t="inlineStr">
        <is>
          <t>CD16</t>
        </is>
      </c>
      <c r="B288" s="18" t="inlineStr">
        <is>
          <t>D09</t>
        </is>
      </c>
      <c r="C288" s="18" t="inlineStr">
        <is>
          <t>I11</t>
        </is>
      </c>
      <c r="D288" s="18" t="inlineStr">
        <is>
          <t>Regional/Economic Relevance</t>
        </is>
      </c>
      <c r="E288" s="18" t="inlineStr">
        <is>
          <t>D04</t>
        </is>
      </c>
      <c r="F288" s="18" t="inlineStr">
        <is>
          <t>I01</t>
        </is>
      </c>
      <c r="G288" s="18" t="inlineStr">
        <is>
          <t>Curriculum Sensing Maturity</t>
        </is>
      </c>
      <c r="H288" s="18" t="inlineStr">
        <is>
          <t>Employer signal → programme evolution</t>
        </is>
      </c>
      <c r="I288" s="18" t="inlineStr">
        <is>
          <t>If employer intelligence is strong but programme evolution is weak, flag signal-to-curriculum response gap.</t>
        </is>
      </c>
      <c r="J288" s="18" t="inlineStr">
        <is>
          <t>Programme portfolio review</t>
        </is>
      </c>
      <c r="K288" s="18" t="inlineStr">
        <is>
          <t>Employer signal is an input, not duplicate programme maturity.</t>
        </is>
      </c>
    </row>
    <row r="289">
      <c r="A289" s="18" t="inlineStr">
        <is>
          <t>CD16</t>
        </is>
      </c>
      <c r="B289" s="18" t="inlineStr">
        <is>
          <t>D09</t>
        </is>
      </c>
      <c r="C289" s="18" t="inlineStr">
        <is>
          <t>I11</t>
        </is>
      </c>
      <c r="D289" s="18" t="inlineStr">
        <is>
          <t>Regional/Economic Relevance</t>
        </is>
      </c>
      <c r="E289" s="18" t="inlineStr">
        <is>
          <t>D04</t>
        </is>
      </c>
      <c r="F289" s="18" t="inlineStr">
        <is>
          <t>I03</t>
        </is>
      </c>
      <c r="G289" s="18" t="inlineStr">
        <is>
          <t>Programme Review Effectiveness</t>
        </is>
      </c>
      <c r="H289" s="18" t="inlineStr">
        <is>
          <t>Employer signal → programme evolution</t>
        </is>
      </c>
      <c r="I289" s="18" t="inlineStr">
        <is>
          <t>If employer intelligence is strong but programme evolution is weak, flag signal-to-curriculum response gap.</t>
        </is>
      </c>
      <c r="J289" s="18" t="inlineStr">
        <is>
          <t>Programme portfolio review</t>
        </is>
      </c>
      <c r="K289" s="18" t="inlineStr">
        <is>
          <t>Employer signal is an input, not duplicate programme maturity.</t>
        </is>
      </c>
    </row>
    <row r="290">
      <c r="A290" s="18" t="inlineStr">
        <is>
          <t>CD16</t>
        </is>
      </c>
      <c r="B290" s="18" t="inlineStr">
        <is>
          <t>D09</t>
        </is>
      </c>
      <c r="C290" s="18" t="inlineStr">
        <is>
          <t>I11</t>
        </is>
      </c>
      <c r="D290" s="18" t="inlineStr">
        <is>
          <t>Regional/Economic Relevance</t>
        </is>
      </c>
      <c r="E290" s="18" t="inlineStr">
        <is>
          <t>D04</t>
        </is>
      </c>
      <c r="F290" s="18" t="inlineStr">
        <is>
          <t>I08</t>
        </is>
      </c>
      <c r="G290" s="18" t="inlineStr">
        <is>
          <t>Programme Agility</t>
        </is>
      </c>
      <c r="H290" s="18" t="inlineStr">
        <is>
          <t>Employer signal → programme evolution</t>
        </is>
      </c>
      <c r="I290" s="18" t="inlineStr">
        <is>
          <t>If employer intelligence is strong but programme evolution is weak, flag signal-to-curriculum response gap.</t>
        </is>
      </c>
      <c r="J290" s="18" t="inlineStr">
        <is>
          <t>Programme portfolio review</t>
        </is>
      </c>
      <c r="K290" s="18" t="inlineStr">
        <is>
          <t>Employer signal is an input, not duplicate programme maturity.</t>
        </is>
      </c>
    </row>
    <row r="291">
      <c r="A291" s="18" t="inlineStr">
        <is>
          <t>CD16</t>
        </is>
      </c>
      <c r="B291" s="18" t="inlineStr">
        <is>
          <t>D09</t>
        </is>
      </c>
      <c r="C291" s="18" t="inlineStr">
        <is>
          <t>I11</t>
        </is>
      </c>
      <c r="D291" s="18" t="inlineStr">
        <is>
          <t>Regional/Economic Relevance</t>
        </is>
      </c>
      <c r="E291" s="18" t="inlineStr">
        <is>
          <t>D04</t>
        </is>
      </c>
      <c r="F291" s="18" t="inlineStr">
        <is>
          <t>I12</t>
        </is>
      </c>
      <c r="G291" s="18" t="inlineStr">
        <is>
          <t>Portfolio Foresight</t>
        </is>
      </c>
      <c r="H291" s="18" t="inlineStr">
        <is>
          <t>Employer signal → programme evolution</t>
        </is>
      </c>
      <c r="I291" s="18" t="inlineStr">
        <is>
          <t>If employer intelligence is strong but programme evolution is weak, flag signal-to-curriculum response gap.</t>
        </is>
      </c>
      <c r="J291" s="18" t="inlineStr">
        <is>
          <t>Programme portfolio review</t>
        </is>
      </c>
      <c r="K291" s="18" t="inlineStr">
        <is>
          <t>Employer signal is an input, not duplicate programme maturity.</t>
        </is>
      </c>
    </row>
    <row r="292">
      <c r="A292" s="18" t="inlineStr">
        <is>
          <t>CD17</t>
        </is>
      </c>
      <c r="B292" s="18" t="inlineStr">
        <is>
          <t>D09</t>
        </is>
      </c>
      <c r="C292" s="18" t="inlineStr">
        <is>
          <t>I03</t>
        </is>
      </c>
      <c r="D292" s="18" t="inlineStr">
        <is>
          <t>Industry-Validated Curriculum</t>
        </is>
      </c>
      <c r="E292" s="18" t="inlineStr">
        <is>
          <t>D05</t>
        </is>
      </c>
      <c r="F292" s="18" t="inlineStr">
        <is>
          <t>I02</t>
        </is>
      </c>
      <c r="G292" s="18" t="inlineStr">
        <is>
          <t>Discipline-Specific AI Practice</t>
        </is>
      </c>
      <c r="H292" s="18" t="inlineStr">
        <is>
          <t>Industry requirement → faculty capability</t>
        </is>
      </c>
      <c r="I292" s="18" t="inlineStr">
        <is>
          <t>If industry requirements change but faculty capability/role redesign does not respond, flag workforce alignment gap.</t>
        </is>
      </c>
      <c r="J292" s="18" t="inlineStr">
        <is>
          <t>Faculty capability review</t>
        </is>
      </c>
      <c r="K292" s="18" t="inlineStr">
        <is>
          <t>External signal does not itself raise D05.</t>
        </is>
      </c>
    </row>
    <row r="293">
      <c r="A293" s="18" t="inlineStr">
        <is>
          <t>CD17</t>
        </is>
      </c>
      <c r="B293" s="18" t="inlineStr">
        <is>
          <t>D09</t>
        </is>
      </c>
      <c r="C293" s="18" t="inlineStr">
        <is>
          <t>I03</t>
        </is>
      </c>
      <c r="D293" s="18" t="inlineStr">
        <is>
          <t>Industry-Validated Curriculum</t>
        </is>
      </c>
      <c r="E293" s="18" t="inlineStr">
        <is>
          <t>D05</t>
        </is>
      </c>
      <c r="F293" s="18" t="inlineStr">
        <is>
          <t>I05</t>
        </is>
      </c>
      <c r="G293" s="18" t="inlineStr">
        <is>
          <t>Faculty Learning &amp; Development Effectiveness</t>
        </is>
      </c>
      <c r="H293" s="18" t="inlineStr">
        <is>
          <t>Industry requirement → faculty capability</t>
        </is>
      </c>
      <c r="I293" s="18" t="inlineStr">
        <is>
          <t>If industry requirements change but faculty capability/role redesign does not respond, flag workforce alignment gap.</t>
        </is>
      </c>
      <c r="J293" s="18" t="inlineStr">
        <is>
          <t>Faculty capability review</t>
        </is>
      </c>
      <c r="K293" s="18" t="inlineStr">
        <is>
          <t>External signal does not itself raise D05.</t>
        </is>
      </c>
    </row>
    <row r="294">
      <c r="A294" s="18" t="inlineStr">
        <is>
          <t>CD17</t>
        </is>
      </c>
      <c r="B294" s="18" t="inlineStr">
        <is>
          <t>D09</t>
        </is>
      </c>
      <c r="C294" s="18" t="inlineStr">
        <is>
          <t>I03</t>
        </is>
      </c>
      <c r="D294" s="18" t="inlineStr">
        <is>
          <t>Industry-Validated Curriculum</t>
        </is>
      </c>
      <c r="E294" s="18" t="inlineStr">
        <is>
          <t>D05</t>
        </is>
      </c>
      <c r="F294" s="18" t="inlineStr">
        <is>
          <t>I08</t>
        </is>
      </c>
      <c r="G294" s="18" t="inlineStr">
        <is>
          <t>Academic Role Redesign</t>
        </is>
      </c>
      <c r="H294" s="18" t="inlineStr">
        <is>
          <t>Industry requirement → faculty capability</t>
        </is>
      </c>
      <c r="I294" s="18" t="inlineStr">
        <is>
          <t>If industry requirements change but faculty capability/role redesign does not respond, flag workforce alignment gap.</t>
        </is>
      </c>
      <c r="J294" s="18" t="inlineStr">
        <is>
          <t>Faculty capability review</t>
        </is>
      </c>
      <c r="K294" s="18" t="inlineStr">
        <is>
          <t>External signal does not itself raise D05.</t>
        </is>
      </c>
    </row>
    <row r="295">
      <c r="A295" s="18" t="inlineStr">
        <is>
          <t>CD17</t>
        </is>
      </c>
      <c r="B295" s="18" t="inlineStr">
        <is>
          <t>D09</t>
        </is>
      </c>
      <c r="C295" s="18" t="inlineStr">
        <is>
          <t>I03</t>
        </is>
      </c>
      <c r="D295" s="18" t="inlineStr">
        <is>
          <t>Industry-Validated Curriculum</t>
        </is>
      </c>
      <c r="E295" s="18" t="inlineStr">
        <is>
          <t>D05</t>
        </is>
      </c>
      <c r="F295" s="18" t="inlineStr">
        <is>
          <t>I12</t>
        </is>
      </c>
      <c r="G295" s="18" t="inlineStr">
        <is>
          <t>Faculty Adoption Learning Loop</t>
        </is>
      </c>
      <c r="H295" s="18" t="inlineStr">
        <is>
          <t>Industry requirement → faculty capability</t>
        </is>
      </c>
      <c r="I295" s="18" t="inlineStr">
        <is>
          <t>If industry requirements change but faculty capability/role redesign does not respond, flag workforce alignment gap.</t>
        </is>
      </c>
      <c r="J295" s="18" t="inlineStr">
        <is>
          <t>Faculty capability review</t>
        </is>
      </c>
      <c r="K295" s="18" t="inlineStr">
        <is>
          <t>External signal does not itself raise D05.</t>
        </is>
      </c>
    </row>
    <row r="296">
      <c r="A296" s="18" t="inlineStr">
        <is>
          <t>CD17</t>
        </is>
      </c>
      <c r="B296" s="18" t="inlineStr">
        <is>
          <t>D09</t>
        </is>
      </c>
      <c r="C296" s="18" t="inlineStr">
        <is>
          <t>I10</t>
        </is>
      </c>
      <c r="D296" s="18" t="inlineStr">
        <is>
          <t>Industry Co-Creation</t>
        </is>
      </c>
      <c r="E296" s="18" t="inlineStr">
        <is>
          <t>D05</t>
        </is>
      </c>
      <c r="F296" s="18" t="inlineStr">
        <is>
          <t>I02</t>
        </is>
      </c>
      <c r="G296" s="18" t="inlineStr">
        <is>
          <t>Discipline-Specific AI Practice</t>
        </is>
      </c>
      <c r="H296" s="18" t="inlineStr">
        <is>
          <t>Industry requirement → faculty capability</t>
        </is>
      </c>
      <c r="I296" s="18" t="inlineStr">
        <is>
          <t>If industry requirements change but faculty capability/role redesign does not respond, flag workforce alignment gap.</t>
        </is>
      </c>
      <c r="J296" s="18" t="inlineStr">
        <is>
          <t>Faculty capability review</t>
        </is>
      </c>
      <c r="K296" s="18" t="inlineStr">
        <is>
          <t>External signal does not itself raise D05.</t>
        </is>
      </c>
    </row>
    <row r="297">
      <c r="A297" s="18" t="inlineStr">
        <is>
          <t>CD17</t>
        </is>
      </c>
      <c r="B297" s="18" t="inlineStr">
        <is>
          <t>D09</t>
        </is>
      </c>
      <c r="C297" s="18" t="inlineStr">
        <is>
          <t>I10</t>
        </is>
      </c>
      <c r="D297" s="18" t="inlineStr">
        <is>
          <t>Industry Co-Creation</t>
        </is>
      </c>
      <c r="E297" s="18" t="inlineStr">
        <is>
          <t>D05</t>
        </is>
      </c>
      <c r="F297" s="18" t="inlineStr">
        <is>
          <t>I05</t>
        </is>
      </c>
      <c r="G297" s="18" t="inlineStr">
        <is>
          <t>Faculty Learning &amp; Development Effectiveness</t>
        </is>
      </c>
      <c r="H297" s="18" t="inlineStr">
        <is>
          <t>Industry requirement → faculty capability</t>
        </is>
      </c>
      <c r="I297" s="18" t="inlineStr">
        <is>
          <t>If industry requirements change but faculty capability/role redesign does not respond, flag workforce alignment gap.</t>
        </is>
      </c>
      <c r="J297" s="18" t="inlineStr">
        <is>
          <t>Faculty capability review</t>
        </is>
      </c>
      <c r="K297" s="18" t="inlineStr">
        <is>
          <t>External signal does not itself raise D05.</t>
        </is>
      </c>
    </row>
    <row r="298">
      <c r="A298" s="18" t="inlineStr">
        <is>
          <t>CD17</t>
        </is>
      </c>
      <c r="B298" s="18" t="inlineStr">
        <is>
          <t>D09</t>
        </is>
      </c>
      <c r="C298" s="18" t="inlineStr">
        <is>
          <t>I10</t>
        </is>
      </c>
      <c r="D298" s="18" t="inlineStr">
        <is>
          <t>Industry Co-Creation</t>
        </is>
      </c>
      <c r="E298" s="18" t="inlineStr">
        <is>
          <t>D05</t>
        </is>
      </c>
      <c r="F298" s="18" t="inlineStr">
        <is>
          <t>I08</t>
        </is>
      </c>
      <c r="G298" s="18" t="inlineStr">
        <is>
          <t>Academic Role Redesign</t>
        </is>
      </c>
      <c r="H298" s="18" t="inlineStr">
        <is>
          <t>Industry requirement → faculty capability</t>
        </is>
      </c>
      <c r="I298" s="18" t="inlineStr">
        <is>
          <t>If industry requirements change but faculty capability/role redesign does not respond, flag workforce alignment gap.</t>
        </is>
      </c>
      <c r="J298" s="18" t="inlineStr">
        <is>
          <t>Faculty capability review</t>
        </is>
      </c>
      <c r="K298" s="18" t="inlineStr">
        <is>
          <t>External signal does not itself raise D05.</t>
        </is>
      </c>
    </row>
    <row r="299">
      <c r="A299" s="18" t="inlineStr">
        <is>
          <t>CD17</t>
        </is>
      </c>
      <c r="B299" s="18" t="inlineStr">
        <is>
          <t>D09</t>
        </is>
      </c>
      <c r="C299" s="18" t="inlineStr">
        <is>
          <t>I10</t>
        </is>
      </c>
      <c r="D299" s="18" t="inlineStr">
        <is>
          <t>Industry Co-Creation</t>
        </is>
      </c>
      <c r="E299" s="18" t="inlineStr">
        <is>
          <t>D05</t>
        </is>
      </c>
      <c r="F299" s="18" t="inlineStr">
        <is>
          <t>I12</t>
        </is>
      </c>
      <c r="G299" s="18" t="inlineStr">
        <is>
          <t>Faculty Adoption Learning Loop</t>
        </is>
      </c>
      <c r="H299" s="18" t="inlineStr">
        <is>
          <t>Industry requirement → faculty capability</t>
        </is>
      </c>
      <c r="I299" s="18" t="inlineStr">
        <is>
          <t>If industry requirements change but faculty capability/role redesign does not respond, flag workforce alignment gap.</t>
        </is>
      </c>
      <c r="J299" s="18" t="inlineStr">
        <is>
          <t>Faculty capability review</t>
        </is>
      </c>
      <c r="K299" s="18" t="inlineStr">
        <is>
          <t>External signal does not itself raise D05.</t>
        </is>
      </c>
    </row>
    <row r="300">
      <c r="A300" s="18" t="inlineStr">
        <is>
          <t>CD18</t>
        </is>
      </c>
      <c r="B300" s="18" t="inlineStr">
        <is>
          <t>D09</t>
        </is>
      </c>
      <c r="C300" s="18" t="inlineStr">
        <is>
          <t>I05</t>
        </is>
      </c>
      <c r="D300" s="18" t="inlineStr">
        <is>
          <t>Recruiter Confidence</t>
        </is>
      </c>
      <c r="E300" s="18" t="inlineStr">
        <is>
          <t>D06</t>
        </is>
      </c>
      <c r="F300" s="18" t="inlineStr">
        <is>
          <t>I07</t>
        </is>
      </c>
      <c r="G300" s="18" t="inlineStr">
        <is>
          <t>Practical Capability</t>
        </is>
      </c>
      <c r="H300" s="18" t="inlineStr">
        <is>
          <t>External outcomes → student development</t>
        </is>
      </c>
      <c r="I300" s="18" t="inlineStr">
        <is>
          <t>If employment evidence exposes capability gaps but student development is unchanged, flag outcome-to-learning-loop gap.</t>
        </is>
      </c>
      <c r="J300" s="18" t="inlineStr">
        <is>
          <t>Student development review</t>
        </is>
      </c>
      <c r="K300" s="18" t="inlineStr">
        <is>
          <t>Outcomes inform D06 but are not duplicate D06 scores.</t>
        </is>
      </c>
    </row>
    <row r="301">
      <c r="A301" s="18" t="inlineStr">
        <is>
          <t>CD18</t>
        </is>
      </c>
      <c r="B301" s="18" t="inlineStr">
        <is>
          <t>D09</t>
        </is>
      </c>
      <c r="C301" s="18" t="inlineStr">
        <is>
          <t>I05</t>
        </is>
      </c>
      <c r="D301" s="18" t="inlineStr">
        <is>
          <t>Recruiter Confidence</t>
        </is>
      </c>
      <c r="E301" s="18" t="inlineStr">
        <is>
          <t>D06</t>
        </is>
      </c>
      <c r="F301" s="18" t="inlineStr">
        <is>
          <t>I08</t>
        </is>
      </c>
      <c r="G301" s="18" t="inlineStr">
        <is>
          <t>Career Adaptability</t>
        </is>
      </c>
      <c r="H301" s="18" t="inlineStr">
        <is>
          <t>External outcomes → student development</t>
        </is>
      </c>
      <c r="I301" s="18" t="inlineStr">
        <is>
          <t>If employment evidence exposes capability gaps but student development is unchanged, flag outcome-to-learning-loop gap.</t>
        </is>
      </c>
      <c r="J301" s="18" t="inlineStr">
        <is>
          <t>Student development review</t>
        </is>
      </c>
      <c r="K301" s="18" t="inlineStr">
        <is>
          <t>Outcomes inform D06 but are not duplicate D06 scores.</t>
        </is>
      </c>
    </row>
    <row r="302">
      <c r="A302" s="18" t="inlineStr">
        <is>
          <t>CD18</t>
        </is>
      </c>
      <c r="B302" s="18" t="inlineStr">
        <is>
          <t>D09</t>
        </is>
      </c>
      <c r="C302" s="18" t="inlineStr">
        <is>
          <t>I05</t>
        </is>
      </c>
      <c r="D302" s="18" t="inlineStr">
        <is>
          <t>Recruiter Confidence</t>
        </is>
      </c>
      <c r="E302" s="18" t="inlineStr">
        <is>
          <t>D06</t>
        </is>
      </c>
      <c r="F302" s="18" t="inlineStr">
        <is>
          <t>I09</t>
        </is>
      </c>
      <c r="G302" s="18" t="inlineStr">
        <is>
          <t>Portfolio &amp; Capability Signalling</t>
        </is>
      </c>
      <c r="H302" s="18" t="inlineStr">
        <is>
          <t>External outcomes → student development</t>
        </is>
      </c>
      <c r="I302" s="18" t="inlineStr">
        <is>
          <t>If employment evidence exposes capability gaps but student development is unchanged, flag outcome-to-learning-loop gap.</t>
        </is>
      </c>
      <c r="J302" s="18" t="inlineStr">
        <is>
          <t>Student development review</t>
        </is>
      </c>
      <c r="K302" s="18" t="inlineStr">
        <is>
          <t>Outcomes inform D06 but are not duplicate D06 scores.</t>
        </is>
      </c>
    </row>
    <row r="303">
      <c r="A303" s="18" t="inlineStr">
        <is>
          <t>CD18</t>
        </is>
      </c>
      <c r="B303" s="18" t="inlineStr">
        <is>
          <t>D09</t>
        </is>
      </c>
      <c r="C303" s="18" t="inlineStr">
        <is>
          <t>I05</t>
        </is>
      </c>
      <c r="D303" s="18" t="inlineStr">
        <is>
          <t>Recruiter Confidence</t>
        </is>
      </c>
      <c r="E303" s="18" t="inlineStr">
        <is>
          <t>D06</t>
        </is>
      </c>
      <c r="F303" s="18" t="inlineStr">
        <is>
          <t>I14</t>
        </is>
      </c>
      <c r="G303" s="18" t="inlineStr">
        <is>
          <t>Student Voice &amp; Feedback Loop</t>
        </is>
      </c>
      <c r="H303" s="18" t="inlineStr">
        <is>
          <t>External outcomes → student development</t>
        </is>
      </c>
      <c r="I303" s="18" t="inlineStr">
        <is>
          <t>If employment evidence exposes capability gaps but student development is unchanged, flag outcome-to-learning-loop gap.</t>
        </is>
      </c>
      <c r="J303" s="18" t="inlineStr">
        <is>
          <t>Student development review</t>
        </is>
      </c>
      <c r="K303" s="18" t="inlineStr">
        <is>
          <t>Outcomes inform D06 but are not duplicate D06 scores.</t>
        </is>
      </c>
    </row>
    <row r="304">
      <c r="A304" s="18" t="inlineStr">
        <is>
          <t>CD18</t>
        </is>
      </c>
      <c r="B304" s="18" t="inlineStr">
        <is>
          <t>D09</t>
        </is>
      </c>
      <c r="C304" s="18" t="inlineStr">
        <is>
          <t>I06</t>
        </is>
      </c>
      <c r="D304" s="18" t="inlineStr">
        <is>
          <t>Placement Outcome Quality</t>
        </is>
      </c>
      <c r="E304" s="18" t="inlineStr">
        <is>
          <t>D06</t>
        </is>
      </c>
      <c r="F304" s="18" t="inlineStr">
        <is>
          <t>I07</t>
        </is>
      </c>
      <c r="G304" s="18" t="inlineStr">
        <is>
          <t>Practical Capability</t>
        </is>
      </c>
      <c r="H304" s="18" t="inlineStr">
        <is>
          <t>External outcomes → student development</t>
        </is>
      </c>
      <c r="I304" s="18" t="inlineStr">
        <is>
          <t>If employment evidence exposes capability gaps but student development is unchanged, flag outcome-to-learning-loop gap.</t>
        </is>
      </c>
      <c r="J304" s="18" t="inlineStr">
        <is>
          <t>Student development review</t>
        </is>
      </c>
      <c r="K304" s="18" t="inlineStr">
        <is>
          <t>Outcomes inform D06 but are not duplicate D06 scores.</t>
        </is>
      </c>
    </row>
    <row r="305">
      <c r="A305" s="18" t="inlineStr">
        <is>
          <t>CD18</t>
        </is>
      </c>
      <c r="B305" s="18" t="inlineStr">
        <is>
          <t>D09</t>
        </is>
      </c>
      <c r="C305" s="18" t="inlineStr">
        <is>
          <t>I06</t>
        </is>
      </c>
      <c r="D305" s="18" t="inlineStr">
        <is>
          <t>Placement Outcome Quality</t>
        </is>
      </c>
      <c r="E305" s="18" t="inlineStr">
        <is>
          <t>D06</t>
        </is>
      </c>
      <c r="F305" s="18" t="inlineStr">
        <is>
          <t>I08</t>
        </is>
      </c>
      <c r="G305" s="18" t="inlineStr">
        <is>
          <t>Career Adaptability</t>
        </is>
      </c>
      <c r="H305" s="18" t="inlineStr">
        <is>
          <t>External outcomes → student development</t>
        </is>
      </c>
      <c r="I305" s="18" t="inlineStr">
        <is>
          <t>If employment evidence exposes capability gaps but student development is unchanged, flag outcome-to-learning-loop gap.</t>
        </is>
      </c>
      <c r="J305" s="18" t="inlineStr">
        <is>
          <t>Student development review</t>
        </is>
      </c>
      <c r="K305" s="18" t="inlineStr">
        <is>
          <t>Outcomes inform D06 but are not duplicate D06 scores.</t>
        </is>
      </c>
    </row>
    <row r="306">
      <c r="A306" s="18" t="inlineStr">
        <is>
          <t>CD18</t>
        </is>
      </c>
      <c r="B306" s="18" t="inlineStr">
        <is>
          <t>D09</t>
        </is>
      </c>
      <c r="C306" s="18" t="inlineStr">
        <is>
          <t>I06</t>
        </is>
      </c>
      <c r="D306" s="18" t="inlineStr">
        <is>
          <t>Placement Outcome Quality</t>
        </is>
      </c>
      <c r="E306" s="18" t="inlineStr">
        <is>
          <t>D06</t>
        </is>
      </c>
      <c r="F306" s="18" t="inlineStr">
        <is>
          <t>I09</t>
        </is>
      </c>
      <c r="G306" s="18" t="inlineStr">
        <is>
          <t>Portfolio &amp; Capability Signalling</t>
        </is>
      </c>
      <c r="H306" s="18" t="inlineStr">
        <is>
          <t>External outcomes → student development</t>
        </is>
      </c>
      <c r="I306" s="18" t="inlineStr">
        <is>
          <t>If employment evidence exposes capability gaps but student development is unchanged, flag outcome-to-learning-loop gap.</t>
        </is>
      </c>
      <c r="J306" s="18" t="inlineStr">
        <is>
          <t>Student development review</t>
        </is>
      </c>
      <c r="K306" s="18" t="inlineStr">
        <is>
          <t>Outcomes inform D06 but are not duplicate D06 scores.</t>
        </is>
      </c>
    </row>
    <row r="307">
      <c r="A307" s="18" t="inlineStr">
        <is>
          <t>CD18</t>
        </is>
      </c>
      <c r="B307" s="18" t="inlineStr">
        <is>
          <t>D09</t>
        </is>
      </c>
      <c r="C307" s="18" t="inlineStr">
        <is>
          <t>I06</t>
        </is>
      </c>
      <c r="D307" s="18" t="inlineStr">
        <is>
          <t>Placement Outcome Quality</t>
        </is>
      </c>
      <c r="E307" s="18" t="inlineStr">
        <is>
          <t>D06</t>
        </is>
      </c>
      <c r="F307" s="18" t="inlineStr">
        <is>
          <t>I14</t>
        </is>
      </c>
      <c r="G307" s="18" t="inlineStr">
        <is>
          <t>Student Voice &amp; Feedback Loop</t>
        </is>
      </c>
      <c r="H307" s="18" t="inlineStr">
        <is>
          <t>External outcomes → student development</t>
        </is>
      </c>
      <c r="I307" s="18" t="inlineStr">
        <is>
          <t>If employment evidence exposes capability gaps but student development is unchanged, flag outcome-to-learning-loop gap.</t>
        </is>
      </c>
      <c r="J307" s="18" t="inlineStr">
        <is>
          <t>Student development review</t>
        </is>
      </c>
      <c r="K307" s="18" t="inlineStr">
        <is>
          <t>Outcomes inform D06 but are not duplicate D06 scores.</t>
        </is>
      </c>
    </row>
    <row r="308">
      <c r="A308" s="18" t="inlineStr">
        <is>
          <t>CD18</t>
        </is>
      </c>
      <c r="B308" s="18" t="inlineStr">
        <is>
          <t>D09</t>
        </is>
      </c>
      <c r="C308" s="18" t="inlineStr">
        <is>
          <t>I07</t>
        </is>
      </c>
      <c r="D308" s="18" t="inlineStr">
        <is>
          <t>Career Adaptability</t>
        </is>
      </c>
      <c r="E308" s="18" t="inlineStr">
        <is>
          <t>D06</t>
        </is>
      </c>
      <c r="F308" s="18" t="inlineStr">
        <is>
          <t>I07</t>
        </is>
      </c>
      <c r="G308" s="18" t="inlineStr">
        <is>
          <t>Practical Capability</t>
        </is>
      </c>
      <c r="H308" s="18" t="inlineStr">
        <is>
          <t>External outcomes → student development</t>
        </is>
      </c>
      <c r="I308" s="18" t="inlineStr">
        <is>
          <t>If employment evidence exposes capability gaps but student development is unchanged, flag outcome-to-learning-loop gap.</t>
        </is>
      </c>
      <c r="J308" s="18" t="inlineStr">
        <is>
          <t>Student development review</t>
        </is>
      </c>
      <c r="K308" s="18" t="inlineStr">
        <is>
          <t>Outcomes inform D06 but are not duplicate D06 scores.</t>
        </is>
      </c>
    </row>
    <row r="309">
      <c r="A309" s="18" t="inlineStr">
        <is>
          <t>CD18</t>
        </is>
      </c>
      <c r="B309" s="18" t="inlineStr">
        <is>
          <t>D09</t>
        </is>
      </c>
      <c r="C309" s="18" t="inlineStr">
        <is>
          <t>I07</t>
        </is>
      </c>
      <c r="D309" s="18" t="inlineStr">
        <is>
          <t>Career Adaptability</t>
        </is>
      </c>
      <c r="E309" s="18" t="inlineStr">
        <is>
          <t>D06</t>
        </is>
      </c>
      <c r="F309" s="18" t="inlineStr">
        <is>
          <t>I08</t>
        </is>
      </c>
      <c r="G309" s="18" t="inlineStr">
        <is>
          <t>Career Adaptability</t>
        </is>
      </c>
      <c r="H309" s="18" t="inlineStr">
        <is>
          <t>External outcomes → student development</t>
        </is>
      </c>
      <c r="I309" s="18" t="inlineStr">
        <is>
          <t>If employment evidence exposes capability gaps but student development is unchanged, flag outcome-to-learning-loop gap.</t>
        </is>
      </c>
      <c r="J309" s="18" t="inlineStr">
        <is>
          <t>Student development review</t>
        </is>
      </c>
      <c r="K309" s="18" t="inlineStr">
        <is>
          <t>Outcomes inform D06 but are not duplicate D06 scores.</t>
        </is>
      </c>
    </row>
    <row r="310">
      <c r="A310" s="18" t="inlineStr">
        <is>
          <t>CD18</t>
        </is>
      </c>
      <c r="B310" s="18" t="inlineStr">
        <is>
          <t>D09</t>
        </is>
      </c>
      <c r="C310" s="18" t="inlineStr">
        <is>
          <t>I07</t>
        </is>
      </c>
      <c r="D310" s="18" t="inlineStr">
        <is>
          <t>Career Adaptability</t>
        </is>
      </c>
      <c r="E310" s="18" t="inlineStr">
        <is>
          <t>D06</t>
        </is>
      </c>
      <c r="F310" s="18" t="inlineStr">
        <is>
          <t>I09</t>
        </is>
      </c>
      <c r="G310" s="18" t="inlineStr">
        <is>
          <t>Portfolio &amp; Capability Signalling</t>
        </is>
      </c>
      <c r="H310" s="18" t="inlineStr">
        <is>
          <t>External outcomes → student development</t>
        </is>
      </c>
      <c r="I310" s="18" t="inlineStr">
        <is>
          <t>If employment evidence exposes capability gaps but student development is unchanged, flag outcome-to-learning-loop gap.</t>
        </is>
      </c>
      <c r="J310" s="18" t="inlineStr">
        <is>
          <t>Student development review</t>
        </is>
      </c>
      <c r="K310" s="18" t="inlineStr">
        <is>
          <t>Outcomes inform D06 but are not duplicate D06 scores.</t>
        </is>
      </c>
    </row>
    <row r="311">
      <c r="A311" s="18" t="inlineStr">
        <is>
          <t>CD18</t>
        </is>
      </c>
      <c r="B311" s="18" t="inlineStr">
        <is>
          <t>D09</t>
        </is>
      </c>
      <c r="C311" s="18" t="inlineStr">
        <is>
          <t>I07</t>
        </is>
      </c>
      <c r="D311" s="18" t="inlineStr">
        <is>
          <t>Career Adaptability</t>
        </is>
      </c>
      <c r="E311" s="18" t="inlineStr">
        <is>
          <t>D06</t>
        </is>
      </c>
      <c r="F311" s="18" t="inlineStr">
        <is>
          <t>I14</t>
        </is>
      </c>
      <c r="G311" s="18" t="inlineStr">
        <is>
          <t>Student Voice &amp; Feedback Loop</t>
        </is>
      </c>
      <c r="H311" s="18" t="inlineStr">
        <is>
          <t>External outcomes → student development</t>
        </is>
      </c>
      <c r="I311" s="18" t="inlineStr">
        <is>
          <t>If employment evidence exposes capability gaps but student development is unchanged, flag outcome-to-learning-loop gap.</t>
        </is>
      </c>
      <c r="J311" s="18" t="inlineStr">
        <is>
          <t>Student development review</t>
        </is>
      </c>
      <c r="K311" s="18" t="inlineStr">
        <is>
          <t>Outcomes inform D06 but are not duplicate D06 scores.</t>
        </is>
      </c>
    </row>
    <row r="312">
      <c r="A312" s="18" t="inlineStr">
        <is>
          <t>CD18</t>
        </is>
      </c>
      <c r="B312" s="18" t="inlineStr">
        <is>
          <t>D09</t>
        </is>
      </c>
      <c r="C312" s="18" t="inlineStr">
        <is>
          <t>I12</t>
        </is>
      </c>
      <c r="D312" s="18" t="inlineStr">
        <is>
          <t>Alumni Career Intelligence</t>
        </is>
      </c>
      <c r="E312" s="18" t="inlineStr">
        <is>
          <t>D06</t>
        </is>
      </c>
      <c r="F312" s="18" t="inlineStr">
        <is>
          <t>I07</t>
        </is>
      </c>
      <c r="G312" s="18" t="inlineStr">
        <is>
          <t>Practical Capability</t>
        </is>
      </c>
      <c r="H312" s="18" t="inlineStr">
        <is>
          <t>External outcomes → student development</t>
        </is>
      </c>
      <c r="I312" s="18" t="inlineStr">
        <is>
          <t>If employment evidence exposes capability gaps but student development is unchanged, flag outcome-to-learning-loop gap.</t>
        </is>
      </c>
      <c r="J312" s="18" t="inlineStr">
        <is>
          <t>Student development review</t>
        </is>
      </c>
      <c r="K312" s="18" t="inlineStr">
        <is>
          <t>Outcomes inform D06 but are not duplicate D06 scores.</t>
        </is>
      </c>
    </row>
    <row r="313">
      <c r="A313" s="18" t="inlineStr">
        <is>
          <t>CD18</t>
        </is>
      </c>
      <c r="B313" s="18" t="inlineStr">
        <is>
          <t>D09</t>
        </is>
      </c>
      <c r="C313" s="18" t="inlineStr">
        <is>
          <t>I12</t>
        </is>
      </c>
      <c r="D313" s="18" t="inlineStr">
        <is>
          <t>Alumni Career Intelligence</t>
        </is>
      </c>
      <c r="E313" s="18" t="inlineStr">
        <is>
          <t>D06</t>
        </is>
      </c>
      <c r="F313" s="18" t="inlineStr">
        <is>
          <t>I08</t>
        </is>
      </c>
      <c r="G313" s="18" t="inlineStr">
        <is>
          <t>Career Adaptability</t>
        </is>
      </c>
      <c r="H313" s="18" t="inlineStr">
        <is>
          <t>External outcomes → student development</t>
        </is>
      </c>
      <c r="I313" s="18" t="inlineStr">
        <is>
          <t>If employment evidence exposes capability gaps but student development is unchanged, flag outcome-to-learning-loop gap.</t>
        </is>
      </c>
      <c r="J313" s="18" t="inlineStr">
        <is>
          <t>Student development review</t>
        </is>
      </c>
      <c r="K313" s="18" t="inlineStr">
        <is>
          <t>Outcomes inform D06 but are not duplicate D06 scores.</t>
        </is>
      </c>
    </row>
    <row r="314">
      <c r="A314" s="18" t="inlineStr">
        <is>
          <t>CD18</t>
        </is>
      </c>
      <c r="B314" s="18" t="inlineStr">
        <is>
          <t>D09</t>
        </is>
      </c>
      <c r="C314" s="18" t="inlineStr">
        <is>
          <t>I12</t>
        </is>
      </c>
      <c r="D314" s="18" t="inlineStr">
        <is>
          <t>Alumni Career Intelligence</t>
        </is>
      </c>
      <c r="E314" s="18" t="inlineStr">
        <is>
          <t>D06</t>
        </is>
      </c>
      <c r="F314" s="18" t="inlineStr">
        <is>
          <t>I09</t>
        </is>
      </c>
      <c r="G314" s="18" t="inlineStr">
        <is>
          <t>Portfolio &amp; Capability Signalling</t>
        </is>
      </c>
      <c r="H314" s="18" t="inlineStr">
        <is>
          <t>External outcomes → student development</t>
        </is>
      </c>
      <c r="I314" s="18" t="inlineStr">
        <is>
          <t>If employment evidence exposes capability gaps but student development is unchanged, flag outcome-to-learning-loop gap.</t>
        </is>
      </c>
      <c r="J314" s="18" t="inlineStr">
        <is>
          <t>Student development review</t>
        </is>
      </c>
      <c r="K314" s="18" t="inlineStr">
        <is>
          <t>Outcomes inform D06 but are not duplicate D06 scores.</t>
        </is>
      </c>
    </row>
    <row r="315">
      <c r="A315" s="18" t="inlineStr">
        <is>
          <t>CD18</t>
        </is>
      </c>
      <c r="B315" s="18" t="inlineStr">
        <is>
          <t>D09</t>
        </is>
      </c>
      <c r="C315" s="18" t="inlineStr">
        <is>
          <t>I12</t>
        </is>
      </c>
      <c r="D315" s="18" t="inlineStr">
        <is>
          <t>Alumni Career Intelligence</t>
        </is>
      </c>
      <c r="E315" s="18" t="inlineStr">
        <is>
          <t>D06</t>
        </is>
      </c>
      <c r="F315" s="18" t="inlineStr">
        <is>
          <t>I14</t>
        </is>
      </c>
      <c r="G315" s="18" t="inlineStr">
        <is>
          <t>Student Voice &amp; Feedback Loop</t>
        </is>
      </c>
      <c r="H315" s="18" t="inlineStr">
        <is>
          <t>External outcomes → student development</t>
        </is>
      </c>
      <c r="I315" s="18" t="inlineStr">
        <is>
          <t>If employment evidence exposes capability gaps but student development is unchanged, flag outcome-to-learning-loop gap.</t>
        </is>
      </c>
      <c r="J315" s="18" t="inlineStr">
        <is>
          <t>Student development review</t>
        </is>
      </c>
      <c r="K315" s="18" t="inlineStr">
        <is>
          <t>Outcomes inform D06 but are not duplicate D06 scores.</t>
        </is>
      </c>
    </row>
    <row r="316">
      <c r="A316" s="18" t="inlineStr">
        <is>
          <t>CD19</t>
        </is>
      </c>
      <c r="B316" s="18" t="inlineStr">
        <is>
          <t>D10</t>
        </is>
      </c>
      <c r="C316" s="18" t="inlineStr">
        <is>
          <t>I03</t>
        </is>
      </c>
      <c r="D316" s="18" t="inlineStr">
        <is>
          <t>Interdisciplinary Research Capability</t>
        </is>
      </c>
      <c r="E316" s="18" t="inlineStr">
        <is>
          <t>D03</t>
        </is>
      </c>
      <c r="F316" s="18" t="inlineStr">
        <is>
          <t>I05</t>
        </is>
      </c>
      <c r="G316" s="18" t="inlineStr">
        <is>
          <t>Problem Formulation</t>
        </is>
      </c>
      <c r="H316" s="18" t="inlineStr">
        <is>
          <t>Research → human capability</t>
        </is>
      </c>
      <c r="I316" s="18" t="inlineStr">
        <is>
          <t>If research/creator capability is strong but student higher-order capability pathways are absent, flag research-to-learning disconnect.</t>
        </is>
      </c>
      <c r="J316" s="18" t="inlineStr">
        <is>
          <t>Research-learning review</t>
        </is>
      </c>
      <c r="K316" s="18" t="inlineStr">
        <is>
          <t>Research strength does not automatically raise D03.</t>
        </is>
      </c>
    </row>
    <row r="317">
      <c r="A317" s="18" t="inlineStr">
        <is>
          <t>CD19</t>
        </is>
      </c>
      <c r="B317" s="18" t="inlineStr">
        <is>
          <t>D10</t>
        </is>
      </c>
      <c r="C317" s="18" t="inlineStr">
        <is>
          <t>I03</t>
        </is>
      </c>
      <c r="D317" s="18" t="inlineStr">
        <is>
          <t>Interdisciplinary Research Capability</t>
        </is>
      </c>
      <c r="E317" s="18" t="inlineStr">
        <is>
          <t>D03</t>
        </is>
      </c>
      <c r="F317" s="18" t="inlineStr">
        <is>
          <t>I06</t>
        </is>
      </c>
      <c r="G317" s="18" t="inlineStr">
        <is>
          <t>Creativity &amp; Originality</t>
        </is>
      </c>
      <c r="H317" s="18" t="inlineStr">
        <is>
          <t>Research → human capability</t>
        </is>
      </c>
      <c r="I317" s="18" t="inlineStr">
        <is>
          <t>If research/creator capability is strong but student higher-order capability pathways are absent, flag research-to-learning disconnect.</t>
        </is>
      </c>
      <c r="J317" s="18" t="inlineStr">
        <is>
          <t>Research-learning review</t>
        </is>
      </c>
      <c r="K317" s="18" t="inlineStr">
        <is>
          <t>Research strength does not automatically raise D03.</t>
        </is>
      </c>
    </row>
    <row r="318">
      <c r="A318" s="18" t="inlineStr">
        <is>
          <t>CD19</t>
        </is>
      </c>
      <c r="B318" s="18" t="inlineStr">
        <is>
          <t>D10</t>
        </is>
      </c>
      <c r="C318" s="18" t="inlineStr">
        <is>
          <t>I03</t>
        </is>
      </c>
      <c r="D318" s="18" t="inlineStr">
        <is>
          <t>Interdisciplinary Research Capability</t>
        </is>
      </c>
      <c r="E318" s="18" t="inlineStr">
        <is>
          <t>D03</t>
        </is>
      </c>
      <c r="F318" s="18" t="inlineStr">
        <is>
          <t>I07</t>
        </is>
      </c>
      <c r="G318" s="18" t="inlineStr">
        <is>
          <t>Judgement Capability</t>
        </is>
      </c>
      <c r="H318" s="18" t="inlineStr">
        <is>
          <t>Research → human capability</t>
        </is>
      </c>
      <c r="I318" s="18" t="inlineStr">
        <is>
          <t>If research/creator capability is strong but student higher-order capability pathways are absent, flag research-to-learning disconnect.</t>
        </is>
      </c>
      <c r="J318" s="18" t="inlineStr">
        <is>
          <t>Research-learning review</t>
        </is>
      </c>
      <c r="K318" s="18" t="inlineStr">
        <is>
          <t>Research strength does not automatically raise D03.</t>
        </is>
      </c>
    </row>
    <row r="319">
      <c r="A319" s="18" t="inlineStr">
        <is>
          <t>CD19</t>
        </is>
      </c>
      <c r="B319" s="18" t="inlineStr">
        <is>
          <t>D10</t>
        </is>
      </c>
      <c r="C319" s="18" t="inlineStr">
        <is>
          <t>I03</t>
        </is>
      </c>
      <c r="D319" s="18" t="inlineStr">
        <is>
          <t>Interdisciplinary Research Capability</t>
        </is>
      </c>
      <c r="E319" s="18" t="inlineStr">
        <is>
          <t>D03</t>
        </is>
      </c>
      <c r="F319" s="18" t="inlineStr">
        <is>
          <t>I13</t>
        </is>
      </c>
      <c r="G319" s="18" t="inlineStr">
        <is>
          <t>Practical Capability</t>
        </is>
      </c>
      <c r="H319" s="18" t="inlineStr">
        <is>
          <t>Research → human capability</t>
        </is>
      </c>
      <c r="I319" s="18" t="inlineStr">
        <is>
          <t>If research/creator capability is strong but student higher-order capability pathways are absent, flag research-to-learning disconnect.</t>
        </is>
      </c>
      <c r="J319" s="18" t="inlineStr">
        <is>
          <t>Research-learning review</t>
        </is>
      </c>
      <c r="K319" s="18" t="inlineStr">
        <is>
          <t>Research strength does not automatically raise D03.</t>
        </is>
      </c>
    </row>
    <row r="320">
      <c r="A320" s="18" t="inlineStr">
        <is>
          <t>CD19</t>
        </is>
      </c>
      <c r="B320" s="18" t="inlineStr">
        <is>
          <t>D10</t>
        </is>
      </c>
      <c r="C320" s="18" t="inlineStr">
        <is>
          <t>I03</t>
        </is>
      </c>
      <c r="D320" s="18" t="inlineStr">
        <is>
          <t>Interdisciplinary Research Capability</t>
        </is>
      </c>
      <c r="E320" s="18" t="inlineStr">
        <is>
          <t>D03</t>
        </is>
      </c>
      <c r="F320" s="18" t="inlineStr">
        <is>
          <t>I16</t>
        </is>
      </c>
      <c r="G320" s="18" t="inlineStr">
        <is>
          <t>Transfer Capability</t>
        </is>
      </c>
      <c r="H320" s="18" t="inlineStr">
        <is>
          <t>Research → human capability</t>
        </is>
      </c>
      <c r="I320" s="18" t="inlineStr">
        <is>
          <t>If research/creator capability is strong but student higher-order capability pathways are absent, flag research-to-learning disconnect.</t>
        </is>
      </c>
      <c r="J320" s="18" t="inlineStr">
        <is>
          <t>Research-learning review</t>
        </is>
      </c>
      <c r="K320" s="18" t="inlineStr">
        <is>
          <t>Research strength does not automatically raise D03.</t>
        </is>
      </c>
    </row>
    <row r="321">
      <c r="A321" s="18" t="inlineStr">
        <is>
          <t>CD19</t>
        </is>
      </c>
      <c r="B321" s="18" t="inlineStr">
        <is>
          <t>D10</t>
        </is>
      </c>
      <c r="C321" s="18" t="inlineStr">
        <is>
          <t>I08</t>
        </is>
      </c>
      <c r="D321" s="18" t="inlineStr">
        <is>
          <t>Knowledge Translation Capability</t>
        </is>
      </c>
      <c r="E321" s="18" t="inlineStr">
        <is>
          <t>D03</t>
        </is>
      </c>
      <c r="F321" s="18" t="inlineStr">
        <is>
          <t>I05</t>
        </is>
      </c>
      <c r="G321" s="18" t="inlineStr">
        <is>
          <t>Problem Formulation</t>
        </is>
      </c>
      <c r="H321" s="18" t="inlineStr">
        <is>
          <t>Research → human capability</t>
        </is>
      </c>
      <c r="I321" s="18" t="inlineStr">
        <is>
          <t>If research/creator capability is strong but student higher-order capability pathways are absent, flag research-to-learning disconnect.</t>
        </is>
      </c>
      <c r="J321" s="18" t="inlineStr">
        <is>
          <t>Research-learning review</t>
        </is>
      </c>
      <c r="K321" s="18" t="inlineStr">
        <is>
          <t>Research strength does not automatically raise D03.</t>
        </is>
      </c>
    </row>
    <row r="322">
      <c r="A322" s="18" t="inlineStr">
        <is>
          <t>CD19</t>
        </is>
      </c>
      <c r="B322" s="18" t="inlineStr">
        <is>
          <t>D10</t>
        </is>
      </c>
      <c r="C322" s="18" t="inlineStr">
        <is>
          <t>I08</t>
        </is>
      </c>
      <c r="D322" s="18" t="inlineStr">
        <is>
          <t>Knowledge Translation Capability</t>
        </is>
      </c>
      <c r="E322" s="18" t="inlineStr">
        <is>
          <t>D03</t>
        </is>
      </c>
      <c r="F322" s="18" t="inlineStr">
        <is>
          <t>I06</t>
        </is>
      </c>
      <c r="G322" s="18" t="inlineStr">
        <is>
          <t>Creativity &amp; Originality</t>
        </is>
      </c>
      <c r="H322" s="18" t="inlineStr">
        <is>
          <t>Research → human capability</t>
        </is>
      </c>
      <c r="I322" s="18" t="inlineStr">
        <is>
          <t>If research/creator capability is strong but student higher-order capability pathways are absent, flag research-to-learning disconnect.</t>
        </is>
      </c>
      <c r="J322" s="18" t="inlineStr">
        <is>
          <t>Research-learning review</t>
        </is>
      </c>
      <c r="K322" s="18" t="inlineStr">
        <is>
          <t>Research strength does not automatically raise D03.</t>
        </is>
      </c>
    </row>
    <row r="323">
      <c r="A323" s="18" t="inlineStr">
        <is>
          <t>CD19</t>
        </is>
      </c>
      <c r="B323" s="18" t="inlineStr">
        <is>
          <t>D10</t>
        </is>
      </c>
      <c r="C323" s="18" t="inlineStr">
        <is>
          <t>I08</t>
        </is>
      </c>
      <c r="D323" s="18" t="inlineStr">
        <is>
          <t>Knowledge Translation Capability</t>
        </is>
      </c>
      <c r="E323" s="18" t="inlineStr">
        <is>
          <t>D03</t>
        </is>
      </c>
      <c r="F323" s="18" t="inlineStr">
        <is>
          <t>I07</t>
        </is>
      </c>
      <c r="G323" s="18" t="inlineStr">
        <is>
          <t>Judgement Capability</t>
        </is>
      </c>
      <c r="H323" s="18" t="inlineStr">
        <is>
          <t>Research → human capability</t>
        </is>
      </c>
      <c r="I323" s="18" t="inlineStr">
        <is>
          <t>If research/creator capability is strong but student higher-order capability pathways are absent, flag research-to-learning disconnect.</t>
        </is>
      </c>
      <c r="J323" s="18" t="inlineStr">
        <is>
          <t>Research-learning review</t>
        </is>
      </c>
      <c r="K323" s="18" t="inlineStr">
        <is>
          <t>Research strength does not automatically raise D03.</t>
        </is>
      </c>
    </row>
    <row r="324">
      <c r="A324" s="18" t="inlineStr">
        <is>
          <t>CD19</t>
        </is>
      </c>
      <c r="B324" s="18" t="inlineStr">
        <is>
          <t>D10</t>
        </is>
      </c>
      <c r="C324" s="18" t="inlineStr">
        <is>
          <t>I08</t>
        </is>
      </c>
      <c r="D324" s="18" t="inlineStr">
        <is>
          <t>Knowledge Translation Capability</t>
        </is>
      </c>
      <c r="E324" s="18" t="inlineStr">
        <is>
          <t>D03</t>
        </is>
      </c>
      <c r="F324" s="18" t="inlineStr">
        <is>
          <t>I13</t>
        </is>
      </c>
      <c r="G324" s="18" t="inlineStr">
        <is>
          <t>Practical Capability</t>
        </is>
      </c>
      <c r="H324" s="18" t="inlineStr">
        <is>
          <t>Research → human capability</t>
        </is>
      </c>
      <c r="I324" s="18" t="inlineStr">
        <is>
          <t>If research/creator capability is strong but student higher-order capability pathways are absent, flag research-to-learning disconnect.</t>
        </is>
      </c>
      <c r="J324" s="18" t="inlineStr">
        <is>
          <t>Research-learning review</t>
        </is>
      </c>
      <c r="K324" s="18" t="inlineStr">
        <is>
          <t>Research strength does not automatically raise D03.</t>
        </is>
      </c>
    </row>
    <row r="325">
      <c r="A325" s="18" t="inlineStr">
        <is>
          <t>CD19</t>
        </is>
      </c>
      <c r="B325" s="18" t="inlineStr">
        <is>
          <t>D10</t>
        </is>
      </c>
      <c r="C325" s="18" t="inlineStr">
        <is>
          <t>I08</t>
        </is>
      </c>
      <c r="D325" s="18" t="inlineStr">
        <is>
          <t>Knowledge Translation Capability</t>
        </is>
      </c>
      <c r="E325" s="18" t="inlineStr">
        <is>
          <t>D03</t>
        </is>
      </c>
      <c r="F325" s="18" t="inlineStr">
        <is>
          <t>I16</t>
        </is>
      </c>
      <c r="G325" s="18" t="inlineStr">
        <is>
          <t>Transfer Capability</t>
        </is>
      </c>
      <c r="H325" s="18" t="inlineStr">
        <is>
          <t>Research → human capability</t>
        </is>
      </c>
      <c r="I325" s="18" t="inlineStr">
        <is>
          <t>If research/creator capability is strong but student higher-order capability pathways are absent, flag research-to-learning disconnect.</t>
        </is>
      </c>
      <c r="J325" s="18" t="inlineStr">
        <is>
          <t>Research-learning review</t>
        </is>
      </c>
      <c r="K325" s="18" t="inlineStr">
        <is>
          <t>Research strength does not automatically raise D03.</t>
        </is>
      </c>
    </row>
    <row r="326">
      <c r="A326" s="18" t="inlineStr">
        <is>
          <t>CD19</t>
        </is>
      </c>
      <c r="B326" s="18" t="inlineStr">
        <is>
          <t>D10</t>
        </is>
      </c>
      <c r="C326" s="18" t="inlineStr">
        <is>
          <t>I14</t>
        </is>
      </c>
      <c r="D326" s="18" t="inlineStr">
        <is>
          <t>Student Research Capability</t>
        </is>
      </c>
      <c r="E326" s="18" t="inlineStr">
        <is>
          <t>D03</t>
        </is>
      </c>
      <c r="F326" s="18" t="inlineStr">
        <is>
          <t>I05</t>
        </is>
      </c>
      <c r="G326" s="18" t="inlineStr">
        <is>
          <t>Problem Formulation</t>
        </is>
      </c>
      <c r="H326" s="18" t="inlineStr">
        <is>
          <t>Research → human capability</t>
        </is>
      </c>
      <c r="I326" s="18" t="inlineStr">
        <is>
          <t>If research/creator capability is strong but student higher-order capability pathways are absent, flag research-to-learning disconnect.</t>
        </is>
      </c>
      <c r="J326" s="18" t="inlineStr">
        <is>
          <t>Research-learning review</t>
        </is>
      </c>
      <c r="K326" s="18" t="inlineStr">
        <is>
          <t>Research strength does not automatically raise D03.</t>
        </is>
      </c>
    </row>
    <row r="327">
      <c r="A327" s="18" t="inlineStr">
        <is>
          <t>CD19</t>
        </is>
      </c>
      <c r="B327" s="18" t="inlineStr">
        <is>
          <t>D10</t>
        </is>
      </c>
      <c r="C327" s="18" t="inlineStr">
        <is>
          <t>I14</t>
        </is>
      </c>
      <c r="D327" s="18" t="inlineStr">
        <is>
          <t>Student Research Capability</t>
        </is>
      </c>
      <c r="E327" s="18" t="inlineStr">
        <is>
          <t>D03</t>
        </is>
      </c>
      <c r="F327" s="18" t="inlineStr">
        <is>
          <t>I06</t>
        </is>
      </c>
      <c r="G327" s="18" t="inlineStr">
        <is>
          <t>Creativity &amp; Originality</t>
        </is>
      </c>
      <c r="H327" s="18" t="inlineStr">
        <is>
          <t>Research → human capability</t>
        </is>
      </c>
      <c r="I327" s="18" t="inlineStr">
        <is>
          <t>If research/creator capability is strong but student higher-order capability pathways are absent, flag research-to-learning disconnect.</t>
        </is>
      </c>
      <c r="J327" s="18" t="inlineStr">
        <is>
          <t>Research-learning review</t>
        </is>
      </c>
      <c r="K327" s="18" t="inlineStr">
        <is>
          <t>Research strength does not automatically raise D03.</t>
        </is>
      </c>
    </row>
    <row r="328">
      <c r="A328" s="18" t="inlineStr">
        <is>
          <t>CD19</t>
        </is>
      </c>
      <c r="B328" s="18" t="inlineStr">
        <is>
          <t>D10</t>
        </is>
      </c>
      <c r="C328" s="18" t="inlineStr">
        <is>
          <t>I14</t>
        </is>
      </c>
      <c r="D328" s="18" t="inlineStr">
        <is>
          <t>Student Research Capability</t>
        </is>
      </c>
      <c r="E328" s="18" t="inlineStr">
        <is>
          <t>D03</t>
        </is>
      </c>
      <c r="F328" s="18" t="inlineStr">
        <is>
          <t>I07</t>
        </is>
      </c>
      <c r="G328" s="18" t="inlineStr">
        <is>
          <t>Judgement Capability</t>
        </is>
      </c>
      <c r="H328" s="18" t="inlineStr">
        <is>
          <t>Research → human capability</t>
        </is>
      </c>
      <c r="I328" s="18" t="inlineStr">
        <is>
          <t>If research/creator capability is strong but student higher-order capability pathways are absent, flag research-to-learning disconnect.</t>
        </is>
      </c>
      <c r="J328" s="18" t="inlineStr">
        <is>
          <t>Research-learning review</t>
        </is>
      </c>
      <c r="K328" s="18" t="inlineStr">
        <is>
          <t>Research strength does not automatically raise D03.</t>
        </is>
      </c>
    </row>
    <row r="329">
      <c r="A329" s="18" t="inlineStr">
        <is>
          <t>CD19</t>
        </is>
      </c>
      <c r="B329" s="18" t="inlineStr">
        <is>
          <t>D10</t>
        </is>
      </c>
      <c r="C329" s="18" t="inlineStr">
        <is>
          <t>I14</t>
        </is>
      </c>
      <c r="D329" s="18" t="inlineStr">
        <is>
          <t>Student Research Capability</t>
        </is>
      </c>
      <c r="E329" s="18" t="inlineStr">
        <is>
          <t>D03</t>
        </is>
      </c>
      <c r="F329" s="18" t="inlineStr">
        <is>
          <t>I13</t>
        </is>
      </c>
      <c r="G329" s="18" t="inlineStr">
        <is>
          <t>Practical Capability</t>
        </is>
      </c>
      <c r="H329" s="18" t="inlineStr">
        <is>
          <t>Research → human capability</t>
        </is>
      </c>
      <c r="I329" s="18" t="inlineStr">
        <is>
          <t>If research/creator capability is strong but student higher-order capability pathways are absent, flag research-to-learning disconnect.</t>
        </is>
      </c>
      <c r="J329" s="18" t="inlineStr">
        <is>
          <t>Research-learning review</t>
        </is>
      </c>
      <c r="K329" s="18" t="inlineStr">
        <is>
          <t>Research strength does not automatically raise D03.</t>
        </is>
      </c>
    </row>
    <row r="330">
      <c r="A330" s="18" t="inlineStr">
        <is>
          <t>CD19</t>
        </is>
      </c>
      <c r="B330" s="18" t="inlineStr">
        <is>
          <t>D10</t>
        </is>
      </c>
      <c r="C330" s="18" t="inlineStr">
        <is>
          <t>I14</t>
        </is>
      </c>
      <c r="D330" s="18" t="inlineStr">
        <is>
          <t>Student Research Capability</t>
        </is>
      </c>
      <c r="E330" s="18" t="inlineStr">
        <is>
          <t>D03</t>
        </is>
      </c>
      <c r="F330" s="18" t="inlineStr">
        <is>
          <t>I16</t>
        </is>
      </c>
      <c r="G330" s="18" t="inlineStr">
        <is>
          <t>Transfer Capability</t>
        </is>
      </c>
      <c r="H330" s="18" t="inlineStr">
        <is>
          <t>Research → human capability</t>
        </is>
      </c>
      <c r="I330" s="18" t="inlineStr">
        <is>
          <t>If research/creator capability is strong but student higher-order capability pathways are absent, flag research-to-learning disconnect.</t>
        </is>
      </c>
      <c r="J330" s="18" t="inlineStr">
        <is>
          <t>Research-learning review</t>
        </is>
      </c>
      <c r="K330" s="18" t="inlineStr">
        <is>
          <t>Research strength does not automatically raise D03.</t>
        </is>
      </c>
    </row>
    <row r="331">
      <c r="A331" s="18" t="inlineStr">
        <is>
          <t>CD20</t>
        </is>
      </c>
      <c r="B331" s="18" t="inlineStr">
        <is>
          <t>D10</t>
        </is>
      </c>
      <c r="C331" s="18" t="inlineStr">
        <is>
          <t>I08</t>
        </is>
      </c>
      <c r="D331" s="18" t="inlineStr">
        <is>
          <t>Knowledge Translation Capability</t>
        </is>
      </c>
      <c r="E331" s="18" t="inlineStr">
        <is>
          <t>D09</t>
        </is>
      </c>
      <c r="F331" s="18" t="inlineStr">
        <is>
          <t>I05</t>
        </is>
      </c>
      <c r="G331" s="18" t="inlineStr">
        <is>
          <t>Recruiter Confidence</t>
        </is>
      </c>
      <c r="H331" s="18" t="inlineStr">
        <is>
          <t>Research/innovation → external value</t>
        </is>
      </c>
      <c r="I331" s="18" t="inlineStr">
        <is>
          <t>If translation/industry/impact claims are strong but external value evidence is weak, flag research-to-value gap.</t>
        </is>
      </c>
      <c r="J331" s="18" t="inlineStr">
        <is>
          <t>Translation review</t>
        </is>
      </c>
      <c r="K331" s="18" t="inlineStr">
        <is>
          <t>Do not double count impact evidence.</t>
        </is>
      </c>
    </row>
    <row r="332">
      <c r="A332" s="18" t="inlineStr">
        <is>
          <t>CD20</t>
        </is>
      </c>
      <c r="B332" s="18" t="inlineStr">
        <is>
          <t>D10</t>
        </is>
      </c>
      <c r="C332" s="18" t="inlineStr">
        <is>
          <t>I08</t>
        </is>
      </c>
      <c r="D332" s="18" t="inlineStr">
        <is>
          <t>Knowledge Translation Capability</t>
        </is>
      </c>
      <c r="E332" s="18" t="inlineStr">
        <is>
          <t>D09</t>
        </is>
      </c>
      <c r="F332" s="18" t="inlineStr">
        <is>
          <t>I10</t>
        </is>
      </c>
      <c r="G332" s="18" t="inlineStr">
        <is>
          <t>Industry Co-Creation</t>
        </is>
      </c>
      <c r="H332" s="18" t="inlineStr">
        <is>
          <t>Research/innovation → external value</t>
        </is>
      </c>
      <c r="I332" s="18" t="inlineStr">
        <is>
          <t>If translation/industry/impact claims are strong but external value evidence is weak, flag research-to-value gap.</t>
        </is>
      </c>
      <c r="J332" s="18" t="inlineStr">
        <is>
          <t>Translation review</t>
        </is>
      </c>
      <c r="K332" s="18" t="inlineStr">
        <is>
          <t>Do not double count impact evidence.</t>
        </is>
      </c>
    </row>
    <row r="333">
      <c r="A333" s="18" t="inlineStr">
        <is>
          <t>CD20</t>
        </is>
      </c>
      <c r="B333" s="18" t="inlineStr">
        <is>
          <t>D10</t>
        </is>
      </c>
      <c r="C333" s="18" t="inlineStr">
        <is>
          <t>I08</t>
        </is>
      </c>
      <c r="D333" s="18" t="inlineStr">
        <is>
          <t>Knowledge Translation Capability</t>
        </is>
      </c>
      <c r="E333" s="18" t="inlineStr">
        <is>
          <t>D09</t>
        </is>
      </c>
      <c r="F333" s="18" t="inlineStr">
        <is>
          <t>I11</t>
        </is>
      </c>
      <c r="G333" s="18" t="inlineStr">
        <is>
          <t>Regional/Economic Relevance</t>
        </is>
      </c>
      <c r="H333" s="18" t="inlineStr">
        <is>
          <t>Research/innovation → external value</t>
        </is>
      </c>
      <c r="I333" s="18" t="inlineStr">
        <is>
          <t>If translation/industry/impact claims are strong but external value evidence is weak, flag research-to-value gap.</t>
        </is>
      </c>
      <c r="J333" s="18" t="inlineStr">
        <is>
          <t>Translation review</t>
        </is>
      </c>
      <c r="K333" s="18" t="inlineStr">
        <is>
          <t>Do not double count impact evidence.</t>
        </is>
      </c>
    </row>
    <row r="334">
      <c r="A334" s="18" t="inlineStr">
        <is>
          <t>CD20</t>
        </is>
      </c>
      <c r="B334" s="18" t="inlineStr">
        <is>
          <t>D10</t>
        </is>
      </c>
      <c r="C334" s="18" t="inlineStr">
        <is>
          <t>I08</t>
        </is>
      </c>
      <c r="D334" s="18" t="inlineStr">
        <is>
          <t>Knowledge Translation Capability</t>
        </is>
      </c>
      <c r="E334" s="18" t="inlineStr">
        <is>
          <t>D09</t>
        </is>
      </c>
      <c r="F334" s="18" t="inlineStr">
        <is>
          <t>I12</t>
        </is>
      </c>
      <c r="G334" s="18" t="inlineStr">
        <is>
          <t>Alumni Career Intelligence</t>
        </is>
      </c>
      <c r="H334" s="18" t="inlineStr">
        <is>
          <t>Research/innovation → external value</t>
        </is>
      </c>
      <c r="I334" s="18" t="inlineStr">
        <is>
          <t>If translation/industry/impact claims are strong but external value evidence is weak, flag research-to-value gap.</t>
        </is>
      </c>
      <c r="J334" s="18" t="inlineStr">
        <is>
          <t>Translation review</t>
        </is>
      </c>
      <c r="K334" s="18" t="inlineStr">
        <is>
          <t>Do not double count impact evidence.</t>
        </is>
      </c>
    </row>
    <row r="335">
      <c r="A335" s="18" t="inlineStr">
        <is>
          <t>CD20</t>
        </is>
      </c>
      <c r="B335" s="18" t="inlineStr">
        <is>
          <t>D10</t>
        </is>
      </c>
      <c r="C335" s="18" t="inlineStr">
        <is>
          <t>I09</t>
        </is>
      </c>
      <c r="D335" s="18" t="inlineStr">
        <is>
          <t>Industry-Linked Research</t>
        </is>
      </c>
      <c r="E335" s="18" t="inlineStr">
        <is>
          <t>D09</t>
        </is>
      </c>
      <c r="F335" s="18" t="inlineStr">
        <is>
          <t>I05</t>
        </is>
      </c>
      <c r="G335" s="18" t="inlineStr">
        <is>
          <t>Recruiter Confidence</t>
        </is>
      </c>
      <c r="H335" s="18" t="inlineStr">
        <is>
          <t>Research/innovation → external value</t>
        </is>
      </c>
      <c r="I335" s="18" t="inlineStr">
        <is>
          <t>If translation/industry/impact claims are strong but external value evidence is weak, flag research-to-value gap.</t>
        </is>
      </c>
      <c r="J335" s="18" t="inlineStr">
        <is>
          <t>Translation review</t>
        </is>
      </c>
      <c r="K335" s="18" t="inlineStr">
        <is>
          <t>Do not double count impact evidence.</t>
        </is>
      </c>
    </row>
    <row r="336">
      <c r="A336" s="18" t="inlineStr">
        <is>
          <t>CD20</t>
        </is>
      </c>
      <c r="B336" s="18" t="inlineStr">
        <is>
          <t>D10</t>
        </is>
      </c>
      <c r="C336" s="18" t="inlineStr">
        <is>
          <t>I09</t>
        </is>
      </c>
      <c r="D336" s="18" t="inlineStr">
        <is>
          <t>Industry-Linked Research</t>
        </is>
      </c>
      <c r="E336" s="18" t="inlineStr">
        <is>
          <t>D09</t>
        </is>
      </c>
      <c r="F336" s="18" t="inlineStr">
        <is>
          <t>I10</t>
        </is>
      </c>
      <c r="G336" s="18" t="inlineStr">
        <is>
          <t>Industry Co-Creation</t>
        </is>
      </c>
      <c r="H336" s="18" t="inlineStr">
        <is>
          <t>Research/innovation → external value</t>
        </is>
      </c>
      <c r="I336" s="18" t="inlineStr">
        <is>
          <t>If translation/industry/impact claims are strong but external value evidence is weak, flag research-to-value gap.</t>
        </is>
      </c>
      <c r="J336" s="18" t="inlineStr">
        <is>
          <t>Translation review</t>
        </is>
      </c>
      <c r="K336" s="18" t="inlineStr">
        <is>
          <t>Do not double count impact evidence.</t>
        </is>
      </c>
    </row>
    <row r="337">
      <c r="A337" s="18" t="inlineStr">
        <is>
          <t>CD20</t>
        </is>
      </c>
      <c r="B337" s="18" t="inlineStr">
        <is>
          <t>D10</t>
        </is>
      </c>
      <c r="C337" s="18" t="inlineStr">
        <is>
          <t>I09</t>
        </is>
      </c>
      <c r="D337" s="18" t="inlineStr">
        <is>
          <t>Industry-Linked Research</t>
        </is>
      </c>
      <c r="E337" s="18" t="inlineStr">
        <is>
          <t>D09</t>
        </is>
      </c>
      <c r="F337" s="18" t="inlineStr">
        <is>
          <t>I11</t>
        </is>
      </c>
      <c r="G337" s="18" t="inlineStr">
        <is>
          <t>Regional/Economic Relevance</t>
        </is>
      </c>
      <c r="H337" s="18" t="inlineStr">
        <is>
          <t>Research/innovation → external value</t>
        </is>
      </c>
      <c r="I337" s="18" t="inlineStr">
        <is>
          <t>If translation/industry/impact claims are strong but external value evidence is weak, flag research-to-value gap.</t>
        </is>
      </c>
      <c r="J337" s="18" t="inlineStr">
        <is>
          <t>Translation review</t>
        </is>
      </c>
      <c r="K337" s="18" t="inlineStr">
        <is>
          <t>Do not double count impact evidence.</t>
        </is>
      </c>
    </row>
    <row r="338">
      <c r="A338" s="18" t="inlineStr">
        <is>
          <t>CD20</t>
        </is>
      </c>
      <c r="B338" s="18" t="inlineStr">
        <is>
          <t>D10</t>
        </is>
      </c>
      <c r="C338" s="18" t="inlineStr">
        <is>
          <t>I09</t>
        </is>
      </c>
      <c r="D338" s="18" t="inlineStr">
        <is>
          <t>Industry-Linked Research</t>
        </is>
      </c>
      <c r="E338" s="18" t="inlineStr">
        <is>
          <t>D09</t>
        </is>
      </c>
      <c r="F338" s="18" t="inlineStr">
        <is>
          <t>I12</t>
        </is>
      </c>
      <c r="G338" s="18" t="inlineStr">
        <is>
          <t>Alumni Career Intelligence</t>
        </is>
      </c>
      <c r="H338" s="18" t="inlineStr">
        <is>
          <t>Research/innovation → external value</t>
        </is>
      </c>
      <c r="I338" s="18" t="inlineStr">
        <is>
          <t>If translation/industry/impact claims are strong but external value evidence is weak, flag research-to-value gap.</t>
        </is>
      </c>
      <c r="J338" s="18" t="inlineStr">
        <is>
          <t>Translation review</t>
        </is>
      </c>
      <c r="K338" s="18" t="inlineStr">
        <is>
          <t>Do not double count impact evidence.</t>
        </is>
      </c>
    </row>
    <row r="339">
      <c r="A339" s="18" t="inlineStr">
        <is>
          <t>CD20</t>
        </is>
      </c>
      <c r="B339" s="18" t="inlineStr">
        <is>
          <t>D10</t>
        </is>
      </c>
      <c r="C339" s="18" t="inlineStr">
        <is>
          <t>I10</t>
        </is>
      </c>
      <c r="D339" s="18" t="inlineStr">
        <is>
          <t>Research-to-Innovation Pipeline</t>
        </is>
      </c>
      <c r="E339" s="18" t="inlineStr">
        <is>
          <t>D09</t>
        </is>
      </c>
      <c r="F339" s="18" t="inlineStr">
        <is>
          <t>I05</t>
        </is>
      </c>
      <c r="G339" s="18" t="inlineStr">
        <is>
          <t>Recruiter Confidence</t>
        </is>
      </c>
      <c r="H339" s="18" t="inlineStr">
        <is>
          <t>Research/innovation → external value</t>
        </is>
      </c>
      <c r="I339" s="18" t="inlineStr">
        <is>
          <t>If translation/industry/impact claims are strong but external value evidence is weak, flag research-to-value gap.</t>
        </is>
      </c>
      <c r="J339" s="18" t="inlineStr">
        <is>
          <t>Translation review</t>
        </is>
      </c>
      <c r="K339" s="18" t="inlineStr">
        <is>
          <t>Do not double count impact evidence.</t>
        </is>
      </c>
    </row>
    <row r="340">
      <c r="A340" s="18" t="inlineStr">
        <is>
          <t>CD20</t>
        </is>
      </c>
      <c r="B340" s="18" t="inlineStr">
        <is>
          <t>D10</t>
        </is>
      </c>
      <c r="C340" s="18" t="inlineStr">
        <is>
          <t>I10</t>
        </is>
      </c>
      <c r="D340" s="18" t="inlineStr">
        <is>
          <t>Research-to-Innovation Pipeline</t>
        </is>
      </c>
      <c r="E340" s="18" t="inlineStr">
        <is>
          <t>D09</t>
        </is>
      </c>
      <c r="F340" s="18" t="inlineStr">
        <is>
          <t>I10</t>
        </is>
      </c>
      <c r="G340" s="18" t="inlineStr">
        <is>
          <t>Industry Co-Creation</t>
        </is>
      </c>
      <c r="H340" s="18" t="inlineStr">
        <is>
          <t>Research/innovation → external value</t>
        </is>
      </c>
      <c r="I340" s="18" t="inlineStr">
        <is>
          <t>If translation/industry/impact claims are strong but external value evidence is weak, flag research-to-value gap.</t>
        </is>
      </c>
      <c r="J340" s="18" t="inlineStr">
        <is>
          <t>Translation review</t>
        </is>
      </c>
      <c r="K340" s="18" t="inlineStr">
        <is>
          <t>Do not double count impact evidence.</t>
        </is>
      </c>
    </row>
    <row r="341">
      <c r="A341" s="18" t="inlineStr">
        <is>
          <t>CD20</t>
        </is>
      </c>
      <c r="B341" s="18" t="inlineStr">
        <is>
          <t>D10</t>
        </is>
      </c>
      <c r="C341" s="18" t="inlineStr">
        <is>
          <t>I10</t>
        </is>
      </c>
      <c r="D341" s="18" t="inlineStr">
        <is>
          <t>Research-to-Innovation Pipeline</t>
        </is>
      </c>
      <c r="E341" s="18" t="inlineStr">
        <is>
          <t>D09</t>
        </is>
      </c>
      <c r="F341" s="18" t="inlineStr">
        <is>
          <t>I11</t>
        </is>
      </c>
      <c r="G341" s="18" t="inlineStr">
        <is>
          <t>Regional/Economic Relevance</t>
        </is>
      </c>
      <c r="H341" s="18" t="inlineStr">
        <is>
          <t>Research/innovation → external value</t>
        </is>
      </c>
      <c r="I341" s="18" t="inlineStr">
        <is>
          <t>If translation/industry/impact claims are strong but external value evidence is weak, flag research-to-value gap.</t>
        </is>
      </c>
      <c r="J341" s="18" t="inlineStr">
        <is>
          <t>Translation review</t>
        </is>
      </c>
      <c r="K341" s="18" t="inlineStr">
        <is>
          <t>Do not double count impact evidence.</t>
        </is>
      </c>
    </row>
    <row r="342">
      <c r="A342" s="18" t="inlineStr">
        <is>
          <t>CD20</t>
        </is>
      </c>
      <c r="B342" s="18" t="inlineStr">
        <is>
          <t>D10</t>
        </is>
      </c>
      <c r="C342" s="18" t="inlineStr">
        <is>
          <t>I10</t>
        </is>
      </c>
      <c r="D342" s="18" t="inlineStr">
        <is>
          <t>Research-to-Innovation Pipeline</t>
        </is>
      </c>
      <c r="E342" s="18" t="inlineStr">
        <is>
          <t>D09</t>
        </is>
      </c>
      <c r="F342" s="18" t="inlineStr">
        <is>
          <t>I12</t>
        </is>
      </c>
      <c r="G342" s="18" t="inlineStr">
        <is>
          <t>Alumni Career Intelligence</t>
        </is>
      </c>
      <c r="H342" s="18" t="inlineStr">
        <is>
          <t>Research/innovation → external value</t>
        </is>
      </c>
      <c r="I342" s="18" t="inlineStr">
        <is>
          <t>If translation/industry/impact claims are strong but external value evidence is weak, flag research-to-value gap.</t>
        </is>
      </c>
      <c r="J342" s="18" t="inlineStr">
        <is>
          <t>Translation review</t>
        </is>
      </c>
      <c r="K342" s="18" t="inlineStr">
        <is>
          <t>Do not double count impact evidence.</t>
        </is>
      </c>
    </row>
    <row r="343">
      <c r="A343" s="18" t="inlineStr">
        <is>
          <t>CD20</t>
        </is>
      </c>
      <c r="B343" s="18" t="inlineStr">
        <is>
          <t>D10</t>
        </is>
      </c>
      <c r="C343" s="18" t="inlineStr">
        <is>
          <t>I13</t>
        </is>
      </c>
      <c r="D343" s="18" t="inlineStr">
        <is>
          <t>Research Impact Evidence</t>
        </is>
      </c>
      <c r="E343" s="18" t="inlineStr">
        <is>
          <t>D09</t>
        </is>
      </c>
      <c r="F343" s="18" t="inlineStr">
        <is>
          <t>I05</t>
        </is>
      </c>
      <c r="G343" s="18" t="inlineStr">
        <is>
          <t>Recruiter Confidence</t>
        </is>
      </c>
      <c r="H343" s="18" t="inlineStr">
        <is>
          <t>Research/innovation → external value</t>
        </is>
      </c>
      <c r="I343" s="18" t="inlineStr">
        <is>
          <t>If translation/industry/impact claims are strong but external value evidence is weak, flag research-to-value gap.</t>
        </is>
      </c>
      <c r="J343" s="18" t="inlineStr">
        <is>
          <t>Translation review</t>
        </is>
      </c>
      <c r="K343" s="18" t="inlineStr">
        <is>
          <t>Do not double count impact evidence.</t>
        </is>
      </c>
    </row>
    <row r="344">
      <c r="A344" s="18" t="inlineStr">
        <is>
          <t>CD20</t>
        </is>
      </c>
      <c r="B344" s="18" t="inlineStr">
        <is>
          <t>D10</t>
        </is>
      </c>
      <c r="C344" s="18" t="inlineStr">
        <is>
          <t>I13</t>
        </is>
      </c>
      <c r="D344" s="18" t="inlineStr">
        <is>
          <t>Research Impact Evidence</t>
        </is>
      </c>
      <c r="E344" s="18" t="inlineStr">
        <is>
          <t>D09</t>
        </is>
      </c>
      <c r="F344" s="18" t="inlineStr">
        <is>
          <t>I10</t>
        </is>
      </c>
      <c r="G344" s="18" t="inlineStr">
        <is>
          <t>Industry Co-Creation</t>
        </is>
      </c>
      <c r="H344" s="18" t="inlineStr">
        <is>
          <t>Research/innovation → external value</t>
        </is>
      </c>
      <c r="I344" s="18" t="inlineStr">
        <is>
          <t>If translation/industry/impact claims are strong but external value evidence is weak, flag research-to-value gap.</t>
        </is>
      </c>
      <c r="J344" s="18" t="inlineStr">
        <is>
          <t>Translation review</t>
        </is>
      </c>
      <c r="K344" s="18" t="inlineStr">
        <is>
          <t>Do not double count impact evidence.</t>
        </is>
      </c>
    </row>
    <row r="345">
      <c r="A345" s="18" t="inlineStr">
        <is>
          <t>CD20</t>
        </is>
      </c>
      <c r="B345" s="18" t="inlineStr">
        <is>
          <t>D10</t>
        </is>
      </c>
      <c r="C345" s="18" t="inlineStr">
        <is>
          <t>I13</t>
        </is>
      </c>
      <c r="D345" s="18" t="inlineStr">
        <is>
          <t>Research Impact Evidence</t>
        </is>
      </c>
      <c r="E345" s="18" t="inlineStr">
        <is>
          <t>D09</t>
        </is>
      </c>
      <c r="F345" s="18" t="inlineStr">
        <is>
          <t>I11</t>
        </is>
      </c>
      <c r="G345" s="18" t="inlineStr">
        <is>
          <t>Regional/Economic Relevance</t>
        </is>
      </c>
      <c r="H345" s="18" t="inlineStr">
        <is>
          <t>Research/innovation → external value</t>
        </is>
      </c>
      <c r="I345" s="18" t="inlineStr">
        <is>
          <t>If translation/industry/impact claims are strong but external value evidence is weak, flag research-to-value gap.</t>
        </is>
      </c>
      <c r="J345" s="18" t="inlineStr">
        <is>
          <t>Translation review</t>
        </is>
      </c>
      <c r="K345" s="18" t="inlineStr">
        <is>
          <t>Do not double count impact evidence.</t>
        </is>
      </c>
    </row>
    <row r="346">
      <c r="A346" s="18" t="inlineStr">
        <is>
          <t>CD20</t>
        </is>
      </c>
      <c r="B346" s="18" t="inlineStr">
        <is>
          <t>D10</t>
        </is>
      </c>
      <c r="C346" s="18" t="inlineStr">
        <is>
          <t>I13</t>
        </is>
      </c>
      <c r="D346" s="18" t="inlineStr">
        <is>
          <t>Research Impact Evidence</t>
        </is>
      </c>
      <c r="E346" s="18" t="inlineStr">
        <is>
          <t>D09</t>
        </is>
      </c>
      <c r="F346" s="18" t="inlineStr">
        <is>
          <t>I12</t>
        </is>
      </c>
      <c r="G346" s="18" t="inlineStr">
        <is>
          <t>Alumni Career Intelligence</t>
        </is>
      </c>
      <c r="H346" s="18" t="inlineStr">
        <is>
          <t>Research/innovation → external value</t>
        </is>
      </c>
      <c r="I346" s="18" t="inlineStr">
        <is>
          <t>If translation/industry/impact claims are strong but external value evidence is weak, flag research-to-value gap.</t>
        </is>
      </c>
      <c r="J346" s="18" t="inlineStr">
        <is>
          <t>Translation review</t>
        </is>
      </c>
      <c r="K346" s="18" t="inlineStr">
        <is>
          <t>Do not double count impact evidence.</t>
        </is>
      </c>
    </row>
    <row r="347">
      <c r="A347" s="18" t="inlineStr">
        <is>
          <t>CD21</t>
        </is>
      </c>
      <c r="B347" s="18" t="inlineStr">
        <is>
          <t>D10</t>
        </is>
      </c>
      <c r="C347" s="18" t="inlineStr">
        <is>
          <t>I01</t>
        </is>
      </c>
      <c r="D347" s="18" t="inlineStr">
        <is>
          <t>Research Strategy Maturity</t>
        </is>
      </c>
      <c r="E347" s="18" t="inlineStr">
        <is>
          <t>D11</t>
        </is>
      </c>
      <c r="F347" s="18" t="inlineStr">
        <is>
          <t>I01</t>
        </is>
      </c>
      <c r="G347" s="18" t="inlineStr">
        <is>
          <t>External Change Sensing</t>
        </is>
      </c>
      <c r="H347" s="18" t="inlineStr">
        <is>
          <t>Research learning → institutional adaptation</t>
        </is>
      </c>
      <c r="I347" s="18" t="inlineStr">
        <is>
          <t>If research is claimed as a sensing/learning mechanism but institutional adaptation does not change, flag learning-loop gap.</t>
        </is>
      </c>
      <c r="J347" s="18" t="inlineStr">
        <is>
          <t>Institutional learning review</t>
        </is>
      </c>
      <c r="K347" s="18" t="inlineStr">
        <is>
          <t>D11 owns adaptation.</t>
        </is>
      </c>
    </row>
    <row r="348">
      <c r="A348" s="18" t="inlineStr">
        <is>
          <t>CD21</t>
        </is>
      </c>
      <c r="B348" s="18" t="inlineStr">
        <is>
          <t>D10</t>
        </is>
      </c>
      <c r="C348" s="18" t="inlineStr">
        <is>
          <t>I01</t>
        </is>
      </c>
      <c r="D348" s="18" t="inlineStr">
        <is>
          <t>Research Strategy Maturity</t>
        </is>
      </c>
      <c r="E348" s="18" t="inlineStr">
        <is>
          <t>D11</t>
        </is>
      </c>
      <c r="F348" s="18" t="inlineStr">
        <is>
          <t>I06</t>
        </is>
      </c>
      <c r="G348" s="18" t="inlineStr">
        <is>
          <t>Failure-to-Learning Capability</t>
        </is>
      </c>
      <c r="H348" s="18" t="inlineStr">
        <is>
          <t>Research learning → institutional adaptation</t>
        </is>
      </c>
      <c r="I348" s="18" t="inlineStr">
        <is>
          <t>If research is claimed as a sensing/learning mechanism but institutional adaptation does not change, flag learning-loop gap.</t>
        </is>
      </c>
      <c r="J348" s="18" t="inlineStr">
        <is>
          <t>Institutional learning review</t>
        </is>
      </c>
      <c r="K348" s="18" t="inlineStr">
        <is>
          <t>D11 owns adaptation.</t>
        </is>
      </c>
    </row>
    <row r="349">
      <c r="A349" s="18" t="inlineStr">
        <is>
          <t>CD21</t>
        </is>
      </c>
      <c r="B349" s="18" t="inlineStr">
        <is>
          <t>D10</t>
        </is>
      </c>
      <c r="C349" s="18" t="inlineStr">
        <is>
          <t>I01</t>
        </is>
      </c>
      <c r="D349" s="18" t="inlineStr">
        <is>
          <t>Research Strategy Maturity</t>
        </is>
      </c>
      <c r="E349" s="18" t="inlineStr">
        <is>
          <t>D11</t>
        </is>
      </c>
      <c r="F349" s="18" t="inlineStr">
        <is>
          <t>I13</t>
        </is>
      </c>
      <c r="G349" s="18" t="inlineStr">
        <is>
          <t>Institutional Learning System</t>
        </is>
      </c>
      <c r="H349" s="18" t="inlineStr">
        <is>
          <t>Research learning → institutional adaptation</t>
        </is>
      </c>
      <c r="I349" s="18" t="inlineStr">
        <is>
          <t>If research is claimed as a sensing/learning mechanism but institutional adaptation does not change, flag learning-loop gap.</t>
        </is>
      </c>
      <c r="J349" s="18" t="inlineStr">
        <is>
          <t>Institutional learning review</t>
        </is>
      </c>
      <c r="K349" s="18" t="inlineStr">
        <is>
          <t>D11 owns adaptation.</t>
        </is>
      </c>
    </row>
    <row r="350">
      <c r="A350" s="18" t="inlineStr">
        <is>
          <t>CD21</t>
        </is>
      </c>
      <c r="B350" s="18" t="inlineStr">
        <is>
          <t>D10</t>
        </is>
      </c>
      <c r="C350" s="18" t="inlineStr">
        <is>
          <t>I01</t>
        </is>
      </c>
      <c r="D350" s="18" t="inlineStr">
        <is>
          <t>Research Strategy Maturity</t>
        </is>
      </c>
      <c r="E350" s="18" t="inlineStr">
        <is>
          <t>D11</t>
        </is>
      </c>
      <c r="F350" s="18" t="inlineStr">
        <is>
          <t>I14</t>
        </is>
      </c>
      <c r="G350" s="18" t="inlineStr">
        <is>
          <t>Future Transformation Capacity</t>
        </is>
      </c>
      <c r="H350" s="18" t="inlineStr">
        <is>
          <t>Research learning → institutional adaptation</t>
        </is>
      </c>
      <c r="I350" s="18" t="inlineStr">
        <is>
          <t>If research is claimed as a sensing/learning mechanism but institutional adaptation does not change, flag learning-loop gap.</t>
        </is>
      </c>
      <c r="J350" s="18" t="inlineStr">
        <is>
          <t>Institutional learning review</t>
        </is>
      </c>
      <c r="K350" s="18" t="inlineStr">
        <is>
          <t>D11 owns adaptation.</t>
        </is>
      </c>
    </row>
    <row r="351">
      <c r="A351" s="18" t="inlineStr">
        <is>
          <t>CD21</t>
        </is>
      </c>
      <c r="B351" s="18" t="inlineStr">
        <is>
          <t>D10</t>
        </is>
      </c>
      <c r="C351" s="18" t="inlineStr">
        <is>
          <t>I02</t>
        </is>
      </c>
      <c r="D351" s="18" t="inlineStr">
        <is>
          <t>Research Portfolio Balance</t>
        </is>
      </c>
      <c r="E351" s="18" t="inlineStr">
        <is>
          <t>D11</t>
        </is>
      </c>
      <c r="F351" s="18" t="inlineStr">
        <is>
          <t>I01</t>
        </is>
      </c>
      <c r="G351" s="18" t="inlineStr">
        <is>
          <t>External Change Sensing</t>
        </is>
      </c>
      <c r="H351" s="18" t="inlineStr">
        <is>
          <t>Research learning → institutional adaptation</t>
        </is>
      </c>
      <c r="I351" s="18" t="inlineStr">
        <is>
          <t>If research is claimed as a sensing/learning mechanism but institutional adaptation does not change, flag learning-loop gap.</t>
        </is>
      </c>
      <c r="J351" s="18" t="inlineStr">
        <is>
          <t>Institutional learning review</t>
        </is>
      </c>
      <c r="K351" s="18" t="inlineStr">
        <is>
          <t>D11 owns adaptation.</t>
        </is>
      </c>
    </row>
    <row r="352">
      <c r="A352" s="18" t="inlineStr">
        <is>
          <t>CD21</t>
        </is>
      </c>
      <c r="B352" s="18" t="inlineStr">
        <is>
          <t>D10</t>
        </is>
      </c>
      <c r="C352" s="18" t="inlineStr">
        <is>
          <t>I02</t>
        </is>
      </c>
      <c r="D352" s="18" t="inlineStr">
        <is>
          <t>Research Portfolio Balance</t>
        </is>
      </c>
      <c r="E352" s="18" t="inlineStr">
        <is>
          <t>D11</t>
        </is>
      </c>
      <c r="F352" s="18" t="inlineStr">
        <is>
          <t>I06</t>
        </is>
      </c>
      <c r="G352" s="18" t="inlineStr">
        <is>
          <t>Failure-to-Learning Capability</t>
        </is>
      </c>
      <c r="H352" s="18" t="inlineStr">
        <is>
          <t>Research learning → institutional adaptation</t>
        </is>
      </c>
      <c r="I352" s="18" t="inlineStr">
        <is>
          <t>If research is claimed as a sensing/learning mechanism but institutional adaptation does not change, flag learning-loop gap.</t>
        </is>
      </c>
      <c r="J352" s="18" t="inlineStr">
        <is>
          <t>Institutional learning review</t>
        </is>
      </c>
      <c r="K352" s="18" t="inlineStr">
        <is>
          <t>D11 owns adaptation.</t>
        </is>
      </c>
    </row>
    <row r="353">
      <c r="A353" s="18" t="inlineStr">
        <is>
          <t>CD21</t>
        </is>
      </c>
      <c r="B353" s="18" t="inlineStr">
        <is>
          <t>D10</t>
        </is>
      </c>
      <c r="C353" s="18" t="inlineStr">
        <is>
          <t>I02</t>
        </is>
      </c>
      <c r="D353" s="18" t="inlineStr">
        <is>
          <t>Research Portfolio Balance</t>
        </is>
      </c>
      <c r="E353" s="18" t="inlineStr">
        <is>
          <t>D11</t>
        </is>
      </c>
      <c r="F353" s="18" t="inlineStr">
        <is>
          <t>I13</t>
        </is>
      </c>
      <c r="G353" s="18" t="inlineStr">
        <is>
          <t>Institutional Learning System</t>
        </is>
      </c>
      <c r="H353" s="18" t="inlineStr">
        <is>
          <t>Research learning → institutional adaptation</t>
        </is>
      </c>
      <c r="I353" s="18" t="inlineStr">
        <is>
          <t>If research is claimed as a sensing/learning mechanism but institutional adaptation does not change, flag learning-loop gap.</t>
        </is>
      </c>
      <c r="J353" s="18" t="inlineStr">
        <is>
          <t>Institutional learning review</t>
        </is>
      </c>
      <c r="K353" s="18" t="inlineStr">
        <is>
          <t>D11 owns adaptation.</t>
        </is>
      </c>
    </row>
    <row r="354">
      <c r="A354" s="18" t="inlineStr">
        <is>
          <t>CD21</t>
        </is>
      </c>
      <c r="B354" s="18" t="inlineStr">
        <is>
          <t>D10</t>
        </is>
      </c>
      <c r="C354" s="18" t="inlineStr">
        <is>
          <t>I02</t>
        </is>
      </c>
      <c r="D354" s="18" t="inlineStr">
        <is>
          <t>Research Portfolio Balance</t>
        </is>
      </c>
      <c r="E354" s="18" t="inlineStr">
        <is>
          <t>D11</t>
        </is>
      </c>
      <c r="F354" s="18" t="inlineStr">
        <is>
          <t>I14</t>
        </is>
      </c>
      <c r="G354" s="18" t="inlineStr">
        <is>
          <t>Future Transformation Capacity</t>
        </is>
      </c>
      <c r="H354" s="18" t="inlineStr">
        <is>
          <t>Research learning → institutional adaptation</t>
        </is>
      </c>
      <c r="I354" s="18" t="inlineStr">
        <is>
          <t>If research is claimed as a sensing/learning mechanism but institutional adaptation does not change, flag learning-loop gap.</t>
        </is>
      </c>
      <c r="J354" s="18" t="inlineStr">
        <is>
          <t>Institutional learning review</t>
        </is>
      </c>
      <c r="K354" s="18" t="inlineStr">
        <is>
          <t>D11 owns adaptation.</t>
        </is>
      </c>
    </row>
    <row r="355">
      <c r="A355" s="18" t="inlineStr">
        <is>
          <t>CD21</t>
        </is>
      </c>
      <c r="B355" s="18" t="inlineStr">
        <is>
          <t>D10</t>
        </is>
      </c>
      <c r="C355" s="18" t="inlineStr">
        <is>
          <t>I13</t>
        </is>
      </c>
      <c r="D355" s="18" t="inlineStr">
        <is>
          <t>Research Impact Evidence</t>
        </is>
      </c>
      <c r="E355" s="18" t="inlineStr">
        <is>
          <t>D11</t>
        </is>
      </c>
      <c r="F355" s="18" t="inlineStr">
        <is>
          <t>I01</t>
        </is>
      </c>
      <c r="G355" s="18" t="inlineStr">
        <is>
          <t>External Change Sensing</t>
        </is>
      </c>
      <c r="H355" s="18" t="inlineStr">
        <is>
          <t>Research learning → institutional adaptation</t>
        </is>
      </c>
      <c r="I355" s="18" t="inlineStr">
        <is>
          <t>If research is claimed as a sensing/learning mechanism but institutional adaptation does not change, flag learning-loop gap.</t>
        </is>
      </c>
      <c r="J355" s="18" t="inlineStr">
        <is>
          <t>Institutional learning review</t>
        </is>
      </c>
      <c r="K355" s="18" t="inlineStr">
        <is>
          <t>D11 owns adaptation.</t>
        </is>
      </c>
    </row>
    <row r="356">
      <c r="A356" s="18" t="inlineStr">
        <is>
          <t>CD21</t>
        </is>
      </c>
      <c r="B356" s="18" t="inlineStr">
        <is>
          <t>D10</t>
        </is>
      </c>
      <c r="C356" s="18" t="inlineStr">
        <is>
          <t>I13</t>
        </is>
      </c>
      <c r="D356" s="18" t="inlineStr">
        <is>
          <t>Research Impact Evidence</t>
        </is>
      </c>
      <c r="E356" s="18" t="inlineStr">
        <is>
          <t>D11</t>
        </is>
      </c>
      <c r="F356" s="18" t="inlineStr">
        <is>
          <t>I06</t>
        </is>
      </c>
      <c r="G356" s="18" t="inlineStr">
        <is>
          <t>Failure-to-Learning Capability</t>
        </is>
      </c>
      <c r="H356" s="18" t="inlineStr">
        <is>
          <t>Research learning → institutional adaptation</t>
        </is>
      </c>
      <c r="I356" s="18" t="inlineStr">
        <is>
          <t>If research is claimed as a sensing/learning mechanism but institutional adaptation does not change, flag learning-loop gap.</t>
        </is>
      </c>
      <c r="J356" s="18" t="inlineStr">
        <is>
          <t>Institutional learning review</t>
        </is>
      </c>
      <c r="K356" s="18" t="inlineStr">
        <is>
          <t>D11 owns adaptation.</t>
        </is>
      </c>
    </row>
    <row r="357">
      <c r="A357" s="18" t="inlineStr">
        <is>
          <t>CD21</t>
        </is>
      </c>
      <c r="B357" s="18" t="inlineStr">
        <is>
          <t>D10</t>
        </is>
      </c>
      <c r="C357" s="18" t="inlineStr">
        <is>
          <t>I13</t>
        </is>
      </c>
      <c r="D357" s="18" t="inlineStr">
        <is>
          <t>Research Impact Evidence</t>
        </is>
      </c>
      <c r="E357" s="18" t="inlineStr">
        <is>
          <t>D11</t>
        </is>
      </c>
      <c r="F357" s="18" t="inlineStr">
        <is>
          <t>I13</t>
        </is>
      </c>
      <c r="G357" s="18" t="inlineStr">
        <is>
          <t>Institutional Learning System</t>
        </is>
      </c>
      <c r="H357" s="18" t="inlineStr">
        <is>
          <t>Research learning → institutional adaptation</t>
        </is>
      </c>
      <c r="I357" s="18" t="inlineStr">
        <is>
          <t>If research is claimed as a sensing/learning mechanism but institutional adaptation does not change, flag learning-loop gap.</t>
        </is>
      </c>
      <c r="J357" s="18" t="inlineStr">
        <is>
          <t>Institutional learning review</t>
        </is>
      </c>
      <c r="K357" s="18" t="inlineStr">
        <is>
          <t>D11 owns adaptation.</t>
        </is>
      </c>
    </row>
    <row r="358">
      <c r="A358" s="18" t="inlineStr">
        <is>
          <t>CD21</t>
        </is>
      </c>
      <c r="B358" s="18" t="inlineStr">
        <is>
          <t>D10</t>
        </is>
      </c>
      <c r="C358" s="18" t="inlineStr">
        <is>
          <t>I13</t>
        </is>
      </c>
      <c r="D358" s="18" t="inlineStr">
        <is>
          <t>Research Impact Evidence</t>
        </is>
      </c>
      <c r="E358" s="18" t="inlineStr">
        <is>
          <t>D11</t>
        </is>
      </c>
      <c r="F358" s="18" t="inlineStr">
        <is>
          <t>I14</t>
        </is>
      </c>
      <c r="G358" s="18" t="inlineStr">
        <is>
          <t>Future Transformation Capacity</t>
        </is>
      </c>
      <c r="H358" s="18" t="inlineStr">
        <is>
          <t>Research learning → institutional adaptation</t>
        </is>
      </c>
      <c r="I358" s="18" t="inlineStr">
        <is>
          <t>If research is claimed as a sensing/learning mechanism but institutional adaptation does not change, flag learning-loop gap.</t>
        </is>
      </c>
      <c r="J358" s="18" t="inlineStr">
        <is>
          <t>Institutional learning review</t>
        </is>
      </c>
      <c r="K358" s="18" t="inlineStr">
        <is>
          <t>D11 owns adaptation.</t>
        </is>
      </c>
    </row>
    <row r="359">
      <c r="A359" s="18" t="inlineStr">
        <is>
          <t>CD22</t>
        </is>
      </c>
      <c r="B359" s="18" t="inlineStr">
        <is>
          <t>D11</t>
        </is>
      </c>
      <c r="C359" s="18" t="inlineStr">
        <is>
          <t>I01</t>
        </is>
      </c>
      <c r="D359" s="18" t="inlineStr">
        <is>
          <t>External Change Sensing</t>
        </is>
      </c>
      <c r="E359" s="18" t="inlineStr">
        <is>
          <t>D01</t>
        </is>
      </c>
      <c r="F359" s="18" t="inlineStr">
        <is>
          <t>I02</t>
        </is>
      </c>
      <c r="G359" s="18" t="inlineStr">
        <is>
          <t>Future Foresight Maturity</t>
        </is>
      </c>
      <c r="H359" s="18" t="inlineStr">
        <is>
          <t>Adaptation → strategy</t>
        </is>
      </c>
      <c r="I359" s="18" t="inlineStr">
        <is>
          <t>If adaptation evidence is strong but strategic assumptions/plans do not change, flag strategy learning disconnect.</t>
        </is>
      </c>
      <c r="J359" s="18" t="inlineStr">
        <is>
          <t>Strategy learning review</t>
        </is>
      </c>
      <c r="K359" s="18" t="inlineStr">
        <is>
          <t>Do not score the same change twice.</t>
        </is>
      </c>
    </row>
    <row r="360">
      <c r="A360" s="18" t="inlineStr">
        <is>
          <t>CD22</t>
        </is>
      </c>
      <c r="B360" s="18" t="inlineStr">
        <is>
          <t>D11</t>
        </is>
      </c>
      <c r="C360" s="18" t="inlineStr">
        <is>
          <t>I01</t>
        </is>
      </c>
      <c r="D360" s="18" t="inlineStr">
        <is>
          <t>External Change Sensing</t>
        </is>
      </c>
      <c r="E360" s="18" t="inlineStr">
        <is>
          <t>D01</t>
        </is>
      </c>
      <c r="F360" s="18" t="inlineStr">
        <is>
          <t>I03</t>
        </is>
      </c>
      <c r="G360" s="18" t="inlineStr">
        <is>
          <t>Strategic Translation Rate</t>
        </is>
      </c>
      <c r="H360" s="18" t="inlineStr">
        <is>
          <t>Adaptation → strategy</t>
        </is>
      </c>
      <c r="I360" s="18" t="inlineStr">
        <is>
          <t>If adaptation evidence is strong but strategic assumptions/plans do not change, flag strategy learning disconnect.</t>
        </is>
      </c>
      <c r="J360" s="18" t="inlineStr">
        <is>
          <t>Strategy learning review</t>
        </is>
      </c>
      <c r="K360" s="18" t="inlineStr">
        <is>
          <t>Do not score the same change twice.</t>
        </is>
      </c>
    </row>
    <row r="361">
      <c r="A361" s="18" t="inlineStr">
        <is>
          <t>CD22</t>
        </is>
      </c>
      <c r="B361" s="18" t="inlineStr">
        <is>
          <t>D11</t>
        </is>
      </c>
      <c r="C361" s="18" t="inlineStr">
        <is>
          <t>I01</t>
        </is>
      </c>
      <c r="D361" s="18" t="inlineStr">
        <is>
          <t>External Change Sensing</t>
        </is>
      </c>
      <c r="E361" s="18" t="inlineStr">
        <is>
          <t>D01</t>
        </is>
      </c>
      <c r="F361" s="18" t="inlineStr">
        <is>
          <t>I10</t>
        </is>
      </c>
      <c r="G361" s="18" t="inlineStr">
        <is>
          <t>Strategic Learning Rate</t>
        </is>
      </c>
      <c r="H361" s="18" t="inlineStr">
        <is>
          <t>Adaptation → strategy</t>
        </is>
      </c>
      <c r="I361" s="18" t="inlineStr">
        <is>
          <t>If adaptation evidence is strong but strategic assumptions/plans do not change, flag strategy learning disconnect.</t>
        </is>
      </c>
      <c r="J361" s="18" t="inlineStr">
        <is>
          <t>Strategy learning review</t>
        </is>
      </c>
      <c r="K361" s="18" t="inlineStr">
        <is>
          <t>Do not score the same change twice.</t>
        </is>
      </c>
    </row>
    <row r="362">
      <c r="A362" s="18" t="inlineStr">
        <is>
          <t>CD22</t>
        </is>
      </c>
      <c r="B362" s="18" t="inlineStr">
        <is>
          <t>D11</t>
        </is>
      </c>
      <c r="C362" s="18" t="inlineStr">
        <is>
          <t>I02</t>
        </is>
      </c>
      <c r="D362" s="18" t="inlineStr">
        <is>
          <t>Strategic Response Agility</t>
        </is>
      </c>
      <c r="E362" s="18" t="inlineStr">
        <is>
          <t>D01</t>
        </is>
      </c>
      <c r="F362" s="18" t="inlineStr">
        <is>
          <t>I02</t>
        </is>
      </c>
      <c r="G362" s="18" t="inlineStr">
        <is>
          <t>Future Foresight Maturity</t>
        </is>
      </c>
      <c r="H362" s="18" t="inlineStr">
        <is>
          <t>Adaptation → strategy</t>
        </is>
      </c>
      <c r="I362" s="18" t="inlineStr">
        <is>
          <t>If adaptation evidence is strong but strategic assumptions/plans do not change, flag strategy learning disconnect.</t>
        </is>
      </c>
      <c r="J362" s="18" t="inlineStr">
        <is>
          <t>Strategy learning review</t>
        </is>
      </c>
      <c r="K362" s="18" t="inlineStr">
        <is>
          <t>Do not score the same change twice.</t>
        </is>
      </c>
    </row>
    <row r="363">
      <c r="A363" s="18" t="inlineStr">
        <is>
          <t>CD22</t>
        </is>
      </c>
      <c r="B363" s="18" t="inlineStr">
        <is>
          <t>D11</t>
        </is>
      </c>
      <c r="C363" s="18" t="inlineStr">
        <is>
          <t>I02</t>
        </is>
      </c>
      <c r="D363" s="18" t="inlineStr">
        <is>
          <t>Strategic Response Agility</t>
        </is>
      </c>
      <c r="E363" s="18" t="inlineStr">
        <is>
          <t>D01</t>
        </is>
      </c>
      <c r="F363" s="18" t="inlineStr">
        <is>
          <t>I03</t>
        </is>
      </c>
      <c r="G363" s="18" t="inlineStr">
        <is>
          <t>Strategic Translation Rate</t>
        </is>
      </c>
      <c r="H363" s="18" t="inlineStr">
        <is>
          <t>Adaptation → strategy</t>
        </is>
      </c>
      <c r="I363" s="18" t="inlineStr">
        <is>
          <t>If adaptation evidence is strong but strategic assumptions/plans do not change, flag strategy learning disconnect.</t>
        </is>
      </c>
      <c r="J363" s="18" t="inlineStr">
        <is>
          <t>Strategy learning review</t>
        </is>
      </c>
      <c r="K363" s="18" t="inlineStr">
        <is>
          <t>Do not score the same change twice.</t>
        </is>
      </c>
    </row>
    <row r="364">
      <c r="A364" s="18" t="inlineStr">
        <is>
          <t>CD22</t>
        </is>
      </c>
      <c r="B364" s="18" t="inlineStr">
        <is>
          <t>D11</t>
        </is>
      </c>
      <c r="C364" s="18" t="inlineStr">
        <is>
          <t>I02</t>
        </is>
      </c>
      <c r="D364" s="18" t="inlineStr">
        <is>
          <t>Strategic Response Agility</t>
        </is>
      </c>
      <c r="E364" s="18" t="inlineStr">
        <is>
          <t>D01</t>
        </is>
      </c>
      <c r="F364" s="18" t="inlineStr">
        <is>
          <t>I10</t>
        </is>
      </c>
      <c r="G364" s="18" t="inlineStr">
        <is>
          <t>Strategic Learning Rate</t>
        </is>
      </c>
      <c r="H364" s="18" t="inlineStr">
        <is>
          <t>Adaptation → strategy</t>
        </is>
      </c>
      <c r="I364" s="18" t="inlineStr">
        <is>
          <t>If adaptation evidence is strong but strategic assumptions/plans do not change, flag strategy learning disconnect.</t>
        </is>
      </c>
      <c r="J364" s="18" t="inlineStr">
        <is>
          <t>Strategy learning review</t>
        </is>
      </c>
      <c r="K364" s="18" t="inlineStr">
        <is>
          <t>Do not score the same change twice.</t>
        </is>
      </c>
    </row>
    <row r="365">
      <c r="A365" s="18" t="inlineStr">
        <is>
          <t>CD22</t>
        </is>
      </c>
      <c r="B365" s="18" t="inlineStr">
        <is>
          <t>D11</t>
        </is>
      </c>
      <c r="C365" s="18" t="inlineStr">
        <is>
          <t>I06</t>
        </is>
      </c>
      <c r="D365" s="18" t="inlineStr">
        <is>
          <t>Failure-to-Learning Capability</t>
        </is>
      </c>
      <c r="E365" s="18" t="inlineStr">
        <is>
          <t>D01</t>
        </is>
      </c>
      <c r="F365" s="18" t="inlineStr">
        <is>
          <t>I02</t>
        </is>
      </c>
      <c r="G365" s="18" t="inlineStr">
        <is>
          <t>Future Foresight Maturity</t>
        </is>
      </c>
      <c r="H365" s="18" t="inlineStr">
        <is>
          <t>Adaptation → strategy</t>
        </is>
      </c>
      <c r="I365" s="18" t="inlineStr">
        <is>
          <t>If adaptation evidence is strong but strategic assumptions/plans do not change, flag strategy learning disconnect.</t>
        </is>
      </c>
      <c r="J365" s="18" t="inlineStr">
        <is>
          <t>Strategy learning review</t>
        </is>
      </c>
      <c r="K365" s="18" t="inlineStr">
        <is>
          <t>Do not score the same change twice.</t>
        </is>
      </c>
    </row>
    <row r="366">
      <c r="A366" s="18" t="inlineStr">
        <is>
          <t>CD22</t>
        </is>
      </c>
      <c r="B366" s="18" t="inlineStr">
        <is>
          <t>D11</t>
        </is>
      </c>
      <c r="C366" s="18" t="inlineStr">
        <is>
          <t>I06</t>
        </is>
      </c>
      <c r="D366" s="18" t="inlineStr">
        <is>
          <t>Failure-to-Learning Capability</t>
        </is>
      </c>
      <c r="E366" s="18" t="inlineStr">
        <is>
          <t>D01</t>
        </is>
      </c>
      <c r="F366" s="18" t="inlineStr">
        <is>
          <t>I03</t>
        </is>
      </c>
      <c r="G366" s="18" t="inlineStr">
        <is>
          <t>Strategic Translation Rate</t>
        </is>
      </c>
      <c r="H366" s="18" t="inlineStr">
        <is>
          <t>Adaptation → strategy</t>
        </is>
      </c>
      <c r="I366" s="18" t="inlineStr">
        <is>
          <t>If adaptation evidence is strong but strategic assumptions/plans do not change, flag strategy learning disconnect.</t>
        </is>
      </c>
      <c r="J366" s="18" t="inlineStr">
        <is>
          <t>Strategy learning review</t>
        </is>
      </c>
      <c r="K366" s="18" t="inlineStr">
        <is>
          <t>Do not score the same change twice.</t>
        </is>
      </c>
    </row>
    <row r="367">
      <c r="A367" s="18" t="inlineStr">
        <is>
          <t>CD22</t>
        </is>
      </c>
      <c r="B367" s="18" t="inlineStr">
        <is>
          <t>D11</t>
        </is>
      </c>
      <c r="C367" s="18" t="inlineStr">
        <is>
          <t>I06</t>
        </is>
      </c>
      <c r="D367" s="18" t="inlineStr">
        <is>
          <t>Failure-to-Learning Capability</t>
        </is>
      </c>
      <c r="E367" s="18" t="inlineStr">
        <is>
          <t>D01</t>
        </is>
      </c>
      <c r="F367" s="18" t="inlineStr">
        <is>
          <t>I10</t>
        </is>
      </c>
      <c r="G367" s="18" t="inlineStr">
        <is>
          <t>Strategic Learning Rate</t>
        </is>
      </c>
      <c r="H367" s="18" t="inlineStr">
        <is>
          <t>Adaptation → strategy</t>
        </is>
      </c>
      <c r="I367" s="18" t="inlineStr">
        <is>
          <t>If adaptation evidence is strong but strategic assumptions/plans do not change, flag strategy learning disconnect.</t>
        </is>
      </c>
      <c r="J367" s="18" t="inlineStr">
        <is>
          <t>Strategy learning review</t>
        </is>
      </c>
      <c r="K367" s="18" t="inlineStr">
        <is>
          <t>Do not score the same change twice.</t>
        </is>
      </c>
    </row>
    <row r="368">
      <c r="A368" s="18" t="inlineStr">
        <is>
          <t>CD22</t>
        </is>
      </c>
      <c r="B368" s="18" t="inlineStr">
        <is>
          <t>D11</t>
        </is>
      </c>
      <c r="C368" s="18" t="inlineStr">
        <is>
          <t>I13</t>
        </is>
      </c>
      <c r="D368" s="18" t="inlineStr">
        <is>
          <t>Institutional Learning System</t>
        </is>
      </c>
      <c r="E368" s="18" t="inlineStr">
        <is>
          <t>D01</t>
        </is>
      </c>
      <c r="F368" s="18" t="inlineStr">
        <is>
          <t>I02</t>
        </is>
      </c>
      <c r="G368" s="18" t="inlineStr">
        <is>
          <t>Future Foresight Maturity</t>
        </is>
      </c>
      <c r="H368" s="18" t="inlineStr">
        <is>
          <t>Adaptation → strategy</t>
        </is>
      </c>
      <c r="I368" s="18" t="inlineStr">
        <is>
          <t>If adaptation evidence is strong but strategic assumptions/plans do not change, flag strategy learning disconnect.</t>
        </is>
      </c>
      <c r="J368" s="18" t="inlineStr">
        <is>
          <t>Strategy learning review</t>
        </is>
      </c>
      <c r="K368" s="18" t="inlineStr">
        <is>
          <t>Do not score the same change twice.</t>
        </is>
      </c>
    </row>
    <row r="369">
      <c r="A369" s="18" t="inlineStr">
        <is>
          <t>CD22</t>
        </is>
      </c>
      <c r="B369" s="18" t="inlineStr">
        <is>
          <t>D11</t>
        </is>
      </c>
      <c r="C369" s="18" t="inlineStr">
        <is>
          <t>I13</t>
        </is>
      </c>
      <c r="D369" s="18" t="inlineStr">
        <is>
          <t>Institutional Learning System</t>
        </is>
      </c>
      <c r="E369" s="18" t="inlineStr">
        <is>
          <t>D01</t>
        </is>
      </c>
      <c r="F369" s="18" t="inlineStr">
        <is>
          <t>I03</t>
        </is>
      </c>
      <c r="G369" s="18" t="inlineStr">
        <is>
          <t>Strategic Translation Rate</t>
        </is>
      </c>
      <c r="H369" s="18" t="inlineStr">
        <is>
          <t>Adaptation → strategy</t>
        </is>
      </c>
      <c r="I369" s="18" t="inlineStr">
        <is>
          <t>If adaptation evidence is strong but strategic assumptions/plans do not change, flag strategy learning disconnect.</t>
        </is>
      </c>
      <c r="J369" s="18" t="inlineStr">
        <is>
          <t>Strategy learning review</t>
        </is>
      </c>
      <c r="K369" s="18" t="inlineStr">
        <is>
          <t>Do not score the same change twice.</t>
        </is>
      </c>
    </row>
    <row r="370">
      <c r="A370" s="18" t="inlineStr">
        <is>
          <t>CD22</t>
        </is>
      </c>
      <c r="B370" s="18" t="inlineStr">
        <is>
          <t>D11</t>
        </is>
      </c>
      <c r="C370" s="18" t="inlineStr">
        <is>
          <t>I13</t>
        </is>
      </c>
      <c r="D370" s="18" t="inlineStr">
        <is>
          <t>Institutional Learning System</t>
        </is>
      </c>
      <c r="E370" s="18" t="inlineStr">
        <is>
          <t>D01</t>
        </is>
      </c>
      <c r="F370" s="18" t="inlineStr">
        <is>
          <t>I10</t>
        </is>
      </c>
      <c r="G370" s="18" t="inlineStr">
        <is>
          <t>Strategic Learning Rate</t>
        </is>
      </c>
      <c r="H370" s="18" t="inlineStr">
        <is>
          <t>Adaptation → strategy</t>
        </is>
      </c>
      <c r="I370" s="18" t="inlineStr">
        <is>
          <t>If adaptation evidence is strong but strategic assumptions/plans do not change, flag strategy learning disconnect.</t>
        </is>
      </c>
      <c r="J370" s="18" t="inlineStr">
        <is>
          <t>Strategy learning review</t>
        </is>
      </c>
      <c r="K370" s="18" t="inlineStr">
        <is>
          <t>Do not score the same change twice.</t>
        </is>
      </c>
    </row>
    <row r="371">
      <c r="A371" s="18" t="inlineStr">
        <is>
          <t>CD22</t>
        </is>
      </c>
      <c r="B371" s="18" t="inlineStr">
        <is>
          <t>D11</t>
        </is>
      </c>
      <c r="C371" s="18" t="inlineStr">
        <is>
          <t>I14</t>
        </is>
      </c>
      <c r="D371" s="18" t="inlineStr">
        <is>
          <t>Future Transformation Capacity</t>
        </is>
      </c>
      <c r="E371" s="18" t="inlineStr">
        <is>
          <t>D01</t>
        </is>
      </c>
      <c r="F371" s="18" t="inlineStr">
        <is>
          <t>I02</t>
        </is>
      </c>
      <c r="G371" s="18" t="inlineStr">
        <is>
          <t>Future Foresight Maturity</t>
        </is>
      </c>
      <c r="H371" s="18" t="inlineStr">
        <is>
          <t>Adaptation → strategy</t>
        </is>
      </c>
      <c r="I371" s="18" t="inlineStr">
        <is>
          <t>If adaptation evidence is strong but strategic assumptions/plans do not change, flag strategy learning disconnect.</t>
        </is>
      </c>
      <c r="J371" s="18" t="inlineStr">
        <is>
          <t>Strategy learning review</t>
        </is>
      </c>
      <c r="K371" s="18" t="inlineStr">
        <is>
          <t>Do not score the same change twice.</t>
        </is>
      </c>
    </row>
    <row r="372">
      <c r="A372" s="18" t="inlineStr">
        <is>
          <t>CD22</t>
        </is>
      </c>
      <c r="B372" s="18" t="inlineStr">
        <is>
          <t>D11</t>
        </is>
      </c>
      <c r="C372" s="18" t="inlineStr">
        <is>
          <t>I14</t>
        </is>
      </c>
      <c r="D372" s="18" t="inlineStr">
        <is>
          <t>Future Transformation Capacity</t>
        </is>
      </c>
      <c r="E372" s="18" t="inlineStr">
        <is>
          <t>D01</t>
        </is>
      </c>
      <c r="F372" s="18" t="inlineStr">
        <is>
          <t>I03</t>
        </is>
      </c>
      <c r="G372" s="18" t="inlineStr">
        <is>
          <t>Strategic Translation Rate</t>
        </is>
      </c>
      <c r="H372" s="18" t="inlineStr">
        <is>
          <t>Adaptation → strategy</t>
        </is>
      </c>
      <c r="I372" s="18" t="inlineStr">
        <is>
          <t>If adaptation evidence is strong but strategic assumptions/plans do not change, flag strategy learning disconnect.</t>
        </is>
      </c>
      <c r="J372" s="18" t="inlineStr">
        <is>
          <t>Strategy learning review</t>
        </is>
      </c>
      <c r="K372" s="18" t="inlineStr">
        <is>
          <t>Do not score the same change twice.</t>
        </is>
      </c>
    </row>
    <row r="373">
      <c r="A373" s="18" t="inlineStr">
        <is>
          <t>CD22</t>
        </is>
      </c>
      <c r="B373" s="18" t="inlineStr">
        <is>
          <t>D11</t>
        </is>
      </c>
      <c r="C373" s="18" t="inlineStr">
        <is>
          <t>I14</t>
        </is>
      </c>
      <c r="D373" s="18" t="inlineStr">
        <is>
          <t>Future Transformation Capacity</t>
        </is>
      </c>
      <c r="E373" s="18" t="inlineStr">
        <is>
          <t>D01</t>
        </is>
      </c>
      <c r="F373" s="18" t="inlineStr">
        <is>
          <t>I10</t>
        </is>
      </c>
      <c r="G373" s="18" t="inlineStr">
        <is>
          <t>Strategic Learning Rate</t>
        </is>
      </c>
      <c r="H373" s="18" t="inlineStr">
        <is>
          <t>Adaptation → strategy</t>
        </is>
      </c>
      <c r="I373" s="18" t="inlineStr">
        <is>
          <t>If adaptation evidence is strong but strategic assumptions/plans do not change, flag strategy learning disconnect.</t>
        </is>
      </c>
      <c r="J373" s="18" t="inlineStr">
        <is>
          <t>Strategy learning review</t>
        </is>
      </c>
      <c r="K373" s="18" t="inlineStr">
        <is>
          <t>Do not score the same change twice.</t>
        </is>
      </c>
    </row>
    <row r="374">
      <c r="A374" s="18" t="inlineStr">
        <is>
          <t>CD23</t>
        </is>
      </c>
      <c r="B374" s="18" t="inlineStr">
        <is>
          <t>D11</t>
        </is>
      </c>
      <c r="C374" s="18" t="inlineStr">
        <is>
          <t>I02</t>
        </is>
      </c>
      <c r="D374" s="18" t="inlineStr">
        <is>
          <t>Strategic Response Agility</t>
        </is>
      </c>
      <c r="E374" s="18" t="inlineStr">
        <is>
          <t>D04</t>
        </is>
      </c>
      <c r="F374" s="18" t="inlineStr">
        <is>
          <t>I03</t>
        </is>
      </c>
      <c r="G374" s="18" t="inlineStr">
        <is>
          <t>Programme Review Effectiveness</t>
        </is>
      </c>
      <c r="H374" s="18" t="inlineStr">
        <is>
          <t>Adaptation → programme redesign</t>
        </is>
      </c>
      <c r="I374" s="18" t="inlineStr">
        <is>
          <t>If external change is sensed and action is claimed but programmes do not adapt where applicable, flag change-to-curriculum gap.</t>
        </is>
      </c>
      <c r="J374" s="18" t="inlineStr">
        <is>
          <t>Programme adaptation review</t>
        </is>
      </c>
      <c r="K374" s="18" t="inlineStr">
        <is>
          <t>Adaptation is separate from curriculum mechanics.</t>
        </is>
      </c>
    </row>
    <row r="375">
      <c r="A375" s="18" t="inlineStr">
        <is>
          <t>CD23</t>
        </is>
      </c>
      <c r="B375" s="18" t="inlineStr">
        <is>
          <t>D11</t>
        </is>
      </c>
      <c r="C375" s="18" t="inlineStr">
        <is>
          <t>I02</t>
        </is>
      </c>
      <c r="D375" s="18" t="inlineStr">
        <is>
          <t>Strategic Response Agility</t>
        </is>
      </c>
      <c r="E375" s="18" t="inlineStr">
        <is>
          <t>D04</t>
        </is>
      </c>
      <c r="F375" s="18" t="inlineStr">
        <is>
          <t>I05</t>
        </is>
      </c>
      <c r="G375" s="18" t="inlineStr">
        <is>
          <t>Content Obsolescence Response</t>
        </is>
      </c>
      <c r="H375" s="18" t="inlineStr">
        <is>
          <t>Adaptation → programme redesign</t>
        </is>
      </c>
      <c r="I375" s="18" t="inlineStr">
        <is>
          <t>If external change is sensed and action is claimed but programmes do not adapt where applicable, flag change-to-curriculum gap.</t>
        </is>
      </c>
      <c r="J375" s="18" t="inlineStr">
        <is>
          <t>Programme adaptation review</t>
        </is>
      </c>
      <c r="K375" s="18" t="inlineStr">
        <is>
          <t>Adaptation is separate from curriculum mechanics.</t>
        </is>
      </c>
    </row>
    <row r="376">
      <c r="A376" s="18" t="inlineStr">
        <is>
          <t>CD23</t>
        </is>
      </c>
      <c r="B376" s="18" t="inlineStr">
        <is>
          <t>D11</t>
        </is>
      </c>
      <c r="C376" s="18" t="inlineStr">
        <is>
          <t>I02</t>
        </is>
      </c>
      <c r="D376" s="18" t="inlineStr">
        <is>
          <t>Strategic Response Agility</t>
        </is>
      </c>
      <c r="E376" s="18" t="inlineStr">
        <is>
          <t>D04</t>
        </is>
      </c>
      <c r="F376" s="18" t="inlineStr">
        <is>
          <t>I08</t>
        </is>
      </c>
      <c r="G376" s="18" t="inlineStr">
        <is>
          <t>Programme Agility</t>
        </is>
      </c>
      <c r="H376" s="18" t="inlineStr">
        <is>
          <t>Adaptation → programme redesign</t>
        </is>
      </c>
      <c r="I376" s="18" t="inlineStr">
        <is>
          <t>If external change is sensed and action is claimed but programmes do not adapt where applicable, flag change-to-curriculum gap.</t>
        </is>
      </c>
      <c r="J376" s="18" t="inlineStr">
        <is>
          <t>Programme adaptation review</t>
        </is>
      </c>
      <c r="K376" s="18" t="inlineStr">
        <is>
          <t>Adaptation is separate from curriculum mechanics.</t>
        </is>
      </c>
    </row>
    <row r="377">
      <c r="A377" s="18" t="inlineStr">
        <is>
          <t>CD23</t>
        </is>
      </c>
      <c r="B377" s="18" t="inlineStr">
        <is>
          <t>D11</t>
        </is>
      </c>
      <c r="C377" s="18" t="inlineStr">
        <is>
          <t>I02</t>
        </is>
      </c>
      <c r="D377" s="18" t="inlineStr">
        <is>
          <t>Strategic Response Agility</t>
        </is>
      </c>
      <c r="E377" s="18" t="inlineStr">
        <is>
          <t>D04</t>
        </is>
      </c>
      <c r="F377" s="18" t="inlineStr">
        <is>
          <t>I12</t>
        </is>
      </c>
      <c r="G377" s="18" t="inlineStr">
        <is>
          <t>Portfolio Foresight</t>
        </is>
      </c>
      <c r="H377" s="18" t="inlineStr">
        <is>
          <t>Adaptation → programme redesign</t>
        </is>
      </c>
      <c r="I377" s="18" t="inlineStr">
        <is>
          <t>If external change is sensed and action is claimed but programmes do not adapt where applicable, flag change-to-curriculum gap.</t>
        </is>
      </c>
      <c r="J377" s="18" t="inlineStr">
        <is>
          <t>Programme adaptation review</t>
        </is>
      </c>
      <c r="K377" s="18" t="inlineStr">
        <is>
          <t>Adaptation is separate from curriculum mechanics.</t>
        </is>
      </c>
    </row>
    <row r="378">
      <c r="A378" s="18" t="inlineStr">
        <is>
          <t>CD23</t>
        </is>
      </c>
      <c r="B378" s="18" t="inlineStr">
        <is>
          <t>D11</t>
        </is>
      </c>
      <c r="C378" s="18" t="inlineStr">
        <is>
          <t>I04</t>
        </is>
      </c>
      <c r="D378" s="18" t="inlineStr">
        <is>
          <t>Resource Reallocation Agility</t>
        </is>
      </c>
      <c r="E378" s="18" t="inlineStr">
        <is>
          <t>D04</t>
        </is>
      </c>
      <c r="F378" s="18" t="inlineStr">
        <is>
          <t>I03</t>
        </is>
      </c>
      <c r="G378" s="18" t="inlineStr">
        <is>
          <t>Programme Review Effectiveness</t>
        </is>
      </c>
      <c r="H378" s="18" t="inlineStr">
        <is>
          <t>Adaptation → programme redesign</t>
        </is>
      </c>
      <c r="I378" s="18" t="inlineStr">
        <is>
          <t>If external change is sensed and action is claimed but programmes do not adapt where applicable, flag change-to-curriculum gap.</t>
        </is>
      </c>
      <c r="J378" s="18" t="inlineStr">
        <is>
          <t>Programme adaptation review</t>
        </is>
      </c>
      <c r="K378" s="18" t="inlineStr">
        <is>
          <t>Adaptation is separate from curriculum mechanics.</t>
        </is>
      </c>
    </row>
    <row r="379">
      <c r="A379" s="18" t="inlineStr">
        <is>
          <t>CD23</t>
        </is>
      </c>
      <c r="B379" s="18" t="inlineStr">
        <is>
          <t>D11</t>
        </is>
      </c>
      <c r="C379" s="18" t="inlineStr">
        <is>
          <t>I04</t>
        </is>
      </c>
      <c r="D379" s="18" t="inlineStr">
        <is>
          <t>Resource Reallocation Agility</t>
        </is>
      </c>
      <c r="E379" s="18" t="inlineStr">
        <is>
          <t>D04</t>
        </is>
      </c>
      <c r="F379" s="18" t="inlineStr">
        <is>
          <t>I05</t>
        </is>
      </c>
      <c r="G379" s="18" t="inlineStr">
        <is>
          <t>Content Obsolescence Response</t>
        </is>
      </c>
      <c r="H379" s="18" t="inlineStr">
        <is>
          <t>Adaptation → programme redesign</t>
        </is>
      </c>
      <c r="I379" s="18" t="inlineStr">
        <is>
          <t>If external change is sensed and action is claimed but programmes do not adapt where applicable, flag change-to-curriculum gap.</t>
        </is>
      </c>
      <c r="J379" s="18" t="inlineStr">
        <is>
          <t>Programme adaptation review</t>
        </is>
      </c>
      <c r="K379" s="18" t="inlineStr">
        <is>
          <t>Adaptation is separate from curriculum mechanics.</t>
        </is>
      </c>
    </row>
    <row r="380">
      <c r="A380" s="18" t="inlineStr">
        <is>
          <t>CD23</t>
        </is>
      </c>
      <c r="B380" s="18" t="inlineStr">
        <is>
          <t>D11</t>
        </is>
      </c>
      <c r="C380" s="18" t="inlineStr">
        <is>
          <t>I04</t>
        </is>
      </c>
      <c r="D380" s="18" t="inlineStr">
        <is>
          <t>Resource Reallocation Agility</t>
        </is>
      </c>
      <c r="E380" s="18" t="inlineStr">
        <is>
          <t>D04</t>
        </is>
      </c>
      <c r="F380" s="18" t="inlineStr">
        <is>
          <t>I08</t>
        </is>
      </c>
      <c r="G380" s="18" t="inlineStr">
        <is>
          <t>Programme Agility</t>
        </is>
      </c>
      <c r="H380" s="18" t="inlineStr">
        <is>
          <t>Adaptation → programme redesign</t>
        </is>
      </c>
      <c r="I380" s="18" t="inlineStr">
        <is>
          <t>If external change is sensed and action is claimed but programmes do not adapt where applicable, flag change-to-curriculum gap.</t>
        </is>
      </c>
      <c r="J380" s="18" t="inlineStr">
        <is>
          <t>Programme adaptation review</t>
        </is>
      </c>
      <c r="K380" s="18" t="inlineStr">
        <is>
          <t>Adaptation is separate from curriculum mechanics.</t>
        </is>
      </c>
    </row>
    <row r="381">
      <c r="A381" s="18" t="inlineStr">
        <is>
          <t>CD23</t>
        </is>
      </c>
      <c r="B381" s="18" t="inlineStr">
        <is>
          <t>D11</t>
        </is>
      </c>
      <c r="C381" s="18" t="inlineStr">
        <is>
          <t>I04</t>
        </is>
      </c>
      <c r="D381" s="18" t="inlineStr">
        <is>
          <t>Resource Reallocation Agility</t>
        </is>
      </c>
      <c r="E381" s="18" t="inlineStr">
        <is>
          <t>D04</t>
        </is>
      </c>
      <c r="F381" s="18" t="inlineStr">
        <is>
          <t>I12</t>
        </is>
      </c>
      <c r="G381" s="18" t="inlineStr">
        <is>
          <t>Portfolio Foresight</t>
        </is>
      </c>
      <c r="H381" s="18" t="inlineStr">
        <is>
          <t>Adaptation → programme redesign</t>
        </is>
      </c>
      <c r="I381" s="18" t="inlineStr">
        <is>
          <t>If external change is sensed and action is claimed but programmes do not adapt where applicable, flag change-to-curriculum gap.</t>
        </is>
      </c>
      <c r="J381" s="18" t="inlineStr">
        <is>
          <t>Programme adaptation review</t>
        </is>
      </c>
      <c r="K381" s="18" t="inlineStr">
        <is>
          <t>Adaptation is separate from curriculum mechanics.</t>
        </is>
      </c>
    </row>
    <row r="382">
      <c r="A382" s="18" t="inlineStr">
        <is>
          <t>CD23</t>
        </is>
      </c>
      <c r="B382" s="18" t="inlineStr">
        <is>
          <t>D11</t>
        </is>
      </c>
      <c r="C382" s="18" t="inlineStr">
        <is>
          <t>I07</t>
        </is>
      </c>
      <c r="D382" s="18" t="inlineStr">
        <is>
          <t>Change Management Capacity</t>
        </is>
      </c>
      <c r="E382" s="18" t="inlineStr">
        <is>
          <t>D04</t>
        </is>
      </c>
      <c r="F382" s="18" t="inlineStr">
        <is>
          <t>I03</t>
        </is>
      </c>
      <c r="G382" s="18" t="inlineStr">
        <is>
          <t>Programme Review Effectiveness</t>
        </is>
      </c>
      <c r="H382" s="18" t="inlineStr">
        <is>
          <t>Adaptation → programme redesign</t>
        </is>
      </c>
      <c r="I382" s="18" t="inlineStr">
        <is>
          <t>If external change is sensed and action is claimed but programmes do not adapt where applicable, flag change-to-curriculum gap.</t>
        </is>
      </c>
      <c r="J382" s="18" t="inlineStr">
        <is>
          <t>Programme adaptation review</t>
        </is>
      </c>
      <c r="K382" s="18" t="inlineStr">
        <is>
          <t>Adaptation is separate from curriculum mechanics.</t>
        </is>
      </c>
    </row>
    <row r="383">
      <c r="A383" s="18" t="inlineStr">
        <is>
          <t>CD23</t>
        </is>
      </c>
      <c r="B383" s="18" t="inlineStr">
        <is>
          <t>D11</t>
        </is>
      </c>
      <c r="C383" s="18" t="inlineStr">
        <is>
          <t>I07</t>
        </is>
      </c>
      <c r="D383" s="18" t="inlineStr">
        <is>
          <t>Change Management Capacity</t>
        </is>
      </c>
      <c r="E383" s="18" t="inlineStr">
        <is>
          <t>D04</t>
        </is>
      </c>
      <c r="F383" s="18" t="inlineStr">
        <is>
          <t>I05</t>
        </is>
      </c>
      <c r="G383" s="18" t="inlineStr">
        <is>
          <t>Content Obsolescence Response</t>
        </is>
      </c>
      <c r="H383" s="18" t="inlineStr">
        <is>
          <t>Adaptation → programme redesign</t>
        </is>
      </c>
      <c r="I383" s="18" t="inlineStr">
        <is>
          <t>If external change is sensed and action is claimed but programmes do not adapt where applicable, flag change-to-curriculum gap.</t>
        </is>
      </c>
      <c r="J383" s="18" t="inlineStr">
        <is>
          <t>Programme adaptation review</t>
        </is>
      </c>
      <c r="K383" s="18" t="inlineStr">
        <is>
          <t>Adaptation is separate from curriculum mechanics.</t>
        </is>
      </c>
    </row>
    <row r="384">
      <c r="A384" s="18" t="inlineStr">
        <is>
          <t>CD23</t>
        </is>
      </c>
      <c r="B384" s="18" t="inlineStr">
        <is>
          <t>D11</t>
        </is>
      </c>
      <c r="C384" s="18" t="inlineStr">
        <is>
          <t>I07</t>
        </is>
      </c>
      <c r="D384" s="18" t="inlineStr">
        <is>
          <t>Change Management Capacity</t>
        </is>
      </c>
      <c r="E384" s="18" t="inlineStr">
        <is>
          <t>D04</t>
        </is>
      </c>
      <c r="F384" s="18" t="inlineStr">
        <is>
          <t>I08</t>
        </is>
      </c>
      <c r="G384" s="18" t="inlineStr">
        <is>
          <t>Programme Agility</t>
        </is>
      </c>
      <c r="H384" s="18" t="inlineStr">
        <is>
          <t>Adaptation → programme redesign</t>
        </is>
      </c>
      <c r="I384" s="18" t="inlineStr">
        <is>
          <t>If external change is sensed and action is claimed but programmes do not adapt where applicable, flag change-to-curriculum gap.</t>
        </is>
      </c>
      <c r="J384" s="18" t="inlineStr">
        <is>
          <t>Programme adaptation review</t>
        </is>
      </c>
      <c r="K384" s="18" t="inlineStr">
        <is>
          <t>Adaptation is separate from curriculum mechanics.</t>
        </is>
      </c>
    </row>
    <row r="385">
      <c r="A385" s="18" t="inlineStr">
        <is>
          <t>CD23</t>
        </is>
      </c>
      <c r="B385" s="18" t="inlineStr">
        <is>
          <t>D11</t>
        </is>
      </c>
      <c r="C385" s="18" t="inlineStr">
        <is>
          <t>I07</t>
        </is>
      </c>
      <c r="D385" s="18" t="inlineStr">
        <is>
          <t>Change Management Capacity</t>
        </is>
      </c>
      <c r="E385" s="18" t="inlineStr">
        <is>
          <t>D04</t>
        </is>
      </c>
      <c r="F385" s="18" t="inlineStr">
        <is>
          <t>I12</t>
        </is>
      </c>
      <c r="G385" s="18" t="inlineStr">
        <is>
          <t>Portfolio Foresight</t>
        </is>
      </c>
      <c r="H385" s="18" t="inlineStr">
        <is>
          <t>Adaptation → programme redesign</t>
        </is>
      </c>
      <c r="I385" s="18" t="inlineStr">
        <is>
          <t>If external change is sensed and action is claimed but programmes do not adapt where applicable, flag change-to-curriculum gap.</t>
        </is>
      </c>
      <c r="J385" s="18" t="inlineStr">
        <is>
          <t>Programme adaptation review</t>
        </is>
      </c>
      <c r="K385" s="18" t="inlineStr">
        <is>
          <t>Adaptation is separate from curriculum mechanics.</t>
        </is>
      </c>
    </row>
    <row r="386">
      <c r="A386" s="18" t="inlineStr">
        <is>
          <t>CD23</t>
        </is>
      </c>
      <c r="B386" s="18" t="inlineStr">
        <is>
          <t>D11</t>
        </is>
      </c>
      <c r="C386" s="18" t="inlineStr">
        <is>
          <t>I09</t>
        </is>
      </c>
      <c r="D386" s="18" t="inlineStr">
        <is>
          <t>Learner Signal Responsiveness</t>
        </is>
      </c>
      <c r="E386" s="18" t="inlineStr">
        <is>
          <t>D04</t>
        </is>
      </c>
      <c r="F386" s="18" t="inlineStr">
        <is>
          <t>I03</t>
        </is>
      </c>
      <c r="G386" s="18" t="inlineStr">
        <is>
          <t>Programme Review Effectiveness</t>
        </is>
      </c>
      <c r="H386" s="18" t="inlineStr">
        <is>
          <t>Adaptation → programme redesign</t>
        </is>
      </c>
      <c r="I386" s="18" t="inlineStr">
        <is>
          <t>If external change is sensed and action is claimed but programmes do not adapt where applicable, flag change-to-curriculum gap.</t>
        </is>
      </c>
      <c r="J386" s="18" t="inlineStr">
        <is>
          <t>Programme adaptation review</t>
        </is>
      </c>
      <c r="K386" s="18" t="inlineStr">
        <is>
          <t>Adaptation is separate from curriculum mechanics.</t>
        </is>
      </c>
    </row>
    <row r="387">
      <c r="A387" s="18" t="inlineStr">
        <is>
          <t>CD23</t>
        </is>
      </c>
      <c r="B387" s="18" t="inlineStr">
        <is>
          <t>D11</t>
        </is>
      </c>
      <c r="C387" s="18" t="inlineStr">
        <is>
          <t>I09</t>
        </is>
      </c>
      <c r="D387" s="18" t="inlineStr">
        <is>
          <t>Learner Signal Responsiveness</t>
        </is>
      </c>
      <c r="E387" s="18" t="inlineStr">
        <is>
          <t>D04</t>
        </is>
      </c>
      <c r="F387" s="18" t="inlineStr">
        <is>
          <t>I05</t>
        </is>
      </c>
      <c r="G387" s="18" t="inlineStr">
        <is>
          <t>Content Obsolescence Response</t>
        </is>
      </c>
      <c r="H387" s="18" t="inlineStr">
        <is>
          <t>Adaptation → programme redesign</t>
        </is>
      </c>
      <c r="I387" s="18" t="inlineStr">
        <is>
          <t>If external change is sensed and action is claimed but programmes do not adapt where applicable, flag change-to-curriculum gap.</t>
        </is>
      </c>
      <c r="J387" s="18" t="inlineStr">
        <is>
          <t>Programme adaptation review</t>
        </is>
      </c>
      <c r="K387" s="18" t="inlineStr">
        <is>
          <t>Adaptation is separate from curriculum mechanics.</t>
        </is>
      </c>
    </row>
    <row r="388">
      <c r="A388" s="18" t="inlineStr">
        <is>
          <t>CD23</t>
        </is>
      </c>
      <c r="B388" s="18" t="inlineStr">
        <is>
          <t>D11</t>
        </is>
      </c>
      <c r="C388" s="18" t="inlineStr">
        <is>
          <t>I09</t>
        </is>
      </c>
      <c r="D388" s="18" t="inlineStr">
        <is>
          <t>Learner Signal Responsiveness</t>
        </is>
      </c>
      <c r="E388" s="18" t="inlineStr">
        <is>
          <t>D04</t>
        </is>
      </c>
      <c r="F388" s="18" t="inlineStr">
        <is>
          <t>I08</t>
        </is>
      </c>
      <c r="G388" s="18" t="inlineStr">
        <is>
          <t>Programme Agility</t>
        </is>
      </c>
      <c r="H388" s="18" t="inlineStr">
        <is>
          <t>Adaptation → programme redesign</t>
        </is>
      </c>
      <c r="I388" s="18" t="inlineStr">
        <is>
          <t>If external change is sensed and action is claimed but programmes do not adapt where applicable, flag change-to-curriculum gap.</t>
        </is>
      </c>
      <c r="J388" s="18" t="inlineStr">
        <is>
          <t>Programme adaptation review</t>
        </is>
      </c>
      <c r="K388" s="18" t="inlineStr">
        <is>
          <t>Adaptation is separate from curriculum mechanics.</t>
        </is>
      </c>
    </row>
    <row r="389">
      <c r="A389" s="18" t="inlineStr">
        <is>
          <t>CD23</t>
        </is>
      </c>
      <c r="B389" s="18" t="inlineStr">
        <is>
          <t>D11</t>
        </is>
      </c>
      <c r="C389" s="18" t="inlineStr">
        <is>
          <t>I09</t>
        </is>
      </c>
      <c r="D389" s="18" t="inlineStr">
        <is>
          <t>Learner Signal Responsiveness</t>
        </is>
      </c>
      <c r="E389" s="18" t="inlineStr">
        <is>
          <t>D04</t>
        </is>
      </c>
      <c r="F389" s="18" t="inlineStr">
        <is>
          <t>I12</t>
        </is>
      </c>
      <c r="G389" s="18" t="inlineStr">
        <is>
          <t>Portfolio Foresight</t>
        </is>
      </c>
      <c r="H389" s="18" t="inlineStr">
        <is>
          <t>Adaptation → programme redesign</t>
        </is>
      </c>
      <c r="I389" s="18" t="inlineStr">
        <is>
          <t>If external change is sensed and action is claimed but programmes do not adapt where applicable, flag change-to-curriculum gap.</t>
        </is>
      </c>
      <c r="J389" s="18" t="inlineStr">
        <is>
          <t>Programme adaptation review</t>
        </is>
      </c>
      <c r="K389" s="18" t="inlineStr">
        <is>
          <t>Adaptation is separate from curriculum mechanics.</t>
        </is>
      </c>
    </row>
    <row r="390">
      <c r="A390" s="18" t="inlineStr">
        <is>
          <t>CD23</t>
        </is>
      </c>
      <c r="B390" s="18" t="inlineStr">
        <is>
          <t>D11</t>
        </is>
      </c>
      <c r="C390" s="18" t="inlineStr">
        <is>
          <t>I10</t>
        </is>
      </c>
      <c r="D390" s="18" t="inlineStr">
        <is>
          <t>Economic &amp; Workforce Responsiveness</t>
        </is>
      </c>
      <c r="E390" s="18" t="inlineStr">
        <is>
          <t>D04</t>
        </is>
      </c>
      <c r="F390" s="18" t="inlineStr">
        <is>
          <t>I03</t>
        </is>
      </c>
      <c r="G390" s="18" t="inlineStr">
        <is>
          <t>Programme Review Effectiveness</t>
        </is>
      </c>
      <c r="H390" s="18" t="inlineStr">
        <is>
          <t>Adaptation → programme redesign</t>
        </is>
      </c>
      <c r="I390" s="18" t="inlineStr">
        <is>
          <t>If external change is sensed and action is claimed but programmes do not adapt where applicable, flag change-to-curriculum gap.</t>
        </is>
      </c>
      <c r="J390" s="18" t="inlineStr">
        <is>
          <t>Programme adaptation review</t>
        </is>
      </c>
      <c r="K390" s="18" t="inlineStr">
        <is>
          <t>Adaptation is separate from curriculum mechanics.</t>
        </is>
      </c>
    </row>
    <row r="391">
      <c r="A391" s="18" t="inlineStr">
        <is>
          <t>CD23</t>
        </is>
      </c>
      <c r="B391" s="18" t="inlineStr">
        <is>
          <t>D11</t>
        </is>
      </c>
      <c r="C391" s="18" t="inlineStr">
        <is>
          <t>I10</t>
        </is>
      </c>
      <c r="D391" s="18" t="inlineStr">
        <is>
          <t>Economic &amp; Workforce Responsiveness</t>
        </is>
      </c>
      <c r="E391" s="18" t="inlineStr">
        <is>
          <t>D04</t>
        </is>
      </c>
      <c r="F391" s="18" t="inlineStr">
        <is>
          <t>I05</t>
        </is>
      </c>
      <c r="G391" s="18" t="inlineStr">
        <is>
          <t>Content Obsolescence Response</t>
        </is>
      </c>
      <c r="H391" s="18" t="inlineStr">
        <is>
          <t>Adaptation → programme redesign</t>
        </is>
      </c>
      <c r="I391" s="18" t="inlineStr">
        <is>
          <t>If external change is sensed and action is claimed but programmes do not adapt where applicable, flag change-to-curriculum gap.</t>
        </is>
      </c>
      <c r="J391" s="18" t="inlineStr">
        <is>
          <t>Programme adaptation review</t>
        </is>
      </c>
      <c r="K391" s="18" t="inlineStr">
        <is>
          <t>Adaptation is separate from curriculum mechanics.</t>
        </is>
      </c>
    </row>
    <row r="392">
      <c r="A392" s="18" t="inlineStr">
        <is>
          <t>CD23</t>
        </is>
      </c>
      <c r="B392" s="18" t="inlineStr">
        <is>
          <t>D11</t>
        </is>
      </c>
      <c r="C392" s="18" t="inlineStr">
        <is>
          <t>I10</t>
        </is>
      </c>
      <c r="D392" s="18" t="inlineStr">
        <is>
          <t>Economic &amp; Workforce Responsiveness</t>
        </is>
      </c>
      <c r="E392" s="18" t="inlineStr">
        <is>
          <t>D04</t>
        </is>
      </c>
      <c r="F392" s="18" t="inlineStr">
        <is>
          <t>I08</t>
        </is>
      </c>
      <c r="G392" s="18" t="inlineStr">
        <is>
          <t>Programme Agility</t>
        </is>
      </c>
      <c r="H392" s="18" t="inlineStr">
        <is>
          <t>Adaptation → programme redesign</t>
        </is>
      </c>
      <c r="I392" s="18" t="inlineStr">
        <is>
          <t>If external change is sensed and action is claimed but programmes do not adapt where applicable, flag change-to-curriculum gap.</t>
        </is>
      </c>
      <c r="J392" s="18" t="inlineStr">
        <is>
          <t>Programme adaptation review</t>
        </is>
      </c>
      <c r="K392" s="18" t="inlineStr">
        <is>
          <t>Adaptation is separate from curriculum mechanics.</t>
        </is>
      </c>
    </row>
    <row r="393">
      <c r="A393" s="18" t="inlineStr">
        <is>
          <t>CD23</t>
        </is>
      </c>
      <c r="B393" s="18" t="inlineStr">
        <is>
          <t>D11</t>
        </is>
      </c>
      <c r="C393" s="18" t="inlineStr">
        <is>
          <t>I10</t>
        </is>
      </c>
      <c r="D393" s="18" t="inlineStr">
        <is>
          <t>Economic &amp; Workforce Responsiveness</t>
        </is>
      </c>
      <c r="E393" s="18" t="inlineStr">
        <is>
          <t>D04</t>
        </is>
      </c>
      <c r="F393" s="18" t="inlineStr">
        <is>
          <t>I12</t>
        </is>
      </c>
      <c r="G393" s="18" t="inlineStr">
        <is>
          <t>Portfolio Foresight</t>
        </is>
      </c>
      <c r="H393" s="18" t="inlineStr">
        <is>
          <t>Adaptation → programme redesign</t>
        </is>
      </c>
      <c r="I393" s="18" t="inlineStr">
        <is>
          <t>If external change is sensed and action is claimed but programmes do not adapt where applicable, flag change-to-curriculum gap.</t>
        </is>
      </c>
      <c r="J393" s="18" t="inlineStr">
        <is>
          <t>Programme adaptation review</t>
        </is>
      </c>
      <c r="K393" s="18" t="inlineStr">
        <is>
          <t>Adaptation is separate from curriculum mechanics.</t>
        </is>
      </c>
    </row>
    <row r="394">
      <c r="A394" s="18" t="inlineStr">
        <is>
          <t>CD24</t>
        </is>
      </c>
      <c r="B394" s="18" t="inlineStr">
        <is>
          <t>D11</t>
        </is>
      </c>
      <c r="C394" s="18" t="inlineStr">
        <is>
          <t>I02</t>
        </is>
      </c>
      <c r="D394" s="18" t="inlineStr">
        <is>
          <t>Strategic Response Agility</t>
        </is>
      </c>
      <c r="E394" s="18" t="inlineStr">
        <is>
          <t>D05</t>
        </is>
      </c>
      <c r="F394" s="18" t="inlineStr">
        <is>
          <t>I08</t>
        </is>
      </c>
      <c r="G394" s="18" t="inlineStr">
        <is>
          <t>Academic Role Redesign</t>
        </is>
      </c>
      <c r="H394" s="18" t="inlineStr">
        <is>
          <t>Adaptation → workforce transformation</t>
        </is>
      </c>
      <c r="I394" s="18" t="inlineStr">
        <is>
          <t>If institutional change is strong but faculty roles/workflows/support do not adapt, flag workforce adaptation gap.</t>
        </is>
      </c>
      <c r="J394" s="18" t="inlineStr">
        <is>
          <t>Academic workforce review</t>
        </is>
      </c>
      <c r="K394" s="18" t="inlineStr">
        <is>
          <t>No D11 uplift from isolated HR activity.</t>
        </is>
      </c>
    </row>
    <row r="395">
      <c r="A395" s="18" t="inlineStr">
        <is>
          <t>CD24</t>
        </is>
      </c>
      <c r="B395" s="18" t="inlineStr">
        <is>
          <t>D11</t>
        </is>
      </c>
      <c r="C395" s="18" t="inlineStr">
        <is>
          <t>I02</t>
        </is>
      </c>
      <c r="D395" s="18" t="inlineStr">
        <is>
          <t>Strategic Response Agility</t>
        </is>
      </c>
      <c r="E395" s="18" t="inlineStr">
        <is>
          <t>D05</t>
        </is>
      </c>
      <c r="F395" s="18" t="inlineStr">
        <is>
          <t>I09</t>
        </is>
      </c>
      <c r="G395" s="18" t="inlineStr">
        <is>
          <t>Workload &amp; Workflow Transformation</t>
        </is>
      </c>
      <c r="H395" s="18" t="inlineStr">
        <is>
          <t>Adaptation → workforce transformation</t>
        </is>
      </c>
      <c r="I395" s="18" t="inlineStr">
        <is>
          <t>If institutional change is strong but faculty roles/workflows/support do not adapt, flag workforce adaptation gap.</t>
        </is>
      </c>
      <c r="J395" s="18" t="inlineStr">
        <is>
          <t>Academic workforce review</t>
        </is>
      </c>
      <c r="K395" s="18" t="inlineStr">
        <is>
          <t>No D11 uplift from isolated HR activity.</t>
        </is>
      </c>
    </row>
    <row r="396">
      <c r="A396" s="18" t="inlineStr">
        <is>
          <t>CD24</t>
        </is>
      </c>
      <c r="B396" s="18" t="inlineStr">
        <is>
          <t>D11</t>
        </is>
      </c>
      <c r="C396" s="18" t="inlineStr">
        <is>
          <t>I02</t>
        </is>
      </c>
      <c r="D396" s="18" t="inlineStr">
        <is>
          <t>Strategic Response Agility</t>
        </is>
      </c>
      <c r="E396" s="18" t="inlineStr">
        <is>
          <t>D05</t>
        </is>
      </c>
      <c r="F396" s="18" t="inlineStr">
        <is>
          <t>I10</t>
        </is>
      </c>
      <c r="G396" s="18" t="inlineStr">
        <is>
          <t>Faculty Support Infrastructure</t>
        </is>
      </c>
      <c r="H396" s="18" t="inlineStr">
        <is>
          <t>Adaptation → workforce transformation</t>
        </is>
      </c>
      <c r="I396" s="18" t="inlineStr">
        <is>
          <t>If institutional change is strong but faculty roles/workflows/support do not adapt, flag workforce adaptation gap.</t>
        </is>
      </c>
      <c r="J396" s="18" t="inlineStr">
        <is>
          <t>Academic workforce review</t>
        </is>
      </c>
      <c r="K396" s="18" t="inlineStr">
        <is>
          <t>No D11 uplift from isolated HR activity.</t>
        </is>
      </c>
    </row>
    <row r="397">
      <c r="A397" s="18" t="inlineStr">
        <is>
          <t>CD24</t>
        </is>
      </c>
      <c r="B397" s="18" t="inlineStr">
        <is>
          <t>D11</t>
        </is>
      </c>
      <c r="C397" s="18" t="inlineStr">
        <is>
          <t>I02</t>
        </is>
      </c>
      <c r="D397" s="18" t="inlineStr">
        <is>
          <t>Strategic Response Agility</t>
        </is>
      </c>
      <c r="E397" s="18" t="inlineStr">
        <is>
          <t>D05</t>
        </is>
      </c>
      <c r="F397" s="18" t="inlineStr">
        <is>
          <t>I12</t>
        </is>
      </c>
      <c r="G397" s="18" t="inlineStr">
        <is>
          <t>Faculty Adoption Learning Loop</t>
        </is>
      </c>
      <c r="H397" s="18" t="inlineStr">
        <is>
          <t>Adaptation → workforce transformation</t>
        </is>
      </c>
      <c r="I397" s="18" t="inlineStr">
        <is>
          <t>If institutional change is strong but faculty roles/workflows/support do not adapt, flag workforce adaptation gap.</t>
        </is>
      </c>
      <c r="J397" s="18" t="inlineStr">
        <is>
          <t>Academic workforce review</t>
        </is>
      </c>
      <c r="K397" s="18" t="inlineStr">
        <is>
          <t>No D11 uplift from isolated HR activity.</t>
        </is>
      </c>
    </row>
    <row r="398">
      <c r="A398" s="18" t="inlineStr">
        <is>
          <t>CD24</t>
        </is>
      </c>
      <c r="B398" s="18" t="inlineStr">
        <is>
          <t>D11</t>
        </is>
      </c>
      <c r="C398" s="18" t="inlineStr">
        <is>
          <t>I07</t>
        </is>
      </c>
      <c r="D398" s="18" t="inlineStr">
        <is>
          <t>Change Management Capacity</t>
        </is>
      </c>
      <c r="E398" s="18" t="inlineStr">
        <is>
          <t>D05</t>
        </is>
      </c>
      <c r="F398" s="18" t="inlineStr">
        <is>
          <t>I08</t>
        </is>
      </c>
      <c r="G398" s="18" t="inlineStr">
        <is>
          <t>Academic Role Redesign</t>
        </is>
      </c>
      <c r="H398" s="18" t="inlineStr">
        <is>
          <t>Adaptation → workforce transformation</t>
        </is>
      </c>
      <c r="I398" s="18" t="inlineStr">
        <is>
          <t>If institutional change is strong but faculty roles/workflows/support do not adapt, flag workforce adaptation gap.</t>
        </is>
      </c>
      <c r="J398" s="18" t="inlineStr">
        <is>
          <t>Academic workforce review</t>
        </is>
      </c>
      <c r="K398" s="18" t="inlineStr">
        <is>
          <t>No D11 uplift from isolated HR activity.</t>
        </is>
      </c>
    </row>
    <row r="399">
      <c r="A399" s="18" t="inlineStr">
        <is>
          <t>CD24</t>
        </is>
      </c>
      <c r="B399" s="18" t="inlineStr">
        <is>
          <t>D11</t>
        </is>
      </c>
      <c r="C399" s="18" t="inlineStr">
        <is>
          <t>I07</t>
        </is>
      </c>
      <c r="D399" s="18" t="inlineStr">
        <is>
          <t>Change Management Capacity</t>
        </is>
      </c>
      <c r="E399" s="18" t="inlineStr">
        <is>
          <t>D05</t>
        </is>
      </c>
      <c r="F399" s="18" t="inlineStr">
        <is>
          <t>I09</t>
        </is>
      </c>
      <c r="G399" s="18" t="inlineStr">
        <is>
          <t>Workload &amp; Workflow Transformation</t>
        </is>
      </c>
      <c r="H399" s="18" t="inlineStr">
        <is>
          <t>Adaptation → workforce transformation</t>
        </is>
      </c>
      <c r="I399" s="18" t="inlineStr">
        <is>
          <t>If institutional change is strong but faculty roles/workflows/support do not adapt, flag workforce adaptation gap.</t>
        </is>
      </c>
      <c r="J399" s="18" t="inlineStr">
        <is>
          <t>Academic workforce review</t>
        </is>
      </c>
      <c r="K399" s="18" t="inlineStr">
        <is>
          <t>No D11 uplift from isolated HR activity.</t>
        </is>
      </c>
    </row>
    <row r="400">
      <c r="A400" s="18" t="inlineStr">
        <is>
          <t>CD24</t>
        </is>
      </c>
      <c r="B400" s="18" t="inlineStr">
        <is>
          <t>D11</t>
        </is>
      </c>
      <c r="C400" s="18" t="inlineStr">
        <is>
          <t>I07</t>
        </is>
      </c>
      <c r="D400" s="18" t="inlineStr">
        <is>
          <t>Change Management Capacity</t>
        </is>
      </c>
      <c r="E400" s="18" t="inlineStr">
        <is>
          <t>D05</t>
        </is>
      </c>
      <c r="F400" s="18" t="inlineStr">
        <is>
          <t>I10</t>
        </is>
      </c>
      <c r="G400" s="18" t="inlineStr">
        <is>
          <t>Faculty Support Infrastructure</t>
        </is>
      </c>
      <c r="H400" s="18" t="inlineStr">
        <is>
          <t>Adaptation → workforce transformation</t>
        </is>
      </c>
      <c r="I400" s="18" t="inlineStr">
        <is>
          <t>If institutional change is strong but faculty roles/workflows/support do not adapt, flag workforce adaptation gap.</t>
        </is>
      </c>
      <c r="J400" s="18" t="inlineStr">
        <is>
          <t>Academic workforce review</t>
        </is>
      </c>
      <c r="K400" s="18" t="inlineStr">
        <is>
          <t>No D11 uplift from isolated HR activity.</t>
        </is>
      </c>
    </row>
    <row r="401">
      <c r="A401" s="18" t="inlineStr">
        <is>
          <t>CD24</t>
        </is>
      </c>
      <c r="B401" s="18" t="inlineStr">
        <is>
          <t>D11</t>
        </is>
      </c>
      <c r="C401" s="18" t="inlineStr">
        <is>
          <t>I07</t>
        </is>
      </c>
      <c r="D401" s="18" t="inlineStr">
        <is>
          <t>Change Management Capacity</t>
        </is>
      </c>
      <c r="E401" s="18" t="inlineStr">
        <is>
          <t>D05</t>
        </is>
      </c>
      <c r="F401" s="18" t="inlineStr">
        <is>
          <t>I12</t>
        </is>
      </c>
      <c r="G401" s="18" t="inlineStr">
        <is>
          <t>Faculty Adoption Learning Loop</t>
        </is>
      </c>
      <c r="H401" s="18" t="inlineStr">
        <is>
          <t>Adaptation → workforce transformation</t>
        </is>
      </c>
      <c r="I401" s="18" t="inlineStr">
        <is>
          <t>If institutional change is strong but faculty roles/workflows/support do not adapt, flag workforce adaptation gap.</t>
        </is>
      </c>
      <c r="J401" s="18" t="inlineStr">
        <is>
          <t>Academic workforce review</t>
        </is>
      </c>
      <c r="K401" s="18" t="inlineStr">
        <is>
          <t>No D11 uplift from isolated HR activity.</t>
        </is>
      </c>
    </row>
    <row r="402">
      <c r="A402" s="18" t="inlineStr">
        <is>
          <t>CD24</t>
        </is>
      </c>
      <c r="B402" s="18" t="inlineStr">
        <is>
          <t>D11</t>
        </is>
      </c>
      <c r="C402" s="18" t="inlineStr">
        <is>
          <t>I08</t>
        </is>
      </c>
      <c r="D402" s="18" t="inlineStr">
        <is>
          <t>Adaptive Leadership Alignment</t>
        </is>
      </c>
      <c r="E402" s="18" t="inlineStr">
        <is>
          <t>D05</t>
        </is>
      </c>
      <c r="F402" s="18" t="inlineStr">
        <is>
          <t>I08</t>
        </is>
      </c>
      <c r="G402" s="18" t="inlineStr">
        <is>
          <t>Academic Role Redesign</t>
        </is>
      </c>
      <c r="H402" s="18" t="inlineStr">
        <is>
          <t>Adaptation → workforce transformation</t>
        </is>
      </c>
      <c r="I402" s="18" t="inlineStr">
        <is>
          <t>If institutional change is strong but faculty roles/workflows/support do not adapt, flag workforce adaptation gap.</t>
        </is>
      </c>
      <c r="J402" s="18" t="inlineStr">
        <is>
          <t>Academic workforce review</t>
        </is>
      </c>
      <c r="K402" s="18" t="inlineStr">
        <is>
          <t>No D11 uplift from isolated HR activity.</t>
        </is>
      </c>
    </row>
    <row r="403">
      <c r="A403" s="18" t="inlineStr">
        <is>
          <t>CD24</t>
        </is>
      </c>
      <c r="B403" s="18" t="inlineStr">
        <is>
          <t>D11</t>
        </is>
      </c>
      <c r="C403" s="18" t="inlineStr">
        <is>
          <t>I08</t>
        </is>
      </c>
      <c r="D403" s="18" t="inlineStr">
        <is>
          <t>Adaptive Leadership Alignment</t>
        </is>
      </c>
      <c r="E403" s="18" t="inlineStr">
        <is>
          <t>D05</t>
        </is>
      </c>
      <c r="F403" s="18" t="inlineStr">
        <is>
          <t>I09</t>
        </is>
      </c>
      <c r="G403" s="18" t="inlineStr">
        <is>
          <t>Workload &amp; Workflow Transformation</t>
        </is>
      </c>
      <c r="H403" s="18" t="inlineStr">
        <is>
          <t>Adaptation → workforce transformation</t>
        </is>
      </c>
      <c r="I403" s="18" t="inlineStr">
        <is>
          <t>If institutional change is strong but faculty roles/workflows/support do not adapt, flag workforce adaptation gap.</t>
        </is>
      </c>
      <c r="J403" s="18" t="inlineStr">
        <is>
          <t>Academic workforce review</t>
        </is>
      </c>
      <c r="K403" s="18" t="inlineStr">
        <is>
          <t>No D11 uplift from isolated HR activity.</t>
        </is>
      </c>
    </row>
    <row r="404">
      <c r="A404" s="18" t="inlineStr">
        <is>
          <t>CD24</t>
        </is>
      </c>
      <c r="B404" s="18" t="inlineStr">
        <is>
          <t>D11</t>
        </is>
      </c>
      <c r="C404" s="18" t="inlineStr">
        <is>
          <t>I08</t>
        </is>
      </c>
      <c r="D404" s="18" t="inlineStr">
        <is>
          <t>Adaptive Leadership Alignment</t>
        </is>
      </c>
      <c r="E404" s="18" t="inlineStr">
        <is>
          <t>D05</t>
        </is>
      </c>
      <c r="F404" s="18" t="inlineStr">
        <is>
          <t>I10</t>
        </is>
      </c>
      <c r="G404" s="18" t="inlineStr">
        <is>
          <t>Faculty Support Infrastructure</t>
        </is>
      </c>
      <c r="H404" s="18" t="inlineStr">
        <is>
          <t>Adaptation → workforce transformation</t>
        </is>
      </c>
      <c r="I404" s="18" t="inlineStr">
        <is>
          <t>If institutional change is strong but faculty roles/workflows/support do not adapt, flag workforce adaptation gap.</t>
        </is>
      </c>
      <c r="J404" s="18" t="inlineStr">
        <is>
          <t>Academic workforce review</t>
        </is>
      </c>
      <c r="K404" s="18" t="inlineStr">
        <is>
          <t>No D11 uplift from isolated HR activity.</t>
        </is>
      </c>
    </row>
    <row r="405">
      <c r="A405" s="18" t="inlineStr">
        <is>
          <t>CD24</t>
        </is>
      </c>
      <c r="B405" s="18" t="inlineStr">
        <is>
          <t>D11</t>
        </is>
      </c>
      <c r="C405" s="18" t="inlineStr">
        <is>
          <t>I08</t>
        </is>
      </c>
      <c r="D405" s="18" t="inlineStr">
        <is>
          <t>Adaptive Leadership Alignment</t>
        </is>
      </c>
      <c r="E405" s="18" t="inlineStr">
        <is>
          <t>D05</t>
        </is>
      </c>
      <c r="F405" s="18" t="inlineStr">
        <is>
          <t>I12</t>
        </is>
      </c>
      <c r="G405" s="18" t="inlineStr">
        <is>
          <t>Faculty Adoption Learning Loop</t>
        </is>
      </c>
      <c r="H405" s="18" t="inlineStr">
        <is>
          <t>Adaptation → workforce transformation</t>
        </is>
      </c>
      <c r="I405" s="18" t="inlineStr">
        <is>
          <t>If institutional change is strong but faculty roles/workflows/support do not adapt, flag workforce adaptation gap.</t>
        </is>
      </c>
      <c r="J405" s="18" t="inlineStr">
        <is>
          <t>Academic workforce review</t>
        </is>
      </c>
      <c r="K405" s="18" t="inlineStr">
        <is>
          <t>No D11 uplift from isolated HR activity.</t>
        </is>
      </c>
    </row>
    <row r="406">
      <c r="A406" s="18" t="inlineStr">
        <is>
          <t>CD25</t>
        </is>
      </c>
      <c r="B406" s="18" t="inlineStr">
        <is>
          <t>D11</t>
        </is>
      </c>
      <c r="C406" s="18" t="inlineStr">
        <is>
          <t>I09</t>
        </is>
      </c>
      <c r="D406" s="18" t="inlineStr">
        <is>
          <t>Learner Signal Responsiveness</t>
        </is>
      </c>
      <c r="E406" s="18" t="inlineStr">
        <is>
          <t>D06</t>
        </is>
      </c>
      <c r="F406" s="18" t="inlineStr">
        <is>
          <t>I08</t>
        </is>
      </c>
      <c r="G406" s="18" t="inlineStr">
        <is>
          <t>Career Adaptability</t>
        </is>
      </c>
      <c r="H406" s="18" t="inlineStr">
        <is>
          <t>Adaptation → learner response</t>
        </is>
      </c>
      <c r="I406" s="18" t="inlineStr">
        <is>
          <t>If learner/workforce signals are sensed but student capability/support does not change, flag learner responsiveness gap.</t>
        </is>
      </c>
      <c r="J406" s="18" t="inlineStr">
        <is>
          <t>Learner response review</t>
        </is>
      </c>
      <c r="K406" s="18" t="inlineStr">
        <is>
          <t>D11 owns institutional response; D06 owns student capability.</t>
        </is>
      </c>
    </row>
    <row r="407">
      <c r="A407" s="18" t="inlineStr">
        <is>
          <t>CD25</t>
        </is>
      </c>
      <c r="B407" s="18" t="inlineStr">
        <is>
          <t>D11</t>
        </is>
      </c>
      <c r="C407" s="18" t="inlineStr">
        <is>
          <t>I09</t>
        </is>
      </c>
      <c r="D407" s="18" t="inlineStr">
        <is>
          <t>Learner Signal Responsiveness</t>
        </is>
      </c>
      <c r="E407" s="18" t="inlineStr">
        <is>
          <t>D06</t>
        </is>
      </c>
      <c r="F407" s="18" t="inlineStr">
        <is>
          <t>I10</t>
        </is>
      </c>
      <c r="G407" s="18" t="inlineStr">
        <is>
          <t>Problem Solving &amp; Transfer</t>
        </is>
      </c>
      <c r="H407" s="18" t="inlineStr">
        <is>
          <t>Adaptation → learner response</t>
        </is>
      </c>
      <c r="I407" s="18" t="inlineStr">
        <is>
          <t>If learner/workforce signals are sensed but student capability/support does not change, flag learner responsiveness gap.</t>
        </is>
      </c>
      <c r="J407" s="18" t="inlineStr">
        <is>
          <t>Learner response review</t>
        </is>
      </c>
      <c r="K407" s="18" t="inlineStr">
        <is>
          <t>D11 owns institutional response; D06 owns student capability.</t>
        </is>
      </c>
    </row>
    <row r="408">
      <c r="A408" s="18" t="inlineStr">
        <is>
          <t>CD25</t>
        </is>
      </c>
      <c r="B408" s="18" t="inlineStr">
        <is>
          <t>D11</t>
        </is>
      </c>
      <c r="C408" s="18" t="inlineStr">
        <is>
          <t>I09</t>
        </is>
      </c>
      <c r="D408" s="18" t="inlineStr">
        <is>
          <t>Learner Signal Responsiveness</t>
        </is>
      </c>
      <c r="E408" s="18" t="inlineStr">
        <is>
          <t>D06</t>
        </is>
      </c>
      <c r="F408" s="18" t="inlineStr">
        <is>
          <t>I14</t>
        </is>
      </c>
      <c r="G408" s="18" t="inlineStr">
        <is>
          <t>Student Voice &amp; Feedback Loop</t>
        </is>
      </c>
      <c r="H408" s="18" t="inlineStr">
        <is>
          <t>Adaptation → learner response</t>
        </is>
      </c>
      <c r="I408" s="18" t="inlineStr">
        <is>
          <t>If learner/workforce signals are sensed but student capability/support does not change, flag learner responsiveness gap.</t>
        </is>
      </c>
      <c r="J408" s="18" t="inlineStr">
        <is>
          <t>Learner response review</t>
        </is>
      </c>
      <c r="K408" s="18" t="inlineStr">
        <is>
          <t>D11 owns institutional response; D06 owns student capability.</t>
        </is>
      </c>
    </row>
    <row r="409">
      <c r="A409" s="18" t="inlineStr">
        <is>
          <t>CD25</t>
        </is>
      </c>
      <c r="B409" s="18" t="inlineStr">
        <is>
          <t>D11</t>
        </is>
      </c>
      <c r="C409" s="18" t="inlineStr">
        <is>
          <t>I10</t>
        </is>
      </c>
      <c r="D409" s="18" t="inlineStr">
        <is>
          <t>Economic &amp; Workforce Responsiveness</t>
        </is>
      </c>
      <c r="E409" s="18" t="inlineStr">
        <is>
          <t>D06</t>
        </is>
      </c>
      <c r="F409" s="18" t="inlineStr">
        <is>
          <t>I08</t>
        </is>
      </c>
      <c r="G409" s="18" t="inlineStr">
        <is>
          <t>Career Adaptability</t>
        </is>
      </c>
      <c r="H409" s="18" t="inlineStr">
        <is>
          <t>Adaptation → learner response</t>
        </is>
      </c>
      <c r="I409" s="18" t="inlineStr">
        <is>
          <t>If learner/workforce signals are sensed but student capability/support does not change, flag learner responsiveness gap.</t>
        </is>
      </c>
      <c r="J409" s="18" t="inlineStr">
        <is>
          <t>Learner response review</t>
        </is>
      </c>
      <c r="K409" s="18" t="inlineStr">
        <is>
          <t>D11 owns institutional response; D06 owns student capability.</t>
        </is>
      </c>
    </row>
    <row r="410">
      <c r="A410" s="18" t="inlineStr">
        <is>
          <t>CD25</t>
        </is>
      </c>
      <c r="B410" s="18" t="inlineStr">
        <is>
          <t>D11</t>
        </is>
      </c>
      <c r="C410" s="18" t="inlineStr">
        <is>
          <t>I10</t>
        </is>
      </c>
      <c r="D410" s="18" t="inlineStr">
        <is>
          <t>Economic &amp; Workforce Responsiveness</t>
        </is>
      </c>
      <c r="E410" s="18" t="inlineStr">
        <is>
          <t>D06</t>
        </is>
      </c>
      <c r="F410" s="18" t="inlineStr">
        <is>
          <t>I10</t>
        </is>
      </c>
      <c r="G410" s="18" t="inlineStr">
        <is>
          <t>Problem Solving &amp; Transfer</t>
        </is>
      </c>
      <c r="H410" s="18" t="inlineStr">
        <is>
          <t>Adaptation → learner response</t>
        </is>
      </c>
      <c r="I410" s="18" t="inlineStr">
        <is>
          <t>If learner/workforce signals are sensed but student capability/support does not change, flag learner responsiveness gap.</t>
        </is>
      </c>
      <c r="J410" s="18" t="inlineStr">
        <is>
          <t>Learner response review</t>
        </is>
      </c>
      <c r="K410" s="18" t="inlineStr">
        <is>
          <t>D11 owns institutional response; D06 owns student capability.</t>
        </is>
      </c>
    </row>
    <row r="411">
      <c r="A411" s="18" t="inlineStr">
        <is>
          <t>CD25</t>
        </is>
      </c>
      <c r="B411" s="18" t="inlineStr">
        <is>
          <t>D11</t>
        </is>
      </c>
      <c r="C411" s="18" t="inlineStr">
        <is>
          <t>I10</t>
        </is>
      </c>
      <c r="D411" s="18" t="inlineStr">
        <is>
          <t>Economic &amp; Workforce Responsiveness</t>
        </is>
      </c>
      <c r="E411" s="18" t="inlineStr">
        <is>
          <t>D06</t>
        </is>
      </c>
      <c r="F411" s="18" t="inlineStr">
        <is>
          <t>I14</t>
        </is>
      </c>
      <c r="G411" s="18" t="inlineStr">
        <is>
          <t>Student Voice &amp; Feedback Loop</t>
        </is>
      </c>
      <c r="H411" s="18" t="inlineStr">
        <is>
          <t>Adaptation → learner response</t>
        </is>
      </c>
      <c r="I411" s="18" t="inlineStr">
        <is>
          <t>If learner/workforce signals are sensed but student capability/support does not change, flag learner responsiveness gap.</t>
        </is>
      </c>
      <c r="J411" s="18" t="inlineStr">
        <is>
          <t>Learner response review</t>
        </is>
      </c>
      <c r="K411" s="18" t="inlineStr">
        <is>
          <t>D11 owns institutional response; D06 owns student capability.</t>
        </is>
      </c>
    </row>
    <row r="412">
      <c r="A412" s="18" t="inlineStr">
        <is>
          <t>CD25</t>
        </is>
      </c>
      <c r="B412" s="18" t="inlineStr">
        <is>
          <t>D11</t>
        </is>
      </c>
      <c r="C412" s="18" t="inlineStr">
        <is>
          <t>I13</t>
        </is>
      </c>
      <c r="D412" s="18" t="inlineStr">
        <is>
          <t>Institutional Learning System</t>
        </is>
      </c>
      <c r="E412" s="18" t="inlineStr">
        <is>
          <t>D06</t>
        </is>
      </c>
      <c r="F412" s="18" t="inlineStr">
        <is>
          <t>I08</t>
        </is>
      </c>
      <c r="G412" s="18" t="inlineStr">
        <is>
          <t>Career Adaptability</t>
        </is>
      </c>
      <c r="H412" s="18" t="inlineStr">
        <is>
          <t>Adaptation → learner response</t>
        </is>
      </c>
      <c r="I412" s="18" t="inlineStr">
        <is>
          <t>If learner/workforce signals are sensed but student capability/support does not change, flag learner responsiveness gap.</t>
        </is>
      </c>
      <c r="J412" s="18" t="inlineStr">
        <is>
          <t>Learner response review</t>
        </is>
      </c>
      <c r="K412" s="18" t="inlineStr">
        <is>
          <t>D11 owns institutional response; D06 owns student capability.</t>
        </is>
      </c>
    </row>
    <row r="413">
      <c r="A413" s="18" t="inlineStr">
        <is>
          <t>CD25</t>
        </is>
      </c>
      <c r="B413" s="18" t="inlineStr">
        <is>
          <t>D11</t>
        </is>
      </c>
      <c r="C413" s="18" t="inlineStr">
        <is>
          <t>I13</t>
        </is>
      </c>
      <c r="D413" s="18" t="inlineStr">
        <is>
          <t>Institutional Learning System</t>
        </is>
      </c>
      <c r="E413" s="18" t="inlineStr">
        <is>
          <t>D06</t>
        </is>
      </c>
      <c r="F413" s="18" t="inlineStr">
        <is>
          <t>I10</t>
        </is>
      </c>
      <c r="G413" s="18" t="inlineStr">
        <is>
          <t>Problem Solving &amp; Transfer</t>
        </is>
      </c>
      <c r="H413" s="18" t="inlineStr">
        <is>
          <t>Adaptation → learner response</t>
        </is>
      </c>
      <c r="I413" s="18" t="inlineStr">
        <is>
          <t>If learner/workforce signals are sensed but student capability/support does not change, flag learner responsiveness gap.</t>
        </is>
      </c>
      <c r="J413" s="18" t="inlineStr">
        <is>
          <t>Learner response review</t>
        </is>
      </c>
      <c r="K413" s="18" t="inlineStr">
        <is>
          <t>D11 owns institutional response; D06 owns student capability.</t>
        </is>
      </c>
    </row>
    <row r="414">
      <c r="A414" s="18" t="inlineStr">
        <is>
          <t>CD25</t>
        </is>
      </c>
      <c r="B414" s="18" t="inlineStr">
        <is>
          <t>D11</t>
        </is>
      </c>
      <c r="C414" s="18" t="inlineStr">
        <is>
          <t>I13</t>
        </is>
      </c>
      <c r="D414" s="18" t="inlineStr">
        <is>
          <t>Institutional Learning System</t>
        </is>
      </c>
      <c r="E414" s="18" t="inlineStr">
        <is>
          <t>D06</t>
        </is>
      </c>
      <c r="F414" s="18" t="inlineStr">
        <is>
          <t>I14</t>
        </is>
      </c>
      <c r="G414" s="18" t="inlineStr">
        <is>
          <t>Student Voice &amp; Feedback Loop</t>
        </is>
      </c>
      <c r="H414" s="18" t="inlineStr">
        <is>
          <t>Adaptation → learner response</t>
        </is>
      </c>
      <c r="I414" s="18" t="inlineStr">
        <is>
          <t>If learner/workforce signals are sensed but student capability/support does not change, flag learner responsiveness gap.</t>
        </is>
      </c>
      <c r="J414" s="18" t="inlineStr">
        <is>
          <t>Learner response review</t>
        </is>
      </c>
      <c r="K414" s="18" t="inlineStr">
        <is>
          <t>D11 owns institutional response; D06 owns student capability.</t>
        </is>
      </c>
    </row>
  </sheetData>
  <autoFilter ref="A1:K414"/>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L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 width="14" customWidth="1" min="4" max="4"/>
    <col width="14" customWidth="1" min="5" max="5"/>
    <col width="16" customWidth="1" min="6" max="6"/>
    <col width="16" customWidth="1" min="7" max="7"/>
    <col width="14" customWidth="1" min="8" max="8"/>
    <col width="14" customWidth="1" min="9" max="9"/>
    <col width="60" customWidth="1" min="10" max="10"/>
    <col width="14" customWidth="1" min="11" max="11"/>
    <col width="70" customWidth="1" min="12" max="12"/>
  </cols>
  <sheetData>
    <row r="1">
      <c r="A1" s="17" t="inlineStr">
        <is>
          <t>Rule ID</t>
        </is>
      </c>
      <c r="B1" s="17" t="inlineStr">
        <is>
          <t>From Metric</t>
        </is>
      </c>
      <c r="C1" s="17" t="inlineStr">
        <is>
          <t>To Metric</t>
        </is>
      </c>
      <c r="D1" s="17" t="inlineStr">
        <is>
          <t>From Score</t>
        </is>
      </c>
      <c r="E1" s="17" t="inlineStr">
        <is>
          <t>To Score</t>
        </is>
      </c>
      <c r="F1" s="17" t="inlineStr">
        <is>
          <t>From Required R</t>
        </is>
      </c>
      <c r="G1" s="17" t="inlineStr">
        <is>
          <t>To Required R</t>
        </is>
      </c>
      <c r="H1" s="17" t="inlineStr">
        <is>
          <t>From Gap</t>
        </is>
      </c>
      <c r="I1" s="17" t="inlineStr">
        <is>
          <t>To Gap</t>
        </is>
      </c>
      <c r="J1" s="17" t="inlineStr">
        <is>
          <t>Trigger</t>
        </is>
      </c>
      <c r="K1" s="17" t="inlineStr">
        <is>
          <t>Severity</t>
        </is>
      </c>
      <c r="L1" s="17" t="inlineStr">
        <is>
          <t>Diagnostic</t>
        </is>
      </c>
    </row>
    <row r="2">
      <c r="A2" s="18" t="inlineStr">
        <is>
          <t>CD01</t>
        </is>
      </c>
      <c r="B2" s="18" t="inlineStr">
        <is>
          <t>D01-I01</t>
        </is>
      </c>
      <c r="C2" s="18" t="inlineStr">
        <is>
          <t>D03-I01</t>
        </is>
      </c>
      <c r="D2" s="18">
        <f>'P0-3_Scorecard'!L2</f>
        <v/>
      </c>
      <c r="E2" s="18">
        <f>'P0-3_Scorecard'!L26</f>
        <v/>
      </c>
      <c r="F2" s="18">
        <f>'P0-3_Scorecard'!M2</f>
        <v/>
      </c>
      <c r="G2" s="18">
        <f>'P0-3_Scorecard'!M26</f>
        <v/>
      </c>
      <c r="H2" s="18">
        <f>IF(OR(D2="",F2=""),"",D2-(F2*20))</f>
        <v/>
      </c>
      <c r="I2" s="18">
        <f>IF(OR(E2="",G2=""),"",E2-(G2*20))</f>
        <v/>
      </c>
      <c r="J2" s="18">
        <f>IF(OR(D2="",E2=""),"INCOMPLETE",IF(AND(D2&gt;=80,E2&lt;50),"CONTRADICTION",IF(AND(D2&gt;=70,E2&lt;70),"DEPENDENCY GAP","NO TRIGGER")))</f>
        <v/>
      </c>
      <c r="K2" s="18">
        <f>IF(J2="CONTRADICTION","HIGH",IF(J2="DEPENDENCY GAP","MEDIUM","—"))</f>
        <v/>
      </c>
      <c r="L2" s="18">
        <f>IF(J2="CONTRADICTION","Strong upstream claim is not supported by linked downstream capability/evidence. Trigger: D03 deep-dive.",IF(J2="DEPENDENCY GAP","Downstream capability materially trails upstream expectation. Trigger: D03 deep-dive.",""))</f>
        <v/>
      </c>
    </row>
    <row r="3">
      <c r="A3" s="18" t="inlineStr">
        <is>
          <t>CD01</t>
        </is>
      </c>
      <c r="B3" s="18" t="inlineStr">
        <is>
          <t>D01-I01</t>
        </is>
      </c>
      <c r="C3" s="18" t="inlineStr">
        <is>
          <t>D03-I02</t>
        </is>
      </c>
      <c r="D3" s="18">
        <f>'P0-3_Scorecard'!L2</f>
        <v/>
      </c>
      <c r="E3" s="18">
        <f>'P0-3_Scorecard'!L27</f>
        <v/>
      </c>
      <c r="F3" s="18">
        <f>'P0-3_Scorecard'!M2</f>
        <v/>
      </c>
      <c r="G3" s="18">
        <f>'P0-3_Scorecard'!M27</f>
        <v/>
      </c>
      <c r="H3" s="18">
        <f>IF(OR(D3="",F3=""),"",D3-(F3*20))</f>
        <v/>
      </c>
      <c r="I3" s="18">
        <f>IF(OR(E3="",G3=""),"",E3-(G3*20))</f>
        <v/>
      </c>
      <c r="J3" s="18">
        <f>IF(OR(D3="",E3=""),"INCOMPLETE",IF(AND(D3&gt;=80,E3&lt;50),"CONTRADICTION",IF(AND(D3&gt;=70,E3&lt;70),"DEPENDENCY GAP","NO TRIGGER")))</f>
        <v/>
      </c>
      <c r="K3" s="18">
        <f>IF(J3="CONTRADICTION","HIGH",IF(J3="DEPENDENCY GAP","MEDIUM","—"))</f>
        <v/>
      </c>
      <c r="L3" s="18">
        <f>IF(J3="CONTRADICTION","Strong upstream claim is not supported by linked downstream capability/evidence. Trigger: D03 deep-dive.",IF(J3="DEPENDENCY GAP","Downstream capability materially trails upstream expectation. Trigger: D03 deep-dive.",""))</f>
        <v/>
      </c>
    </row>
    <row r="4">
      <c r="A4" s="18" t="inlineStr">
        <is>
          <t>CD01</t>
        </is>
      </c>
      <c r="B4" s="18" t="inlineStr">
        <is>
          <t>D01-I01</t>
        </is>
      </c>
      <c r="C4" s="18" t="inlineStr">
        <is>
          <t>D03-I05</t>
        </is>
      </c>
      <c r="D4" s="18">
        <f>'P0-3_Scorecard'!L2</f>
        <v/>
      </c>
      <c r="E4" s="18">
        <f>'P0-3_Scorecard'!L30</f>
        <v/>
      </c>
      <c r="F4" s="18">
        <f>'P0-3_Scorecard'!M2</f>
        <v/>
      </c>
      <c r="G4" s="18">
        <f>'P0-3_Scorecard'!M30</f>
        <v/>
      </c>
      <c r="H4" s="18">
        <f>IF(OR(D4="",F4=""),"",D4-(F4*20))</f>
        <v/>
      </c>
      <c r="I4" s="18">
        <f>IF(OR(E4="",G4=""),"",E4-(G4*20))</f>
        <v/>
      </c>
      <c r="J4" s="18">
        <f>IF(OR(D4="",E4=""),"INCOMPLETE",IF(AND(D4&gt;=80,E4&lt;50),"CONTRADICTION",IF(AND(D4&gt;=70,E4&lt;70),"DEPENDENCY GAP","NO TRIGGER")))</f>
        <v/>
      </c>
      <c r="K4" s="18">
        <f>IF(J4="CONTRADICTION","HIGH",IF(J4="DEPENDENCY GAP","MEDIUM","—"))</f>
        <v/>
      </c>
      <c r="L4" s="18">
        <f>IF(J4="CONTRADICTION","Strong upstream claim is not supported by linked downstream capability/evidence. Trigger: D03 deep-dive.",IF(J4="DEPENDENCY GAP","Downstream capability materially trails upstream expectation. Trigger: D03 deep-dive.",""))</f>
        <v/>
      </c>
    </row>
    <row r="5">
      <c r="A5" s="18" t="inlineStr">
        <is>
          <t>CD01</t>
        </is>
      </c>
      <c r="B5" s="18" t="inlineStr">
        <is>
          <t>D01-I01</t>
        </is>
      </c>
      <c r="C5" s="18" t="inlineStr">
        <is>
          <t>D03-I07</t>
        </is>
      </c>
      <c r="D5" s="18">
        <f>'P0-3_Scorecard'!L2</f>
        <v/>
      </c>
      <c r="E5" s="18">
        <f>'P0-3_Scorecard'!L32</f>
        <v/>
      </c>
      <c r="F5" s="18">
        <f>'P0-3_Scorecard'!M2</f>
        <v/>
      </c>
      <c r="G5" s="18">
        <f>'P0-3_Scorecard'!M32</f>
        <v/>
      </c>
      <c r="H5" s="18">
        <f>IF(OR(D5="",F5=""),"",D5-(F5*20))</f>
        <v/>
      </c>
      <c r="I5" s="18">
        <f>IF(OR(E5="",G5=""),"",E5-(G5*20))</f>
        <v/>
      </c>
      <c r="J5" s="18">
        <f>IF(OR(D5="",E5=""),"INCOMPLETE",IF(AND(D5&gt;=80,E5&lt;50),"CONTRADICTION",IF(AND(D5&gt;=70,E5&lt;70),"DEPENDENCY GAP","NO TRIGGER")))</f>
        <v/>
      </c>
      <c r="K5" s="18">
        <f>IF(J5="CONTRADICTION","HIGH",IF(J5="DEPENDENCY GAP","MEDIUM","—"))</f>
        <v/>
      </c>
      <c r="L5" s="18">
        <f>IF(J5="CONTRADICTION","Strong upstream claim is not supported by linked downstream capability/evidence. Trigger: D03 deep-dive.",IF(J5="DEPENDENCY GAP","Downstream capability materially trails upstream expectation. Trigger: D03 deep-dive.",""))</f>
        <v/>
      </c>
    </row>
    <row r="6">
      <c r="A6" s="18" t="inlineStr">
        <is>
          <t>CD01</t>
        </is>
      </c>
      <c r="B6" s="18" t="inlineStr">
        <is>
          <t>D01-I01</t>
        </is>
      </c>
      <c r="C6" s="18" t="inlineStr">
        <is>
          <t>D03-I15</t>
        </is>
      </c>
      <c r="D6" s="18">
        <f>'P0-3_Scorecard'!L2</f>
        <v/>
      </c>
      <c r="E6" s="18">
        <f>'P0-3_Scorecard'!L40</f>
        <v/>
      </c>
      <c r="F6" s="18">
        <f>'P0-3_Scorecard'!M2</f>
        <v/>
      </c>
      <c r="G6" s="18">
        <f>'P0-3_Scorecard'!M40</f>
        <v/>
      </c>
      <c r="H6" s="18">
        <f>IF(OR(D6="",F6=""),"",D6-(F6*20))</f>
        <v/>
      </c>
      <c r="I6" s="18">
        <f>IF(OR(E6="",G6=""),"",E6-(G6*20))</f>
        <v/>
      </c>
      <c r="J6" s="18">
        <f>IF(OR(D6="",E6=""),"INCOMPLETE",IF(AND(D6&gt;=80,E6&lt;50),"CONTRADICTION",IF(AND(D6&gt;=70,E6&lt;70),"DEPENDENCY GAP","NO TRIGGER")))</f>
        <v/>
      </c>
      <c r="K6" s="18">
        <f>IF(J6="CONTRADICTION","HIGH",IF(J6="DEPENDENCY GAP","MEDIUM","—"))</f>
        <v/>
      </c>
      <c r="L6" s="18">
        <f>IF(J6="CONTRADICTION","Strong upstream claim is not supported by linked downstream capability/evidence. Trigger: D03 deep-dive.",IF(J6="DEPENDENCY GAP","Downstream capability materially trails upstream expectation. Trigger: D03 deep-dive.",""))</f>
        <v/>
      </c>
    </row>
    <row r="7">
      <c r="A7" s="18" t="inlineStr">
        <is>
          <t>CD01</t>
        </is>
      </c>
      <c r="B7" s="18" t="inlineStr">
        <is>
          <t>D01-I01</t>
        </is>
      </c>
      <c r="C7" s="18" t="inlineStr">
        <is>
          <t>D03-I16</t>
        </is>
      </c>
      <c r="D7" s="18">
        <f>'P0-3_Scorecard'!L2</f>
        <v/>
      </c>
      <c r="E7" s="18">
        <f>'P0-3_Scorecard'!L41</f>
        <v/>
      </c>
      <c r="F7" s="18">
        <f>'P0-3_Scorecard'!M2</f>
        <v/>
      </c>
      <c r="G7" s="18">
        <f>'P0-3_Scorecard'!M41</f>
        <v/>
      </c>
      <c r="H7" s="18">
        <f>IF(OR(D7="",F7=""),"",D7-(F7*20))</f>
        <v/>
      </c>
      <c r="I7" s="18">
        <f>IF(OR(E7="",G7=""),"",E7-(G7*20))</f>
        <v/>
      </c>
      <c r="J7" s="18">
        <f>IF(OR(D7="",E7=""),"INCOMPLETE",IF(AND(D7&gt;=80,E7&lt;50),"CONTRADICTION",IF(AND(D7&gt;=70,E7&lt;70),"DEPENDENCY GAP","NO TRIGGER")))</f>
        <v/>
      </c>
      <c r="K7" s="18">
        <f>IF(J7="CONTRADICTION","HIGH",IF(J7="DEPENDENCY GAP","MEDIUM","—"))</f>
        <v/>
      </c>
      <c r="L7" s="18">
        <f>IF(J7="CONTRADICTION","Strong upstream claim is not supported by linked downstream capability/evidence. Trigger: D03 deep-dive.",IF(J7="DEPENDENCY GAP","Downstream capability materially trails upstream expectation. Trigger: D03 deep-dive.",""))</f>
        <v/>
      </c>
    </row>
    <row r="8">
      <c r="A8" s="18" t="inlineStr">
        <is>
          <t>CD01</t>
        </is>
      </c>
      <c r="B8" s="18" t="inlineStr">
        <is>
          <t>D01-I03</t>
        </is>
      </c>
      <c r="C8" s="18" t="inlineStr">
        <is>
          <t>D03-I01</t>
        </is>
      </c>
      <c r="D8" s="18">
        <f>'P0-3_Scorecard'!L4</f>
        <v/>
      </c>
      <c r="E8" s="18">
        <f>'P0-3_Scorecard'!L26</f>
        <v/>
      </c>
      <c r="F8" s="18">
        <f>'P0-3_Scorecard'!M4</f>
        <v/>
      </c>
      <c r="G8" s="18">
        <f>'P0-3_Scorecard'!M26</f>
        <v/>
      </c>
      <c r="H8" s="18">
        <f>IF(OR(D8="",F8=""),"",D8-(F8*20))</f>
        <v/>
      </c>
      <c r="I8" s="18">
        <f>IF(OR(E8="",G8=""),"",E8-(G8*20))</f>
        <v/>
      </c>
      <c r="J8" s="18">
        <f>IF(OR(D8="",E8=""),"INCOMPLETE",IF(AND(D8&gt;=80,E8&lt;50),"CONTRADICTION",IF(AND(D8&gt;=70,E8&lt;70),"DEPENDENCY GAP","NO TRIGGER")))</f>
        <v/>
      </c>
      <c r="K8" s="18">
        <f>IF(J8="CONTRADICTION","HIGH",IF(J8="DEPENDENCY GAP","MEDIUM","—"))</f>
        <v/>
      </c>
      <c r="L8" s="18">
        <f>IF(J8="CONTRADICTION","Strong upstream claim is not supported by linked downstream capability/evidence. Trigger: D03 deep-dive.",IF(J8="DEPENDENCY GAP","Downstream capability materially trails upstream expectation. Trigger: D03 deep-dive.",""))</f>
        <v/>
      </c>
    </row>
    <row r="9">
      <c r="A9" s="18" t="inlineStr">
        <is>
          <t>CD01</t>
        </is>
      </c>
      <c r="B9" s="18" t="inlineStr">
        <is>
          <t>D01-I03</t>
        </is>
      </c>
      <c r="C9" s="18" t="inlineStr">
        <is>
          <t>D03-I02</t>
        </is>
      </c>
      <c r="D9" s="18">
        <f>'P0-3_Scorecard'!L4</f>
        <v/>
      </c>
      <c r="E9" s="18">
        <f>'P0-3_Scorecard'!L27</f>
        <v/>
      </c>
      <c r="F9" s="18">
        <f>'P0-3_Scorecard'!M4</f>
        <v/>
      </c>
      <c r="G9" s="18">
        <f>'P0-3_Scorecard'!M27</f>
        <v/>
      </c>
      <c r="H9" s="18">
        <f>IF(OR(D9="",F9=""),"",D9-(F9*20))</f>
        <v/>
      </c>
      <c r="I9" s="18">
        <f>IF(OR(E9="",G9=""),"",E9-(G9*20))</f>
        <v/>
      </c>
      <c r="J9" s="18">
        <f>IF(OR(D9="",E9=""),"INCOMPLETE",IF(AND(D9&gt;=80,E9&lt;50),"CONTRADICTION",IF(AND(D9&gt;=70,E9&lt;70),"DEPENDENCY GAP","NO TRIGGER")))</f>
        <v/>
      </c>
      <c r="K9" s="18">
        <f>IF(J9="CONTRADICTION","HIGH",IF(J9="DEPENDENCY GAP","MEDIUM","—"))</f>
        <v/>
      </c>
      <c r="L9" s="18">
        <f>IF(J9="CONTRADICTION","Strong upstream claim is not supported by linked downstream capability/evidence. Trigger: D03 deep-dive.",IF(J9="DEPENDENCY GAP","Downstream capability materially trails upstream expectation. Trigger: D03 deep-dive.",""))</f>
        <v/>
      </c>
    </row>
    <row r="10">
      <c r="A10" s="18" t="inlineStr">
        <is>
          <t>CD01</t>
        </is>
      </c>
      <c r="B10" s="18" t="inlineStr">
        <is>
          <t>D01-I03</t>
        </is>
      </c>
      <c r="C10" s="18" t="inlineStr">
        <is>
          <t>D03-I05</t>
        </is>
      </c>
      <c r="D10" s="18">
        <f>'P0-3_Scorecard'!L4</f>
        <v/>
      </c>
      <c r="E10" s="18">
        <f>'P0-3_Scorecard'!L30</f>
        <v/>
      </c>
      <c r="F10" s="18">
        <f>'P0-3_Scorecard'!M4</f>
        <v/>
      </c>
      <c r="G10" s="18">
        <f>'P0-3_Scorecard'!M30</f>
        <v/>
      </c>
      <c r="H10" s="18">
        <f>IF(OR(D10="",F10=""),"",D10-(F10*20))</f>
        <v/>
      </c>
      <c r="I10" s="18">
        <f>IF(OR(E10="",G10=""),"",E10-(G10*20))</f>
        <v/>
      </c>
      <c r="J10" s="18">
        <f>IF(OR(D10="",E10=""),"INCOMPLETE",IF(AND(D10&gt;=80,E10&lt;50),"CONTRADICTION",IF(AND(D10&gt;=70,E10&lt;70),"DEPENDENCY GAP","NO TRIGGER")))</f>
        <v/>
      </c>
      <c r="K10" s="18">
        <f>IF(J10="CONTRADICTION","HIGH",IF(J10="DEPENDENCY GAP","MEDIUM","—"))</f>
        <v/>
      </c>
      <c r="L10" s="18">
        <f>IF(J10="CONTRADICTION","Strong upstream claim is not supported by linked downstream capability/evidence. Trigger: D03 deep-dive.",IF(J10="DEPENDENCY GAP","Downstream capability materially trails upstream expectation. Trigger: D03 deep-dive.",""))</f>
        <v/>
      </c>
    </row>
    <row r="11">
      <c r="A11" s="18" t="inlineStr">
        <is>
          <t>CD01</t>
        </is>
      </c>
      <c r="B11" s="18" t="inlineStr">
        <is>
          <t>D01-I03</t>
        </is>
      </c>
      <c r="C11" s="18" t="inlineStr">
        <is>
          <t>D03-I07</t>
        </is>
      </c>
      <c r="D11" s="18">
        <f>'P0-3_Scorecard'!L4</f>
        <v/>
      </c>
      <c r="E11" s="18">
        <f>'P0-3_Scorecard'!L32</f>
        <v/>
      </c>
      <c r="F11" s="18">
        <f>'P0-3_Scorecard'!M4</f>
        <v/>
      </c>
      <c r="G11" s="18">
        <f>'P0-3_Scorecard'!M32</f>
        <v/>
      </c>
      <c r="H11" s="18">
        <f>IF(OR(D11="",F11=""),"",D11-(F11*20))</f>
        <v/>
      </c>
      <c r="I11" s="18">
        <f>IF(OR(E11="",G11=""),"",E11-(G11*20))</f>
        <v/>
      </c>
      <c r="J11" s="18">
        <f>IF(OR(D11="",E11=""),"INCOMPLETE",IF(AND(D11&gt;=80,E11&lt;50),"CONTRADICTION",IF(AND(D11&gt;=70,E11&lt;70),"DEPENDENCY GAP","NO TRIGGER")))</f>
        <v/>
      </c>
      <c r="K11" s="18">
        <f>IF(J11="CONTRADICTION","HIGH",IF(J11="DEPENDENCY GAP","MEDIUM","—"))</f>
        <v/>
      </c>
      <c r="L11" s="18">
        <f>IF(J11="CONTRADICTION","Strong upstream claim is not supported by linked downstream capability/evidence. Trigger: D03 deep-dive.",IF(J11="DEPENDENCY GAP","Downstream capability materially trails upstream expectation. Trigger: D03 deep-dive.",""))</f>
        <v/>
      </c>
    </row>
    <row r="12">
      <c r="A12" s="18" t="inlineStr">
        <is>
          <t>CD01</t>
        </is>
      </c>
      <c r="B12" s="18" t="inlineStr">
        <is>
          <t>D01-I03</t>
        </is>
      </c>
      <c r="C12" s="18" t="inlineStr">
        <is>
          <t>D03-I15</t>
        </is>
      </c>
      <c r="D12" s="18">
        <f>'P0-3_Scorecard'!L4</f>
        <v/>
      </c>
      <c r="E12" s="18">
        <f>'P0-3_Scorecard'!L40</f>
        <v/>
      </c>
      <c r="F12" s="18">
        <f>'P0-3_Scorecard'!M4</f>
        <v/>
      </c>
      <c r="G12" s="18">
        <f>'P0-3_Scorecard'!M40</f>
        <v/>
      </c>
      <c r="H12" s="18">
        <f>IF(OR(D12="",F12=""),"",D12-(F12*20))</f>
        <v/>
      </c>
      <c r="I12" s="18">
        <f>IF(OR(E12="",G12=""),"",E12-(G12*20))</f>
        <v/>
      </c>
      <c r="J12" s="18">
        <f>IF(OR(D12="",E12=""),"INCOMPLETE",IF(AND(D12&gt;=80,E12&lt;50),"CONTRADICTION",IF(AND(D12&gt;=70,E12&lt;70),"DEPENDENCY GAP","NO TRIGGER")))</f>
        <v/>
      </c>
      <c r="K12" s="18">
        <f>IF(J12="CONTRADICTION","HIGH",IF(J12="DEPENDENCY GAP","MEDIUM","—"))</f>
        <v/>
      </c>
      <c r="L12" s="18">
        <f>IF(J12="CONTRADICTION","Strong upstream claim is not supported by linked downstream capability/evidence. Trigger: D03 deep-dive.",IF(J12="DEPENDENCY GAP","Downstream capability materially trails upstream expectation. Trigger: D03 deep-dive.",""))</f>
        <v/>
      </c>
    </row>
    <row r="13">
      <c r="A13" s="18" t="inlineStr">
        <is>
          <t>CD01</t>
        </is>
      </c>
      <c r="B13" s="18" t="inlineStr">
        <is>
          <t>D01-I03</t>
        </is>
      </c>
      <c r="C13" s="18" t="inlineStr">
        <is>
          <t>D03-I16</t>
        </is>
      </c>
      <c r="D13" s="18">
        <f>'P0-3_Scorecard'!L4</f>
        <v/>
      </c>
      <c r="E13" s="18">
        <f>'P0-3_Scorecard'!L41</f>
        <v/>
      </c>
      <c r="F13" s="18">
        <f>'P0-3_Scorecard'!M4</f>
        <v/>
      </c>
      <c r="G13" s="18">
        <f>'P0-3_Scorecard'!M41</f>
        <v/>
      </c>
      <c r="H13" s="18">
        <f>IF(OR(D13="",F13=""),"",D13-(F13*20))</f>
        <v/>
      </c>
      <c r="I13" s="18">
        <f>IF(OR(E13="",G13=""),"",E13-(G13*20))</f>
        <v/>
      </c>
      <c r="J13" s="18">
        <f>IF(OR(D13="",E13=""),"INCOMPLETE",IF(AND(D13&gt;=80,E13&lt;50),"CONTRADICTION",IF(AND(D13&gt;=70,E13&lt;70),"DEPENDENCY GAP","NO TRIGGER")))</f>
        <v/>
      </c>
      <c r="K13" s="18">
        <f>IF(J13="CONTRADICTION","HIGH",IF(J13="DEPENDENCY GAP","MEDIUM","—"))</f>
        <v/>
      </c>
      <c r="L13" s="18">
        <f>IF(J13="CONTRADICTION","Strong upstream claim is not supported by linked downstream capability/evidence. Trigger: D03 deep-dive.",IF(J13="DEPENDENCY GAP","Downstream capability materially trails upstream expectation. Trigger: D03 deep-dive.",""))</f>
        <v/>
      </c>
    </row>
    <row r="14">
      <c r="A14" s="18" t="inlineStr">
        <is>
          <t>CD02</t>
        </is>
      </c>
      <c r="B14" s="18" t="inlineStr">
        <is>
          <t>D01-I01</t>
        </is>
      </c>
      <c r="C14" s="18" t="inlineStr">
        <is>
          <t>D02-I01</t>
        </is>
      </c>
      <c r="D14" s="18">
        <f>'P0-3_Scorecard'!L2</f>
        <v/>
      </c>
      <c r="E14" s="18">
        <f>'P0-3_Scorecard'!L12</f>
        <v/>
      </c>
      <c r="F14" s="18">
        <f>'P0-3_Scorecard'!M2</f>
        <v/>
      </c>
      <c r="G14" s="18">
        <f>'P0-3_Scorecard'!M12</f>
        <v/>
      </c>
      <c r="H14" s="18">
        <f>IF(OR(D14="",F14=""),"",D14-(F14*20))</f>
        <v/>
      </c>
      <c r="I14" s="18">
        <f>IF(OR(E14="",G14=""),"",E14-(G14*20))</f>
        <v/>
      </c>
      <c r="J14" s="18">
        <f>IF(OR(D14="",E14=""),"INCOMPLETE",IF(AND(D14&gt;=80,E14&lt;50),"CONTRADICTION",IF(AND(D14&gt;=70,E14&lt;70),"DEPENDENCY GAP","NO TRIGGER")))</f>
        <v/>
      </c>
      <c r="K14" s="18">
        <f>IF(J14="CONTRADICTION","HIGH",IF(J14="DEPENDENCY GAP","MEDIUM","—"))</f>
        <v/>
      </c>
      <c r="L14" s="18">
        <f>IF(J14="CONTRADICTION","Strong upstream claim is not supported by linked downstream capability/evidence. Trigger: Governance review.",IF(J14="DEPENDENCY GAP","Downstream capability materially trails upstream expectation. Trigger: Governance review.",""))</f>
        <v/>
      </c>
    </row>
    <row r="15">
      <c r="A15" s="18" t="inlineStr">
        <is>
          <t>CD02</t>
        </is>
      </c>
      <c r="B15" s="18" t="inlineStr">
        <is>
          <t>D01-I01</t>
        </is>
      </c>
      <c r="C15" s="18" t="inlineStr">
        <is>
          <t>D02-I03</t>
        </is>
      </c>
      <c r="D15" s="18">
        <f>'P0-3_Scorecard'!L2</f>
        <v/>
      </c>
      <c r="E15" s="18">
        <f>'P0-3_Scorecard'!L14</f>
        <v/>
      </c>
      <c r="F15" s="18">
        <f>'P0-3_Scorecard'!M2</f>
        <v/>
      </c>
      <c r="G15" s="18">
        <f>'P0-3_Scorecard'!M14</f>
        <v/>
      </c>
      <c r="H15" s="18">
        <f>IF(OR(D15="",F15=""),"",D15-(F15*20))</f>
        <v/>
      </c>
      <c r="I15" s="18">
        <f>IF(OR(E15="",G15=""),"",E15-(G15*20))</f>
        <v/>
      </c>
      <c r="J15" s="18">
        <f>IF(OR(D15="",E15=""),"INCOMPLETE",IF(AND(D15&gt;=80,E15&lt;50),"CONTRADICTION",IF(AND(D15&gt;=70,E15&lt;70),"DEPENDENCY GAP","NO TRIGGER")))</f>
        <v/>
      </c>
      <c r="K15" s="18">
        <f>IF(J15="CONTRADICTION","HIGH",IF(J15="DEPENDENCY GAP","MEDIUM","—"))</f>
        <v/>
      </c>
      <c r="L15" s="18">
        <f>IF(J15="CONTRADICTION","Strong upstream claim is not supported by linked downstream capability/evidence. Trigger: Governance review.",IF(J15="DEPENDENCY GAP","Downstream capability materially trails upstream expectation. Trigger: Governance review.",""))</f>
        <v/>
      </c>
    </row>
    <row r="16">
      <c r="A16" s="18" t="inlineStr">
        <is>
          <t>CD02</t>
        </is>
      </c>
      <c r="B16" s="18" t="inlineStr">
        <is>
          <t>D01-I01</t>
        </is>
      </c>
      <c r="C16" s="18" t="inlineStr">
        <is>
          <t>D02-I07</t>
        </is>
      </c>
      <c r="D16" s="18">
        <f>'P0-3_Scorecard'!L2</f>
        <v/>
      </c>
      <c r="E16" s="18">
        <f>'P0-3_Scorecard'!L18</f>
        <v/>
      </c>
      <c r="F16" s="18">
        <f>'P0-3_Scorecard'!M2</f>
        <v/>
      </c>
      <c r="G16" s="18">
        <f>'P0-3_Scorecard'!M18</f>
        <v/>
      </c>
      <c r="H16" s="18">
        <f>IF(OR(D16="",F16=""),"",D16-(F16*20))</f>
        <v/>
      </c>
      <c r="I16" s="18">
        <f>IF(OR(E16="",G16=""),"",E16-(G16*20))</f>
        <v/>
      </c>
      <c r="J16" s="18">
        <f>IF(OR(D16="",E16=""),"INCOMPLETE",IF(AND(D16&gt;=80,E16&lt;50),"CONTRADICTION",IF(AND(D16&gt;=70,E16&lt;70),"DEPENDENCY GAP","NO TRIGGER")))</f>
        <v/>
      </c>
      <c r="K16" s="18">
        <f>IF(J16="CONTRADICTION","HIGH",IF(J16="DEPENDENCY GAP","MEDIUM","—"))</f>
        <v/>
      </c>
      <c r="L16" s="18">
        <f>IF(J16="CONTRADICTION","Strong upstream claim is not supported by linked downstream capability/evidence. Trigger: Governance review.",IF(J16="DEPENDENCY GAP","Downstream capability materially trails upstream expectation. Trigger: Governance review.",""))</f>
        <v/>
      </c>
    </row>
    <row r="17">
      <c r="A17" s="18" t="inlineStr">
        <is>
          <t>CD02</t>
        </is>
      </c>
      <c r="B17" s="18" t="inlineStr">
        <is>
          <t>D01-I01</t>
        </is>
      </c>
      <c r="C17" s="18" t="inlineStr">
        <is>
          <t>D02-I13</t>
        </is>
      </c>
      <c r="D17" s="18">
        <f>'P0-3_Scorecard'!L2</f>
        <v/>
      </c>
      <c r="E17" s="18">
        <f>'P0-3_Scorecard'!L24</f>
        <v/>
      </c>
      <c r="F17" s="18">
        <f>'P0-3_Scorecard'!M2</f>
        <v/>
      </c>
      <c r="G17" s="18">
        <f>'P0-3_Scorecard'!M24</f>
        <v/>
      </c>
      <c r="H17" s="18">
        <f>IF(OR(D17="",F17=""),"",D17-(F17*20))</f>
        <v/>
      </c>
      <c r="I17" s="18">
        <f>IF(OR(E17="",G17=""),"",E17-(G17*20))</f>
        <v/>
      </c>
      <c r="J17" s="18">
        <f>IF(OR(D17="",E17=""),"INCOMPLETE",IF(AND(D17&gt;=80,E17&lt;50),"CONTRADICTION",IF(AND(D17&gt;=70,E17&lt;70),"DEPENDENCY GAP","NO TRIGGER")))</f>
        <v/>
      </c>
      <c r="K17" s="18">
        <f>IF(J17="CONTRADICTION","HIGH",IF(J17="DEPENDENCY GAP","MEDIUM","—"))</f>
        <v/>
      </c>
      <c r="L17" s="18">
        <f>IF(J17="CONTRADICTION","Strong upstream claim is not supported by linked downstream capability/evidence. Trigger: Governance review.",IF(J17="DEPENDENCY GAP","Downstream capability materially trails upstream expectation. Trigger: Governance review.",""))</f>
        <v/>
      </c>
    </row>
    <row r="18">
      <c r="A18" s="18" t="inlineStr">
        <is>
          <t>CD02</t>
        </is>
      </c>
      <c r="B18" s="18" t="inlineStr">
        <is>
          <t>D01-I06</t>
        </is>
      </c>
      <c r="C18" s="18" t="inlineStr">
        <is>
          <t>D02-I01</t>
        </is>
      </c>
      <c r="D18" s="18">
        <f>'P0-3_Scorecard'!L7</f>
        <v/>
      </c>
      <c r="E18" s="18">
        <f>'P0-3_Scorecard'!L12</f>
        <v/>
      </c>
      <c r="F18" s="18">
        <f>'P0-3_Scorecard'!M7</f>
        <v/>
      </c>
      <c r="G18" s="18">
        <f>'P0-3_Scorecard'!M12</f>
        <v/>
      </c>
      <c r="H18" s="18">
        <f>IF(OR(D18="",F18=""),"",D18-(F18*20))</f>
        <v/>
      </c>
      <c r="I18" s="18">
        <f>IF(OR(E18="",G18=""),"",E18-(G18*20))</f>
        <v/>
      </c>
      <c r="J18" s="18">
        <f>IF(OR(D18="",E18=""),"INCOMPLETE",IF(AND(D18&gt;=80,E18&lt;50),"CONTRADICTION",IF(AND(D18&gt;=70,E18&lt;70),"DEPENDENCY GAP","NO TRIGGER")))</f>
        <v/>
      </c>
      <c r="K18" s="18">
        <f>IF(J18="CONTRADICTION","HIGH",IF(J18="DEPENDENCY GAP","MEDIUM","—"))</f>
        <v/>
      </c>
      <c r="L18" s="18">
        <f>IF(J18="CONTRADICTION","Strong upstream claim is not supported by linked downstream capability/evidence. Trigger: Governance review.",IF(J18="DEPENDENCY GAP","Downstream capability materially trails upstream expectation. Trigger: Governance review.",""))</f>
        <v/>
      </c>
    </row>
    <row r="19">
      <c r="A19" s="18" t="inlineStr">
        <is>
          <t>CD02</t>
        </is>
      </c>
      <c r="B19" s="18" t="inlineStr">
        <is>
          <t>D01-I06</t>
        </is>
      </c>
      <c r="C19" s="18" t="inlineStr">
        <is>
          <t>D02-I03</t>
        </is>
      </c>
      <c r="D19" s="18">
        <f>'P0-3_Scorecard'!L7</f>
        <v/>
      </c>
      <c r="E19" s="18">
        <f>'P0-3_Scorecard'!L14</f>
        <v/>
      </c>
      <c r="F19" s="18">
        <f>'P0-3_Scorecard'!M7</f>
        <v/>
      </c>
      <c r="G19" s="18">
        <f>'P0-3_Scorecard'!M14</f>
        <v/>
      </c>
      <c r="H19" s="18">
        <f>IF(OR(D19="",F19=""),"",D19-(F19*20))</f>
        <v/>
      </c>
      <c r="I19" s="18">
        <f>IF(OR(E19="",G19=""),"",E19-(G19*20))</f>
        <v/>
      </c>
      <c r="J19" s="18">
        <f>IF(OR(D19="",E19=""),"INCOMPLETE",IF(AND(D19&gt;=80,E19&lt;50),"CONTRADICTION",IF(AND(D19&gt;=70,E19&lt;70),"DEPENDENCY GAP","NO TRIGGER")))</f>
        <v/>
      </c>
      <c r="K19" s="18">
        <f>IF(J19="CONTRADICTION","HIGH",IF(J19="DEPENDENCY GAP","MEDIUM","—"))</f>
        <v/>
      </c>
      <c r="L19" s="18">
        <f>IF(J19="CONTRADICTION","Strong upstream claim is not supported by linked downstream capability/evidence. Trigger: Governance review.",IF(J19="DEPENDENCY GAP","Downstream capability materially trails upstream expectation. Trigger: Governance review.",""))</f>
        <v/>
      </c>
    </row>
    <row r="20">
      <c r="A20" s="18" t="inlineStr">
        <is>
          <t>CD02</t>
        </is>
      </c>
      <c r="B20" s="18" t="inlineStr">
        <is>
          <t>D01-I06</t>
        </is>
      </c>
      <c r="C20" s="18" t="inlineStr">
        <is>
          <t>D02-I07</t>
        </is>
      </c>
      <c r="D20" s="18">
        <f>'P0-3_Scorecard'!L7</f>
        <v/>
      </c>
      <c r="E20" s="18">
        <f>'P0-3_Scorecard'!L18</f>
        <v/>
      </c>
      <c r="F20" s="18">
        <f>'P0-3_Scorecard'!M7</f>
        <v/>
      </c>
      <c r="G20" s="18">
        <f>'P0-3_Scorecard'!M18</f>
        <v/>
      </c>
      <c r="H20" s="18">
        <f>IF(OR(D20="",F20=""),"",D20-(F20*20))</f>
        <v/>
      </c>
      <c r="I20" s="18">
        <f>IF(OR(E20="",G20=""),"",E20-(G20*20))</f>
        <v/>
      </c>
      <c r="J20" s="18">
        <f>IF(OR(D20="",E20=""),"INCOMPLETE",IF(AND(D20&gt;=80,E20&lt;50),"CONTRADICTION",IF(AND(D20&gt;=70,E20&lt;70),"DEPENDENCY GAP","NO TRIGGER")))</f>
        <v/>
      </c>
      <c r="K20" s="18">
        <f>IF(J20="CONTRADICTION","HIGH",IF(J20="DEPENDENCY GAP","MEDIUM","—"))</f>
        <v/>
      </c>
      <c r="L20" s="18">
        <f>IF(J20="CONTRADICTION","Strong upstream claim is not supported by linked downstream capability/evidence. Trigger: Governance review.",IF(J20="DEPENDENCY GAP","Downstream capability materially trails upstream expectation. Trigger: Governance review.",""))</f>
        <v/>
      </c>
    </row>
    <row r="21">
      <c r="A21" s="18" t="inlineStr">
        <is>
          <t>CD02</t>
        </is>
      </c>
      <c r="B21" s="18" t="inlineStr">
        <is>
          <t>D01-I06</t>
        </is>
      </c>
      <c r="C21" s="18" t="inlineStr">
        <is>
          <t>D02-I13</t>
        </is>
      </c>
      <c r="D21" s="18">
        <f>'P0-3_Scorecard'!L7</f>
        <v/>
      </c>
      <c r="E21" s="18">
        <f>'P0-3_Scorecard'!L24</f>
        <v/>
      </c>
      <c r="F21" s="18">
        <f>'P0-3_Scorecard'!M7</f>
        <v/>
      </c>
      <c r="G21" s="18">
        <f>'P0-3_Scorecard'!M24</f>
        <v/>
      </c>
      <c r="H21" s="18">
        <f>IF(OR(D21="",F21=""),"",D21-(F21*20))</f>
        <v/>
      </c>
      <c r="I21" s="18">
        <f>IF(OR(E21="",G21=""),"",E21-(G21*20))</f>
        <v/>
      </c>
      <c r="J21" s="18">
        <f>IF(OR(D21="",E21=""),"INCOMPLETE",IF(AND(D21&gt;=80,E21&lt;50),"CONTRADICTION",IF(AND(D21&gt;=70,E21&lt;70),"DEPENDENCY GAP","NO TRIGGER")))</f>
        <v/>
      </c>
      <c r="K21" s="18">
        <f>IF(J21="CONTRADICTION","HIGH",IF(J21="DEPENDENCY GAP","MEDIUM","—"))</f>
        <v/>
      </c>
      <c r="L21" s="18">
        <f>IF(J21="CONTRADICTION","Strong upstream claim is not supported by linked downstream capability/evidence. Trigger: Governance review.",IF(J21="DEPENDENCY GAP","Downstream capability materially trails upstream expectation. Trigger: Governance review.",""))</f>
        <v/>
      </c>
    </row>
    <row r="22">
      <c r="A22" s="18" t="inlineStr">
        <is>
          <t>CD02</t>
        </is>
      </c>
      <c r="B22" s="18" t="inlineStr">
        <is>
          <t>D01-I09</t>
        </is>
      </c>
      <c r="C22" s="18" t="inlineStr">
        <is>
          <t>D02-I01</t>
        </is>
      </c>
      <c r="D22" s="18">
        <f>'P0-3_Scorecard'!L10</f>
        <v/>
      </c>
      <c r="E22" s="18">
        <f>'P0-3_Scorecard'!L12</f>
        <v/>
      </c>
      <c r="F22" s="18">
        <f>'P0-3_Scorecard'!M10</f>
        <v/>
      </c>
      <c r="G22" s="18">
        <f>'P0-3_Scorecard'!M12</f>
        <v/>
      </c>
      <c r="H22" s="18">
        <f>IF(OR(D22="",F22=""),"",D22-(F22*20))</f>
        <v/>
      </c>
      <c r="I22" s="18">
        <f>IF(OR(E22="",G22=""),"",E22-(G22*20))</f>
        <v/>
      </c>
      <c r="J22" s="18">
        <f>IF(OR(D22="",E22=""),"INCOMPLETE",IF(AND(D22&gt;=80,E22&lt;50),"CONTRADICTION",IF(AND(D22&gt;=70,E22&lt;70),"DEPENDENCY GAP","NO TRIGGER")))</f>
        <v/>
      </c>
      <c r="K22" s="18">
        <f>IF(J22="CONTRADICTION","HIGH",IF(J22="DEPENDENCY GAP","MEDIUM","—"))</f>
        <v/>
      </c>
      <c r="L22" s="18">
        <f>IF(J22="CONTRADICTION","Strong upstream claim is not supported by linked downstream capability/evidence. Trigger: Governance review.",IF(J22="DEPENDENCY GAP","Downstream capability materially trails upstream expectation. Trigger: Governance review.",""))</f>
        <v/>
      </c>
    </row>
    <row r="23">
      <c r="A23" s="18" t="inlineStr">
        <is>
          <t>CD02</t>
        </is>
      </c>
      <c r="B23" s="18" t="inlineStr">
        <is>
          <t>D01-I09</t>
        </is>
      </c>
      <c r="C23" s="18" t="inlineStr">
        <is>
          <t>D02-I03</t>
        </is>
      </c>
      <c r="D23" s="18">
        <f>'P0-3_Scorecard'!L10</f>
        <v/>
      </c>
      <c r="E23" s="18">
        <f>'P0-3_Scorecard'!L14</f>
        <v/>
      </c>
      <c r="F23" s="18">
        <f>'P0-3_Scorecard'!M10</f>
        <v/>
      </c>
      <c r="G23" s="18">
        <f>'P0-3_Scorecard'!M14</f>
        <v/>
      </c>
      <c r="H23" s="18">
        <f>IF(OR(D23="",F23=""),"",D23-(F23*20))</f>
        <v/>
      </c>
      <c r="I23" s="18">
        <f>IF(OR(E23="",G23=""),"",E23-(G23*20))</f>
        <v/>
      </c>
      <c r="J23" s="18">
        <f>IF(OR(D23="",E23=""),"INCOMPLETE",IF(AND(D23&gt;=80,E23&lt;50),"CONTRADICTION",IF(AND(D23&gt;=70,E23&lt;70),"DEPENDENCY GAP","NO TRIGGER")))</f>
        <v/>
      </c>
      <c r="K23" s="18">
        <f>IF(J23="CONTRADICTION","HIGH",IF(J23="DEPENDENCY GAP","MEDIUM","—"))</f>
        <v/>
      </c>
      <c r="L23" s="18">
        <f>IF(J23="CONTRADICTION","Strong upstream claim is not supported by linked downstream capability/evidence. Trigger: Governance review.",IF(J23="DEPENDENCY GAP","Downstream capability materially trails upstream expectation. Trigger: Governance review.",""))</f>
        <v/>
      </c>
    </row>
    <row r="24">
      <c r="A24" s="18" t="inlineStr">
        <is>
          <t>CD02</t>
        </is>
      </c>
      <c r="B24" s="18" t="inlineStr">
        <is>
          <t>D01-I09</t>
        </is>
      </c>
      <c r="C24" s="18" t="inlineStr">
        <is>
          <t>D02-I07</t>
        </is>
      </c>
      <c r="D24" s="18">
        <f>'P0-3_Scorecard'!L10</f>
        <v/>
      </c>
      <c r="E24" s="18">
        <f>'P0-3_Scorecard'!L18</f>
        <v/>
      </c>
      <c r="F24" s="18">
        <f>'P0-3_Scorecard'!M10</f>
        <v/>
      </c>
      <c r="G24" s="18">
        <f>'P0-3_Scorecard'!M18</f>
        <v/>
      </c>
      <c r="H24" s="18">
        <f>IF(OR(D24="",F24=""),"",D24-(F24*20))</f>
        <v/>
      </c>
      <c r="I24" s="18">
        <f>IF(OR(E24="",G24=""),"",E24-(G24*20))</f>
        <v/>
      </c>
      <c r="J24" s="18">
        <f>IF(OR(D24="",E24=""),"INCOMPLETE",IF(AND(D24&gt;=80,E24&lt;50),"CONTRADICTION",IF(AND(D24&gt;=70,E24&lt;70),"DEPENDENCY GAP","NO TRIGGER")))</f>
        <v/>
      </c>
      <c r="K24" s="18">
        <f>IF(J24="CONTRADICTION","HIGH",IF(J24="DEPENDENCY GAP","MEDIUM","—"))</f>
        <v/>
      </c>
      <c r="L24" s="18">
        <f>IF(J24="CONTRADICTION","Strong upstream claim is not supported by linked downstream capability/evidence. Trigger: Governance review.",IF(J24="DEPENDENCY GAP","Downstream capability materially trails upstream expectation. Trigger: Governance review.",""))</f>
        <v/>
      </c>
    </row>
    <row r="25">
      <c r="A25" s="18" t="inlineStr">
        <is>
          <t>CD02</t>
        </is>
      </c>
      <c r="B25" s="18" t="inlineStr">
        <is>
          <t>D01-I09</t>
        </is>
      </c>
      <c r="C25" s="18" t="inlineStr">
        <is>
          <t>D02-I13</t>
        </is>
      </c>
      <c r="D25" s="18">
        <f>'P0-3_Scorecard'!L10</f>
        <v/>
      </c>
      <c r="E25" s="18">
        <f>'P0-3_Scorecard'!L24</f>
        <v/>
      </c>
      <c r="F25" s="18">
        <f>'P0-3_Scorecard'!M10</f>
        <v/>
      </c>
      <c r="G25" s="18">
        <f>'P0-3_Scorecard'!M24</f>
        <v/>
      </c>
      <c r="H25" s="18">
        <f>IF(OR(D25="",F25=""),"",D25-(F25*20))</f>
        <v/>
      </c>
      <c r="I25" s="18">
        <f>IF(OR(E25="",G25=""),"",E25-(G25*20))</f>
        <v/>
      </c>
      <c r="J25" s="18">
        <f>IF(OR(D25="",E25=""),"INCOMPLETE",IF(AND(D25&gt;=80,E25&lt;50),"CONTRADICTION",IF(AND(D25&gt;=70,E25&lt;70),"DEPENDENCY GAP","NO TRIGGER")))</f>
        <v/>
      </c>
      <c r="K25" s="18">
        <f>IF(J25="CONTRADICTION","HIGH",IF(J25="DEPENDENCY GAP","MEDIUM","—"))</f>
        <v/>
      </c>
      <c r="L25" s="18">
        <f>IF(J25="CONTRADICTION","Strong upstream claim is not supported by linked downstream capability/evidence. Trigger: Governance review.",IF(J25="DEPENDENCY GAP","Downstream capability materially trails upstream expectation. Trigger: Governance review.",""))</f>
        <v/>
      </c>
    </row>
    <row r="26">
      <c r="A26" s="18" t="inlineStr">
        <is>
          <t>CD03</t>
        </is>
      </c>
      <c r="B26" s="18" t="inlineStr">
        <is>
          <t>D01-I02</t>
        </is>
      </c>
      <c r="C26" s="18" t="inlineStr">
        <is>
          <t>D04-I01</t>
        </is>
      </c>
      <c r="D26" s="18">
        <f>'P0-3_Scorecard'!L3</f>
        <v/>
      </c>
      <c r="E26" s="18">
        <f>'P0-3_Scorecard'!L43</f>
        <v/>
      </c>
      <c r="F26" s="18">
        <f>'P0-3_Scorecard'!M3</f>
        <v/>
      </c>
      <c r="G26" s="18">
        <f>'P0-3_Scorecard'!M43</f>
        <v/>
      </c>
      <c r="H26" s="18">
        <f>IF(OR(D26="",F26=""),"",D26-(F26*20))</f>
        <v/>
      </c>
      <c r="I26" s="18">
        <f>IF(OR(E26="",G26=""),"",E26-(G26*20))</f>
        <v/>
      </c>
      <c r="J26" s="18">
        <f>IF(OR(D26="",E26=""),"INCOMPLETE",IF(AND(D26&gt;=80,E26&lt;50),"CONTRADICTION",IF(AND(D26&gt;=70,E26&lt;70),"DEPENDENCY GAP","NO TRIGGER")))</f>
        <v/>
      </c>
      <c r="K26" s="18">
        <f>IF(J26="CONTRADICTION","HIGH",IF(J26="DEPENDENCY GAP","MEDIUM","—"))</f>
        <v/>
      </c>
      <c r="L26" s="18">
        <f>IF(J26="CONTRADICTION","Strong upstream claim is not supported by linked downstream capability/evidence. Trigger: Programme portfolio review.",IF(J26="DEPENDENCY GAP","Downstream capability materially trails upstream expectation. Trigger: Programme portfolio review.",""))</f>
        <v/>
      </c>
    </row>
    <row r="27">
      <c r="A27" s="18" t="inlineStr">
        <is>
          <t>CD03</t>
        </is>
      </c>
      <c r="B27" s="18" t="inlineStr">
        <is>
          <t>D01-I02</t>
        </is>
      </c>
      <c r="C27" s="18" t="inlineStr">
        <is>
          <t>D04-I03</t>
        </is>
      </c>
      <c r="D27" s="18">
        <f>'P0-3_Scorecard'!L3</f>
        <v/>
      </c>
      <c r="E27" s="18">
        <f>'P0-3_Scorecard'!L45</f>
        <v/>
      </c>
      <c r="F27" s="18">
        <f>'P0-3_Scorecard'!M3</f>
        <v/>
      </c>
      <c r="G27" s="18">
        <f>'P0-3_Scorecard'!M45</f>
        <v/>
      </c>
      <c r="H27" s="18">
        <f>IF(OR(D27="",F27=""),"",D27-(F27*20))</f>
        <v/>
      </c>
      <c r="I27" s="18">
        <f>IF(OR(E27="",G27=""),"",E27-(G27*20))</f>
        <v/>
      </c>
      <c r="J27" s="18">
        <f>IF(OR(D27="",E27=""),"INCOMPLETE",IF(AND(D27&gt;=80,E27&lt;50),"CONTRADICTION",IF(AND(D27&gt;=70,E27&lt;70),"DEPENDENCY GAP","NO TRIGGER")))</f>
        <v/>
      </c>
      <c r="K27" s="18">
        <f>IF(J27="CONTRADICTION","HIGH",IF(J27="DEPENDENCY GAP","MEDIUM","—"))</f>
        <v/>
      </c>
      <c r="L27" s="18">
        <f>IF(J27="CONTRADICTION","Strong upstream claim is not supported by linked downstream capability/evidence. Trigger: Programme portfolio review.",IF(J27="DEPENDENCY GAP","Downstream capability materially trails upstream expectation. Trigger: Programme portfolio review.",""))</f>
        <v/>
      </c>
    </row>
    <row r="28">
      <c r="A28" s="18" t="inlineStr">
        <is>
          <t>CD03</t>
        </is>
      </c>
      <c r="B28" s="18" t="inlineStr">
        <is>
          <t>D01-I02</t>
        </is>
      </c>
      <c r="C28" s="18" t="inlineStr">
        <is>
          <t>D04-I05</t>
        </is>
      </c>
      <c r="D28" s="18">
        <f>'P0-3_Scorecard'!L3</f>
        <v/>
      </c>
      <c r="E28" s="18">
        <f>'P0-3_Scorecard'!L47</f>
        <v/>
      </c>
      <c r="F28" s="18">
        <f>'P0-3_Scorecard'!M3</f>
        <v/>
      </c>
      <c r="G28" s="18">
        <f>'P0-3_Scorecard'!M47</f>
        <v/>
      </c>
      <c r="H28" s="18">
        <f>IF(OR(D28="",F28=""),"",D28-(F28*20))</f>
        <v/>
      </c>
      <c r="I28" s="18">
        <f>IF(OR(E28="",G28=""),"",E28-(G28*20))</f>
        <v/>
      </c>
      <c r="J28" s="18">
        <f>IF(OR(D28="",E28=""),"INCOMPLETE",IF(AND(D28&gt;=80,E28&lt;50),"CONTRADICTION",IF(AND(D28&gt;=70,E28&lt;70),"DEPENDENCY GAP","NO TRIGGER")))</f>
        <v/>
      </c>
      <c r="K28" s="18">
        <f>IF(J28="CONTRADICTION","HIGH",IF(J28="DEPENDENCY GAP","MEDIUM","—"))</f>
        <v/>
      </c>
      <c r="L28" s="18">
        <f>IF(J28="CONTRADICTION","Strong upstream claim is not supported by linked downstream capability/evidence. Trigger: Programme portfolio review.",IF(J28="DEPENDENCY GAP","Downstream capability materially trails upstream expectation. Trigger: Programme portfolio review.",""))</f>
        <v/>
      </c>
    </row>
    <row r="29">
      <c r="A29" s="18" t="inlineStr">
        <is>
          <t>CD03</t>
        </is>
      </c>
      <c r="B29" s="18" t="inlineStr">
        <is>
          <t>D01-I02</t>
        </is>
      </c>
      <c r="C29" s="18" t="inlineStr">
        <is>
          <t>D04-I08</t>
        </is>
      </c>
      <c r="D29" s="18">
        <f>'P0-3_Scorecard'!L3</f>
        <v/>
      </c>
      <c r="E29" s="18">
        <f>'P0-3_Scorecard'!L50</f>
        <v/>
      </c>
      <c r="F29" s="18">
        <f>'P0-3_Scorecard'!M3</f>
        <v/>
      </c>
      <c r="G29" s="18">
        <f>'P0-3_Scorecard'!M50</f>
        <v/>
      </c>
      <c r="H29" s="18">
        <f>IF(OR(D29="",F29=""),"",D29-(F29*20))</f>
        <v/>
      </c>
      <c r="I29" s="18">
        <f>IF(OR(E29="",G29=""),"",E29-(G29*20))</f>
        <v/>
      </c>
      <c r="J29" s="18">
        <f>IF(OR(D29="",E29=""),"INCOMPLETE",IF(AND(D29&gt;=80,E29&lt;50),"CONTRADICTION",IF(AND(D29&gt;=70,E29&lt;70),"DEPENDENCY GAP","NO TRIGGER")))</f>
        <v/>
      </c>
      <c r="K29" s="18">
        <f>IF(J29="CONTRADICTION","HIGH",IF(J29="DEPENDENCY GAP","MEDIUM","—"))</f>
        <v/>
      </c>
      <c r="L29" s="18">
        <f>IF(J29="CONTRADICTION","Strong upstream claim is not supported by linked downstream capability/evidence. Trigger: Programme portfolio review.",IF(J29="DEPENDENCY GAP","Downstream capability materially trails upstream expectation. Trigger: Programme portfolio review.",""))</f>
        <v/>
      </c>
    </row>
    <row r="30">
      <c r="A30" s="18" t="inlineStr">
        <is>
          <t>CD03</t>
        </is>
      </c>
      <c r="B30" s="18" t="inlineStr">
        <is>
          <t>D01-I02</t>
        </is>
      </c>
      <c r="C30" s="18" t="inlineStr">
        <is>
          <t>D04-I12</t>
        </is>
      </c>
      <c r="D30" s="18">
        <f>'P0-3_Scorecard'!L3</f>
        <v/>
      </c>
      <c r="E30" s="18">
        <f>'P0-3_Scorecard'!L54</f>
        <v/>
      </c>
      <c r="F30" s="18">
        <f>'P0-3_Scorecard'!M3</f>
        <v/>
      </c>
      <c r="G30" s="18">
        <f>'P0-3_Scorecard'!M54</f>
        <v/>
      </c>
      <c r="H30" s="18">
        <f>IF(OR(D30="",F30=""),"",D30-(F30*20))</f>
        <v/>
      </c>
      <c r="I30" s="18">
        <f>IF(OR(E30="",G30=""),"",E30-(G30*20))</f>
        <v/>
      </c>
      <c r="J30" s="18">
        <f>IF(OR(D30="",E30=""),"INCOMPLETE",IF(AND(D30&gt;=80,E30&lt;50),"CONTRADICTION",IF(AND(D30&gt;=70,E30&lt;70),"DEPENDENCY GAP","NO TRIGGER")))</f>
        <v/>
      </c>
      <c r="K30" s="18">
        <f>IF(J30="CONTRADICTION","HIGH",IF(J30="DEPENDENCY GAP","MEDIUM","—"))</f>
        <v/>
      </c>
      <c r="L30" s="18">
        <f>IF(J30="CONTRADICTION","Strong upstream claim is not supported by linked downstream capability/evidence. Trigger: Programme portfolio review.",IF(J30="DEPENDENCY GAP","Downstream capability materially trails upstream expectation. Trigger: Programme portfolio review.",""))</f>
        <v/>
      </c>
    </row>
    <row r="31">
      <c r="A31" s="18" t="inlineStr">
        <is>
          <t>CD03</t>
        </is>
      </c>
      <c r="B31" s="18" t="inlineStr">
        <is>
          <t>D01-I04</t>
        </is>
      </c>
      <c r="C31" s="18" t="inlineStr">
        <is>
          <t>D04-I01</t>
        </is>
      </c>
      <c r="D31" s="18">
        <f>'P0-3_Scorecard'!L5</f>
        <v/>
      </c>
      <c r="E31" s="18">
        <f>'P0-3_Scorecard'!L43</f>
        <v/>
      </c>
      <c r="F31" s="18">
        <f>'P0-3_Scorecard'!M5</f>
        <v/>
      </c>
      <c r="G31" s="18">
        <f>'P0-3_Scorecard'!M43</f>
        <v/>
      </c>
      <c r="H31" s="18">
        <f>IF(OR(D31="",F31=""),"",D31-(F31*20))</f>
        <v/>
      </c>
      <c r="I31" s="18">
        <f>IF(OR(E31="",G31=""),"",E31-(G31*20))</f>
        <v/>
      </c>
      <c r="J31" s="18">
        <f>IF(OR(D31="",E31=""),"INCOMPLETE",IF(AND(D31&gt;=80,E31&lt;50),"CONTRADICTION",IF(AND(D31&gt;=70,E31&lt;70),"DEPENDENCY GAP","NO TRIGGER")))</f>
        <v/>
      </c>
      <c r="K31" s="18">
        <f>IF(J31="CONTRADICTION","HIGH",IF(J31="DEPENDENCY GAP","MEDIUM","—"))</f>
        <v/>
      </c>
      <c r="L31" s="18">
        <f>IF(J31="CONTRADICTION","Strong upstream claim is not supported by linked downstream capability/evidence. Trigger: Programme portfolio review.",IF(J31="DEPENDENCY GAP","Downstream capability materially trails upstream expectation. Trigger: Programme portfolio review.",""))</f>
        <v/>
      </c>
    </row>
    <row r="32">
      <c r="A32" s="18" t="inlineStr">
        <is>
          <t>CD03</t>
        </is>
      </c>
      <c r="B32" s="18" t="inlineStr">
        <is>
          <t>D01-I04</t>
        </is>
      </c>
      <c r="C32" s="18" t="inlineStr">
        <is>
          <t>D04-I03</t>
        </is>
      </c>
      <c r="D32" s="18">
        <f>'P0-3_Scorecard'!L5</f>
        <v/>
      </c>
      <c r="E32" s="18">
        <f>'P0-3_Scorecard'!L45</f>
        <v/>
      </c>
      <c r="F32" s="18">
        <f>'P0-3_Scorecard'!M5</f>
        <v/>
      </c>
      <c r="G32" s="18">
        <f>'P0-3_Scorecard'!M45</f>
        <v/>
      </c>
      <c r="H32" s="18">
        <f>IF(OR(D32="",F32=""),"",D32-(F32*20))</f>
        <v/>
      </c>
      <c r="I32" s="18">
        <f>IF(OR(E32="",G32=""),"",E32-(G32*20))</f>
        <v/>
      </c>
      <c r="J32" s="18">
        <f>IF(OR(D32="",E32=""),"INCOMPLETE",IF(AND(D32&gt;=80,E32&lt;50),"CONTRADICTION",IF(AND(D32&gt;=70,E32&lt;70),"DEPENDENCY GAP","NO TRIGGER")))</f>
        <v/>
      </c>
      <c r="K32" s="18">
        <f>IF(J32="CONTRADICTION","HIGH",IF(J32="DEPENDENCY GAP","MEDIUM","—"))</f>
        <v/>
      </c>
      <c r="L32" s="18">
        <f>IF(J32="CONTRADICTION","Strong upstream claim is not supported by linked downstream capability/evidence. Trigger: Programme portfolio review.",IF(J32="DEPENDENCY GAP","Downstream capability materially trails upstream expectation. Trigger: Programme portfolio review.",""))</f>
        <v/>
      </c>
    </row>
    <row r="33">
      <c r="A33" s="18" t="inlineStr">
        <is>
          <t>CD03</t>
        </is>
      </c>
      <c r="B33" s="18" t="inlineStr">
        <is>
          <t>D01-I04</t>
        </is>
      </c>
      <c r="C33" s="18" t="inlineStr">
        <is>
          <t>D04-I05</t>
        </is>
      </c>
      <c r="D33" s="18">
        <f>'P0-3_Scorecard'!L5</f>
        <v/>
      </c>
      <c r="E33" s="18">
        <f>'P0-3_Scorecard'!L47</f>
        <v/>
      </c>
      <c r="F33" s="18">
        <f>'P0-3_Scorecard'!M5</f>
        <v/>
      </c>
      <c r="G33" s="18">
        <f>'P0-3_Scorecard'!M47</f>
        <v/>
      </c>
      <c r="H33" s="18">
        <f>IF(OR(D33="",F33=""),"",D33-(F33*20))</f>
        <v/>
      </c>
      <c r="I33" s="18">
        <f>IF(OR(E33="",G33=""),"",E33-(G33*20))</f>
        <v/>
      </c>
      <c r="J33" s="18">
        <f>IF(OR(D33="",E33=""),"INCOMPLETE",IF(AND(D33&gt;=80,E33&lt;50),"CONTRADICTION",IF(AND(D33&gt;=70,E33&lt;70),"DEPENDENCY GAP","NO TRIGGER")))</f>
        <v/>
      </c>
      <c r="K33" s="18">
        <f>IF(J33="CONTRADICTION","HIGH",IF(J33="DEPENDENCY GAP","MEDIUM","—"))</f>
        <v/>
      </c>
      <c r="L33" s="18">
        <f>IF(J33="CONTRADICTION","Strong upstream claim is not supported by linked downstream capability/evidence. Trigger: Programme portfolio review.",IF(J33="DEPENDENCY GAP","Downstream capability materially trails upstream expectation. Trigger: Programme portfolio review.",""))</f>
        <v/>
      </c>
    </row>
    <row r="34">
      <c r="A34" s="18" t="inlineStr">
        <is>
          <t>CD03</t>
        </is>
      </c>
      <c r="B34" s="18" t="inlineStr">
        <is>
          <t>D01-I04</t>
        </is>
      </c>
      <c r="C34" s="18" t="inlineStr">
        <is>
          <t>D04-I08</t>
        </is>
      </c>
      <c r="D34" s="18">
        <f>'P0-3_Scorecard'!L5</f>
        <v/>
      </c>
      <c r="E34" s="18">
        <f>'P0-3_Scorecard'!L50</f>
        <v/>
      </c>
      <c r="F34" s="18">
        <f>'P0-3_Scorecard'!M5</f>
        <v/>
      </c>
      <c r="G34" s="18">
        <f>'P0-3_Scorecard'!M50</f>
        <v/>
      </c>
      <c r="H34" s="18">
        <f>IF(OR(D34="",F34=""),"",D34-(F34*20))</f>
        <v/>
      </c>
      <c r="I34" s="18">
        <f>IF(OR(E34="",G34=""),"",E34-(G34*20))</f>
        <v/>
      </c>
      <c r="J34" s="18">
        <f>IF(OR(D34="",E34=""),"INCOMPLETE",IF(AND(D34&gt;=80,E34&lt;50),"CONTRADICTION",IF(AND(D34&gt;=70,E34&lt;70),"DEPENDENCY GAP","NO TRIGGER")))</f>
        <v/>
      </c>
      <c r="K34" s="18">
        <f>IF(J34="CONTRADICTION","HIGH",IF(J34="DEPENDENCY GAP","MEDIUM","—"))</f>
        <v/>
      </c>
      <c r="L34" s="18">
        <f>IF(J34="CONTRADICTION","Strong upstream claim is not supported by linked downstream capability/evidence. Trigger: Programme portfolio review.",IF(J34="DEPENDENCY GAP","Downstream capability materially trails upstream expectation. Trigger: Programme portfolio review.",""))</f>
        <v/>
      </c>
    </row>
    <row r="35">
      <c r="A35" s="18" t="inlineStr">
        <is>
          <t>CD03</t>
        </is>
      </c>
      <c r="B35" s="18" t="inlineStr">
        <is>
          <t>D01-I04</t>
        </is>
      </c>
      <c r="C35" s="18" t="inlineStr">
        <is>
          <t>D04-I12</t>
        </is>
      </c>
      <c r="D35" s="18">
        <f>'P0-3_Scorecard'!L5</f>
        <v/>
      </c>
      <c r="E35" s="18">
        <f>'P0-3_Scorecard'!L54</f>
        <v/>
      </c>
      <c r="F35" s="18">
        <f>'P0-3_Scorecard'!M5</f>
        <v/>
      </c>
      <c r="G35" s="18">
        <f>'P0-3_Scorecard'!M54</f>
        <v/>
      </c>
      <c r="H35" s="18">
        <f>IF(OR(D35="",F35=""),"",D35-(F35*20))</f>
        <v/>
      </c>
      <c r="I35" s="18">
        <f>IF(OR(E35="",G35=""),"",E35-(G35*20))</f>
        <v/>
      </c>
      <c r="J35" s="18">
        <f>IF(OR(D35="",E35=""),"INCOMPLETE",IF(AND(D35&gt;=80,E35&lt;50),"CONTRADICTION",IF(AND(D35&gt;=70,E35&lt;70),"DEPENDENCY GAP","NO TRIGGER")))</f>
        <v/>
      </c>
      <c r="K35" s="18">
        <f>IF(J35="CONTRADICTION","HIGH",IF(J35="DEPENDENCY GAP","MEDIUM","—"))</f>
        <v/>
      </c>
      <c r="L35" s="18">
        <f>IF(J35="CONTRADICTION","Strong upstream claim is not supported by linked downstream capability/evidence. Trigger: Programme portfolio review.",IF(J35="DEPENDENCY GAP","Downstream capability materially trails upstream expectation. Trigger: Programme portfolio review.",""))</f>
        <v/>
      </c>
    </row>
    <row r="36">
      <c r="A36" s="18" t="inlineStr">
        <is>
          <t>CD03</t>
        </is>
      </c>
      <c r="B36" s="18" t="inlineStr">
        <is>
          <t>D01-I06</t>
        </is>
      </c>
      <c r="C36" s="18" t="inlineStr">
        <is>
          <t>D04-I01</t>
        </is>
      </c>
      <c r="D36" s="18">
        <f>'P0-3_Scorecard'!L7</f>
        <v/>
      </c>
      <c r="E36" s="18">
        <f>'P0-3_Scorecard'!L43</f>
        <v/>
      </c>
      <c r="F36" s="18">
        <f>'P0-3_Scorecard'!M7</f>
        <v/>
      </c>
      <c r="G36" s="18">
        <f>'P0-3_Scorecard'!M43</f>
        <v/>
      </c>
      <c r="H36" s="18">
        <f>IF(OR(D36="",F36=""),"",D36-(F36*20))</f>
        <v/>
      </c>
      <c r="I36" s="18">
        <f>IF(OR(E36="",G36=""),"",E36-(G36*20))</f>
        <v/>
      </c>
      <c r="J36" s="18">
        <f>IF(OR(D36="",E36=""),"INCOMPLETE",IF(AND(D36&gt;=80,E36&lt;50),"CONTRADICTION",IF(AND(D36&gt;=70,E36&lt;70),"DEPENDENCY GAP","NO TRIGGER")))</f>
        <v/>
      </c>
      <c r="K36" s="18">
        <f>IF(J36="CONTRADICTION","HIGH",IF(J36="DEPENDENCY GAP","MEDIUM","—"))</f>
        <v/>
      </c>
      <c r="L36" s="18">
        <f>IF(J36="CONTRADICTION","Strong upstream claim is not supported by linked downstream capability/evidence. Trigger: Programme portfolio review.",IF(J36="DEPENDENCY GAP","Downstream capability materially trails upstream expectation. Trigger: Programme portfolio review.",""))</f>
        <v/>
      </c>
    </row>
    <row r="37">
      <c r="A37" s="18" t="inlineStr">
        <is>
          <t>CD03</t>
        </is>
      </c>
      <c r="B37" s="18" t="inlineStr">
        <is>
          <t>D01-I06</t>
        </is>
      </c>
      <c r="C37" s="18" t="inlineStr">
        <is>
          <t>D04-I03</t>
        </is>
      </c>
      <c r="D37" s="18">
        <f>'P0-3_Scorecard'!L7</f>
        <v/>
      </c>
      <c r="E37" s="18">
        <f>'P0-3_Scorecard'!L45</f>
        <v/>
      </c>
      <c r="F37" s="18">
        <f>'P0-3_Scorecard'!M7</f>
        <v/>
      </c>
      <c r="G37" s="18">
        <f>'P0-3_Scorecard'!M45</f>
        <v/>
      </c>
      <c r="H37" s="18">
        <f>IF(OR(D37="",F37=""),"",D37-(F37*20))</f>
        <v/>
      </c>
      <c r="I37" s="18">
        <f>IF(OR(E37="",G37=""),"",E37-(G37*20))</f>
        <v/>
      </c>
      <c r="J37" s="18">
        <f>IF(OR(D37="",E37=""),"INCOMPLETE",IF(AND(D37&gt;=80,E37&lt;50),"CONTRADICTION",IF(AND(D37&gt;=70,E37&lt;70),"DEPENDENCY GAP","NO TRIGGER")))</f>
        <v/>
      </c>
      <c r="K37" s="18">
        <f>IF(J37="CONTRADICTION","HIGH",IF(J37="DEPENDENCY GAP","MEDIUM","—"))</f>
        <v/>
      </c>
      <c r="L37" s="18">
        <f>IF(J37="CONTRADICTION","Strong upstream claim is not supported by linked downstream capability/evidence. Trigger: Programme portfolio review.",IF(J37="DEPENDENCY GAP","Downstream capability materially trails upstream expectation. Trigger: Programme portfolio review.",""))</f>
        <v/>
      </c>
    </row>
    <row r="38">
      <c r="A38" s="18" t="inlineStr">
        <is>
          <t>CD03</t>
        </is>
      </c>
      <c r="B38" s="18" t="inlineStr">
        <is>
          <t>D01-I06</t>
        </is>
      </c>
      <c r="C38" s="18" t="inlineStr">
        <is>
          <t>D04-I05</t>
        </is>
      </c>
      <c r="D38" s="18">
        <f>'P0-3_Scorecard'!L7</f>
        <v/>
      </c>
      <c r="E38" s="18">
        <f>'P0-3_Scorecard'!L47</f>
        <v/>
      </c>
      <c r="F38" s="18">
        <f>'P0-3_Scorecard'!M7</f>
        <v/>
      </c>
      <c r="G38" s="18">
        <f>'P0-3_Scorecard'!M47</f>
        <v/>
      </c>
      <c r="H38" s="18">
        <f>IF(OR(D38="",F38=""),"",D38-(F38*20))</f>
        <v/>
      </c>
      <c r="I38" s="18">
        <f>IF(OR(E38="",G38=""),"",E38-(G38*20))</f>
        <v/>
      </c>
      <c r="J38" s="18">
        <f>IF(OR(D38="",E38=""),"INCOMPLETE",IF(AND(D38&gt;=80,E38&lt;50),"CONTRADICTION",IF(AND(D38&gt;=70,E38&lt;70),"DEPENDENCY GAP","NO TRIGGER")))</f>
        <v/>
      </c>
      <c r="K38" s="18">
        <f>IF(J38="CONTRADICTION","HIGH",IF(J38="DEPENDENCY GAP","MEDIUM","—"))</f>
        <v/>
      </c>
      <c r="L38" s="18">
        <f>IF(J38="CONTRADICTION","Strong upstream claim is not supported by linked downstream capability/evidence. Trigger: Programme portfolio review.",IF(J38="DEPENDENCY GAP","Downstream capability materially trails upstream expectation. Trigger: Programme portfolio review.",""))</f>
        <v/>
      </c>
    </row>
    <row r="39">
      <c r="A39" s="18" t="inlineStr">
        <is>
          <t>CD03</t>
        </is>
      </c>
      <c r="B39" s="18" t="inlineStr">
        <is>
          <t>D01-I06</t>
        </is>
      </c>
      <c r="C39" s="18" t="inlineStr">
        <is>
          <t>D04-I08</t>
        </is>
      </c>
      <c r="D39" s="18">
        <f>'P0-3_Scorecard'!L7</f>
        <v/>
      </c>
      <c r="E39" s="18">
        <f>'P0-3_Scorecard'!L50</f>
        <v/>
      </c>
      <c r="F39" s="18">
        <f>'P0-3_Scorecard'!M7</f>
        <v/>
      </c>
      <c r="G39" s="18">
        <f>'P0-3_Scorecard'!M50</f>
        <v/>
      </c>
      <c r="H39" s="18">
        <f>IF(OR(D39="",F39=""),"",D39-(F39*20))</f>
        <v/>
      </c>
      <c r="I39" s="18">
        <f>IF(OR(E39="",G39=""),"",E39-(G39*20))</f>
        <v/>
      </c>
      <c r="J39" s="18">
        <f>IF(OR(D39="",E39=""),"INCOMPLETE",IF(AND(D39&gt;=80,E39&lt;50),"CONTRADICTION",IF(AND(D39&gt;=70,E39&lt;70),"DEPENDENCY GAP","NO TRIGGER")))</f>
        <v/>
      </c>
      <c r="K39" s="18">
        <f>IF(J39="CONTRADICTION","HIGH",IF(J39="DEPENDENCY GAP","MEDIUM","—"))</f>
        <v/>
      </c>
      <c r="L39" s="18">
        <f>IF(J39="CONTRADICTION","Strong upstream claim is not supported by linked downstream capability/evidence. Trigger: Programme portfolio review.",IF(J39="DEPENDENCY GAP","Downstream capability materially trails upstream expectation. Trigger: Programme portfolio review.",""))</f>
        <v/>
      </c>
    </row>
    <row r="40">
      <c r="A40" s="18" t="inlineStr">
        <is>
          <t>CD03</t>
        </is>
      </c>
      <c r="B40" s="18" t="inlineStr">
        <is>
          <t>D01-I06</t>
        </is>
      </c>
      <c r="C40" s="18" t="inlineStr">
        <is>
          <t>D04-I12</t>
        </is>
      </c>
      <c r="D40" s="18">
        <f>'P0-3_Scorecard'!L7</f>
        <v/>
      </c>
      <c r="E40" s="18">
        <f>'P0-3_Scorecard'!L54</f>
        <v/>
      </c>
      <c r="F40" s="18">
        <f>'P0-3_Scorecard'!M7</f>
        <v/>
      </c>
      <c r="G40" s="18">
        <f>'P0-3_Scorecard'!M54</f>
        <v/>
      </c>
      <c r="H40" s="18">
        <f>IF(OR(D40="",F40=""),"",D40-(F40*20))</f>
        <v/>
      </c>
      <c r="I40" s="18">
        <f>IF(OR(E40="",G40=""),"",E40-(G40*20))</f>
        <v/>
      </c>
      <c r="J40" s="18">
        <f>IF(OR(D40="",E40=""),"INCOMPLETE",IF(AND(D40&gt;=80,E40&lt;50),"CONTRADICTION",IF(AND(D40&gt;=70,E40&lt;70),"DEPENDENCY GAP","NO TRIGGER")))</f>
        <v/>
      </c>
      <c r="K40" s="18">
        <f>IF(J40="CONTRADICTION","HIGH",IF(J40="DEPENDENCY GAP","MEDIUM","—"))</f>
        <v/>
      </c>
      <c r="L40" s="18">
        <f>IF(J40="CONTRADICTION","Strong upstream claim is not supported by linked downstream capability/evidence. Trigger: Programme portfolio review.",IF(J40="DEPENDENCY GAP","Downstream capability materially trails upstream expectation. Trigger: Programme portfolio review.",""))</f>
        <v/>
      </c>
    </row>
    <row r="41">
      <c r="A41" s="18" t="inlineStr">
        <is>
          <t>CD03</t>
        </is>
      </c>
      <c r="B41" s="18" t="inlineStr">
        <is>
          <t>D01-I10</t>
        </is>
      </c>
      <c r="C41" s="18" t="inlineStr">
        <is>
          <t>D04-I01</t>
        </is>
      </c>
      <c r="D41" s="18">
        <f>'P0-3_Scorecard'!L11</f>
        <v/>
      </c>
      <c r="E41" s="18">
        <f>'P0-3_Scorecard'!L43</f>
        <v/>
      </c>
      <c r="F41" s="18">
        <f>'P0-3_Scorecard'!M11</f>
        <v/>
      </c>
      <c r="G41" s="18">
        <f>'P0-3_Scorecard'!M43</f>
        <v/>
      </c>
      <c r="H41" s="18">
        <f>IF(OR(D41="",F41=""),"",D41-(F41*20))</f>
        <v/>
      </c>
      <c r="I41" s="18">
        <f>IF(OR(E41="",G41=""),"",E41-(G41*20))</f>
        <v/>
      </c>
      <c r="J41" s="18">
        <f>IF(OR(D41="",E41=""),"INCOMPLETE",IF(AND(D41&gt;=80,E41&lt;50),"CONTRADICTION",IF(AND(D41&gt;=70,E41&lt;70),"DEPENDENCY GAP","NO TRIGGER")))</f>
        <v/>
      </c>
      <c r="K41" s="18">
        <f>IF(J41="CONTRADICTION","HIGH",IF(J41="DEPENDENCY GAP","MEDIUM","—"))</f>
        <v/>
      </c>
      <c r="L41" s="18">
        <f>IF(J41="CONTRADICTION","Strong upstream claim is not supported by linked downstream capability/evidence. Trigger: Programme portfolio review.",IF(J41="DEPENDENCY GAP","Downstream capability materially trails upstream expectation. Trigger: Programme portfolio review.",""))</f>
        <v/>
      </c>
    </row>
    <row r="42">
      <c r="A42" s="18" t="inlineStr">
        <is>
          <t>CD03</t>
        </is>
      </c>
      <c r="B42" s="18" t="inlineStr">
        <is>
          <t>D01-I10</t>
        </is>
      </c>
      <c r="C42" s="18" t="inlineStr">
        <is>
          <t>D04-I03</t>
        </is>
      </c>
      <c r="D42" s="18">
        <f>'P0-3_Scorecard'!L11</f>
        <v/>
      </c>
      <c r="E42" s="18">
        <f>'P0-3_Scorecard'!L45</f>
        <v/>
      </c>
      <c r="F42" s="18">
        <f>'P0-3_Scorecard'!M11</f>
        <v/>
      </c>
      <c r="G42" s="18">
        <f>'P0-3_Scorecard'!M45</f>
        <v/>
      </c>
      <c r="H42" s="18">
        <f>IF(OR(D42="",F42=""),"",D42-(F42*20))</f>
        <v/>
      </c>
      <c r="I42" s="18">
        <f>IF(OR(E42="",G42=""),"",E42-(G42*20))</f>
        <v/>
      </c>
      <c r="J42" s="18">
        <f>IF(OR(D42="",E42=""),"INCOMPLETE",IF(AND(D42&gt;=80,E42&lt;50),"CONTRADICTION",IF(AND(D42&gt;=70,E42&lt;70),"DEPENDENCY GAP","NO TRIGGER")))</f>
        <v/>
      </c>
      <c r="K42" s="18">
        <f>IF(J42="CONTRADICTION","HIGH",IF(J42="DEPENDENCY GAP","MEDIUM","—"))</f>
        <v/>
      </c>
      <c r="L42" s="18">
        <f>IF(J42="CONTRADICTION","Strong upstream claim is not supported by linked downstream capability/evidence. Trigger: Programme portfolio review.",IF(J42="DEPENDENCY GAP","Downstream capability materially trails upstream expectation. Trigger: Programme portfolio review.",""))</f>
        <v/>
      </c>
    </row>
    <row r="43">
      <c r="A43" s="18" t="inlineStr">
        <is>
          <t>CD03</t>
        </is>
      </c>
      <c r="B43" s="18" t="inlineStr">
        <is>
          <t>D01-I10</t>
        </is>
      </c>
      <c r="C43" s="18" t="inlineStr">
        <is>
          <t>D04-I05</t>
        </is>
      </c>
      <c r="D43" s="18">
        <f>'P0-3_Scorecard'!L11</f>
        <v/>
      </c>
      <c r="E43" s="18">
        <f>'P0-3_Scorecard'!L47</f>
        <v/>
      </c>
      <c r="F43" s="18">
        <f>'P0-3_Scorecard'!M11</f>
        <v/>
      </c>
      <c r="G43" s="18">
        <f>'P0-3_Scorecard'!M47</f>
        <v/>
      </c>
      <c r="H43" s="18">
        <f>IF(OR(D43="",F43=""),"",D43-(F43*20))</f>
        <v/>
      </c>
      <c r="I43" s="18">
        <f>IF(OR(E43="",G43=""),"",E43-(G43*20))</f>
        <v/>
      </c>
      <c r="J43" s="18">
        <f>IF(OR(D43="",E43=""),"INCOMPLETE",IF(AND(D43&gt;=80,E43&lt;50),"CONTRADICTION",IF(AND(D43&gt;=70,E43&lt;70),"DEPENDENCY GAP","NO TRIGGER")))</f>
        <v/>
      </c>
      <c r="K43" s="18">
        <f>IF(J43="CONTRADICTION","HIGH",IF(J43="DEPENDENCY GAP","MEDIUM","—"))</f>
        <v/>
      </c>
      <c r="L43" s="18">
        <f>IF(J43="CONTRADICTION","Strong upstream claim is not supported by linked downstream capability/evidence. Trigger: Programme portfolio review.",IF(J43="DEPENDENCY GAP","Downstream capability materially trails upstream expectation. Trigger: Programme portfolio review.",""))</f>
        <v/>
      </c>
    </row>
    <row r="44">
      <c r="A44" s="18" t="inlineStr">
        <is>
          <t>CD03</t>
        </is>
      </c>
      <c r="B44" s="18" t="inlineStr">
        <is>
          <t>D01-I10</t>
        </is>
      </c>
      <c r="C44" s="18" t="inlineStr">
        <is>
          <t>D04-I08</t>
        </is>
      </c>
      <c r="D44" s="18">
        <f>'P0-3_Scorecard'!L11</f>
        <v/>
      </c>
      <c r="E44" s="18">
        <f>'P0-3_Scorecard'!L50</f>
        <v/>
      </c>
      <c r="F44" s="18">
        <f>'P0-3_Scorecard'!M11</f>
        <v/>
      </c>
      <c r="G44" s="18">
        <f>'P0-3_Scorecard'!M50</f>
        <v/>
      </c>
      <c r="H44" s="18">
        <f>IF(OR(D44="",F44=""),"",D44-(F44*20))</f>
        <v/>
      </c>
      <c r="I44" s="18">
        <f>IF(OR(E44="",G44=""),"",E44-(G44*20))</f>
        <v/>
      </c>
      <c r="J44" s="18">
        <f>IF(OR(D44="",E44=""),"INCOMPLETE",IF(AND(D44&gt;=80,E44&lt;50),"CONTRADICTION",IF(AND(D44&gt;=70,E44&lt;70),"DEPENDENCY GAP","NO TRIGGER")))</f>
        <v/>
      </c>
      <c r="K44" s="18">
        <f>IF(J44="CONTRADICTION","HIGH",IF(J44="DEPENDENCY GAP","MEDIUM","—"))</f>
        <v/>
      </c>
      <c r="L44" s="18">
        <f>IF(J44="CONTRADICTION","Strong upstream claim is not supported by linked downstream capability/evidence. Trigger: Programme portfolio review.",IF(J44="DEPENDENCY GAP","Downstream capability materially trails upstream expectation. Trigger: Programme portfolio review.",""))</f>
        <v/>
      </c>
    </row>
    <row r="45">
      <c r="A45" s="18" t="inlineStr">
        <is>
          <t>CD03</t>
        </is>
      </c>
      <c r="B45" s="18" t="inlineStr">
        <is>
          <t>D01-I10</t>
        </is>
      </c>
      <c r="C45" s="18" t="inlineStr">
        <is>
          <t>D04-I12</t>
        </is>
      </c>
      <c r="D45" s="18">
        <f>'P0-3_Scorecard'!L11</f>
        <v/>
      </c>
      <c r="E45" s="18">
        <f>'P0-3_Scorecard'!L54</f>
        <v/>
      </c>
      <c r="F45" s="18">
        <f>'P0-3_Scorecard'!M11</f>
        <v/>
      </c>
      <c r="G45" s="18">
        <f>'P0-3_Scorecard'!M54</f>
        <v/>
      </c>
      <c r="H45" s="18">
        <f>IF(OR(D45="",F45=""),"",D45-(F45*20))</f>
        <v/>
      </c>
      <c r="I45" s="18">
        <f>IF(OR(E45="",G45=""),"",E45-(G45*20))</f>
        <v/>
      </c>
      <c r="J45" s="18">
        <f>IF(OR(D45="",E45=""),"INCOMPLETE",IF(AND(D45&gt;=80,E45&lt;50),"CONTRADICTION",IF(AND(D45&gt;=70,E45&lt;70),"DEPENDENCY GAP","NO TRIGGER")))</f>
        <v/>
      </c>
      <c r="K45" s="18">
        <f>IF(J45="CONTRADICTION","HIGH",IF(J45="DEPENDENCY GAP","MEDIUM","—"))</f>
        <v/>
      </c>
      <c r="L45" s="18">
        <f>IF(J45="CONTRADICTION","Strong upstream claim is not supported by linked downstream capability/evidence. Trigger: Programme portfolio review.",IF(J45="DEPENDENCY GAP","Downstream capability materially trails upstream expectation. Trigger: Programme portfolio review.",""))</f>
        <v/>
      </c>
    </row>
    <row r="46">
      <c r="A46" s="18" t="inlineStr">
        <is>
          <t>CD04</t>
        </is>
      </c>
      <c r="B46" s="18" t="inlineStr">
        <is>
          <t>D01-I02</t>
        </is>
      </c>
      <c r="C46" s="18" t="inlineStr">
        <is>
          <t>D11-I01</t>
        </is>
      </c>
      <c r="D46" s="18">
        <f>'P0-3_Scorecard'!L3</f>
        <v/>
      </c>
      <c r="E46" s="18">
        <f>'P0-3_Scorecard'!L131</f>
        <v/>
      </c>
      <c r="F46" s="18">
        <f>'P0-3_Scorecard'!M3</f>
        <v/>
      </c>
      <c r="G46" s="18">
        <f>'P0-3_Scorecard'!M131</f>
        <v/>
      </c>
      <c r="H46" s="18">
        <f>IF(OR(D46="",F46=""),"",D46-(F46*20))</f>
        <v/>
      </c>
      <c r="I46" s="18">
        <f>IF(OR(E46="",G46=""),"",E46-(G46*20))</f>
        <v/>
      </c>
      <c r="J46" s="18">
        <f>IF(OR(D46="",E46=""),"INCOMPLETE",IF(AND(D46&gt;=80,E46&lt;50),"CONTRADICTION",IF(AND(D46&gt;=70,E46&lt;70),"DEPENDENCY GAP","NO TRIGGER")))</f>
        <v/>
      </c>
      <c r="K46" s="18">
        <f>IF(J46="CONTRADICTION","HIGH",IF(J46="DEPENDENCY GAP","MEDIUM","—"))</f>
        <v/>
      </c>
      <c r="L46" s="18">
        <f>IF(J46="CONTRADICTION","Strong upstream claim is not supported by linked downstream capability/evidence. Trigger: Adaptation review.",IF(J46="DEPENDENCY GAP","Downstream capability materially trails upstream expectation. Trigger: Adaptation review.",""))</f>
        <v/>
      </c>
    </row>
    <row r="47">
      <c r="A47" s="18" t="inlineStr">
        <is>
          <t>CD04</t>
        </is>
      </c>
      <c r="B47" s="18" t="inlineStr">
        <is>
          <t>D01-I02</t>
        </is>
      </c>
      <c r="C47" s="18" t="inlineStr">
        <is>
          <t>D11-I02</t>
        </is>
      </c>
      <c r="D47" s="18">
        <f>'P0-3_Scorecard'!L3</f>
        <v/>
      </c>
      <c r="E47" s="18">
        <f>'P0-3_Scorecard'!L132</f>
        <v/>
      </c>
      <c r="F47" s="18">
        <f>'P0-3_Scorecard'!M3</f>
        <v/>
      </c>
      <c r="G47" s="18">
        <f>'P0-3_Scorecard'!M132</f>
        <v/>
      </c>
      <c r="H47" s="18">
        <f>IF(OR(D47="",F47=""),"",D47-(F47*20))</f>
        <v/>
      </c>
      <c r="I47" s="18">
        <f>IF(OR(E47="",G47=""),"",E47-(G47*20))</f>
        <v/>
      </c>
      <c r="J47" s="18">
        <f>IF(OR(D47="",E47=""),"INCOMPLETE",IF(AND(D47&gt;=80,E47&lt;50),"CONTRADICTION",IF(AND(D47&gt;=70,E47&lt;70),"DEPENDENCY GAP","NO TRIGGER")))</f>
        <v/>
      </c>
      <c r="K47" s="18">
        <f>IF(J47="CONTRADICTION","HIGH",IF(J47="DEPENDENCY GAP","MEDIUM","—"))</f>
        <v/>
      </c>
      <c r="L47" s="18">
        <f>IF(J47="CONTRADICTION","Strong upstream claim is not supported by linked downstream capability/evidence. Trigger: Adaptation review.",IF(J47="DEPENDENCY GAP","Downstream capability materially trails upstream expectation. Trigger: Adaptation review.",""))</f>
        <v/>
      </c>
    </row>
    <row r="48">
      <c r="A48" s="18" t="inlineStr">
        <is>
          <t>CD04</t>
        </is>
      </c>
      <c r="B48" s="18" t="inlineStr">
        <is>
          <t>D01-I02</t>
        </is>
      </c>
      <c r="C48" s="18" t="inlineStr">
        <is>
          <t>D11-I06</t>
        </is>
      </c>
      <c r="D48" s="18">
        <f>'P0-3_Scorecard'!L3</f>
        <v/>
      </c>
      <c r="E48" s="18">
        <f>'P0-3_Scorecard'!L136</f>
        <v/>
      </c>
      <c r="F48" s="18">
        <f>'P0-3_Scorecard'!M3</f>
        <v/>
      </c>
      <c r="G48" s="18">
        <f>'P0-3_Scorecard'!M136</f>
        <v/>
      </c>
      <c r="H48" s="18">
        <f>IF(OR(D48="",F48=""),"",D48-(F48*20))</f>
        <v/>
      </c>
      <c r="I48" s="18">
        <f>IF(OR(E48="",G48=""),"",E48-(G48*20))</f>
        <v/>
      </c>
      <c r="J48" s="18">
        <f>IF(OR(D48="",E48=""),"INCOMPLETE",IF(AND(D48&gt;=80,E48&lt;50),"CONTRADICTION",IF(AND(D48&gt;=70,E48&lt;70),"DEPENDENCY GAP","NO TRIGGER")))</f>
        <v/>
      </c>
      <c r="K48" s="18">
        <f>IF(J48="CONTRADICTION","HIGH",IF(J48="DEPENDENCY GAP","MEDIUM","—"))</f>
        <v/>
      </c>
      <c r="L48" s="18">
        <f>IF(J48="CONTRADICTION","Strong upstream claim is not supported by linked downstream capability/evidence. Trigger: Adaptation review.",IF(J48="DEPENDENCY GAP","Downstream capability materially trails upstream expectation. Trigger: Adaptation review.",""))</f>
        <v/>
      </c>
    </row>
    <row r="49">
      <c r="A49" s="18" t="inlineStr">
        <is>
          <t>CD04</t>
        </is>
      </c>
      <c r="B49" s="18" t="inlineStr">
        <is>
          <t>D01-I02</t>
        </is>
      </c>
      <c r="C49" s="18" t="inlineStr">
        <is>
          <t>D11-I13</t>
        </is>
      </c>
      <c r="D49" s="18">
        <f>'P0-3_Scorecard'!L3</f>
        <v/>
      </c>
      <c r="E49" s="18">
        <f>'P0-3_Scorecard'!L143</f>
        <v/>
      </c>
      <c r="F49" s="18">
        <f>'P0-3_Scorecard'!M3</f>
        <v/>
      </c>
      <c r="G49" s="18">
        <f>'P0-3_Scorecard'!M143</f>
        <v/>
      </c>
      <c r="H49" s="18">
        <f>IF(OR(D49="",F49=""),"",D49-(F49*20))</f>
        <v/>
      </c>
      <c r="I49" s="18">
        <f>IF(OR(E49="",G49=""),"",E49-(G49*20))</f>
        <v/>
      </c>
      <c r="J49" s="18">
        <f>IF(OR(D49="",E49=""),"INCOMPLETE",IF(AND(D49&gt;=80,E49&lt;50),"CONTRADICTION",IF(AND(D49&gt;=70,E49&lt;70),"DEPENDENCY GAP","NO TRIGGER")))</f>
        <v/>
      </c>
      <c r="K49" s="18">
        <f>IF(J49="CONTRADICTION","HIGH",IF(J49="DEPENDENCY GAP","MEDIUM","—"))</f>
        <v/>
      </c>
      <c r="L49" s="18">
        <f>IF(J49="CONTRADICTION","Strong upstream claim is not supported by linked downstream capability/evidence. Trigger: Adaptation review.",IF(J49="DEPENDENCY GAP","Downstream capability materially trails upstream expectation. Trigger: Adaptation review.",""))</f>
        <v/>
      </c>
    </row>
    <row r="50">
      <c r="A50" s="18" t="inlineStr">
        <is>
          <t>CD04</t>
        </is>
      </c>
      <c r="B50" s="18" t="inlineStr">
        <is>
          <t>D01-I02</t>
        </is>
      </c>
      <c r="C50" s="18" t="inlineStr">
        <is>
          <t>D11-I14</t>
        </is>
      </c>
      <c r="D50" s="18">
        <f>'P0-3_Scorecard'!L3</f>
        <v/>
      </c>
      <c r="E50" s="18">
        <f>'P0-3_Scorecard'!L144</f>
        <v/>
      </c>
      <c r="F50" s="18">
        <f>'P0-3_Scorecard'!M3</f>
        <v/>
      </c>
      <c r="G50" s="18">
        <f>'P0-3_Scorecard'!M144</f>
        <v/>
      </c>
      <c r="H50" s="18">
        <f>IF(OR(D50="",F50=""),"",D50-(F50*20))</f>
        <v/>
      </c>
      <c r="I50" s="18">
        <f>IF(OR(E50="",G50=""),"",E50-(G50*20))</f>
        <v/>
      </c>
      <c r="J50" s="18">
        <f>IF(OR(D50="",E50=""),"INCOMPLETE",IF(AND(D50&gt;=80,E50&lt;50),"CONTRADICTION",IF(AND(D50&gt;=70,E50&lt;70),"DEPENDENCY GAP","NO TRIGGER")))</f>
        <v/>
      </c>
      <c r="K50" s="18">
        <f>IF(J50="CONTRADICTION","HIGH",IF(J50="DEPENDENCY GAP","MEDIUM","—"))</f>
        <v/>
      </c>
      <c r="L50" s="18">
        <f>IF(J50="CONTRADICTION","Strong upstream claim is not supported by linked downstream capability/evidence. Trigger: Adaptation review.",IF(J50="DEPENDENCY GAP","Downstream capability materially trails upstream expectation. Trigger: Adaptation review.",""))</f>
        <v/>
      </c>
    </row>
    <row r="51">
      <c r="A51" s="18" t="inlineStr">
        <is>
          <t>CD04</t>
        </is>
      </c>
      <c r="B51" s="18" t="inlineStr">
        <is>
          <t>D01-I03</t>
        </is>
      </c>
      <c r="C51" s="18" t="inlineStr">
        <is>
          <t>D11-I01</t>
        </is>
      </c>
      <c r="D51" s="18">
        <f>'P0-3_Scorecard'!L4</f>
        <v/>
      </c>
      <c r="E51" s="18">
        <f>'P0-3_Scorecard'!L131</f>
        <v/>
      </c>
      <c r="F51" s="18">
        <f>'P0-3_Scorecard'!M4</f>
        <v/>
      </c>
      <c r="G51" s="18">
        <f>'P0-3_Scorecard'!M131</f>
        <v/>
      </c>
      <c r="H51" s="18">
        <f>IF(OR(D51="",F51=""),"",D51-(F51*20))</f>
        <v/>
      </c>
      <c r="I51" s="18">
        <f>IF(OR(E51="",G51=""),"",E51-(G51*20))</f>
        <v/>
      </c>
      <c r="J51" s="18">
        <f>IF(OR(D51="",E51=""),"INCOMPLETE",IF(AND(D51&gt;=80,E51&lt;50),"CONTRADICTION",IF(AND(D51&gt;=70,E51&lt;70),"DEPENDENCY GAP","NO TRIGGER")))</f>
        <v/>
      </c>
      <c r="K51" s="18">
        <f>IF(J51="CONTRADICTION","HIGH",IF(J51="DEPENDENCY GAP","MEDIUM","—"))</f>
        <v/>
      </c>
      <c r="L51" s="18">
        <f>IF(J51="CONTRADICTION","Strong upstream claim is not supported by linked downstream capability/evidence. Trigger: Adaptation review.",IF(J51="DEPENDENCY GAP","Downstream capability materially trails upstream expectation. Trigger: Adaptation review.",""))</f>
        <v/>
      </c>
    </row>
    <row r="52">
      <c r="A52" s="18" t="inlineStr">
        <is>
          <t>CD04</t>
        </is>
      </c>
      <c r="B52" s="18" t="inlineStr">
        <is>
          <t>D01-I03</t>
        </is>
      </c>
      <c r="C52" s="18" t="inlineStr">
        <is>
          <t>D11-I02</t>
        </is>
      </c>
      <c r="D52" s="18">
        <f>'P0-3_Scorecard'!L4</f>
        <v/>
      </c>
      <c r="E52" s="18">
        <f>'P0-3_Scorecard'!L132</f>
        <v/>
      </c>
      <c r="F52" s="18">
        <f>'P0-3_Scorecard'!M4</f>
        <v/>
      </c>
      <c r="G52" s="18">
        <f>'P0-3_Scorecard'!M132</f>
        <v/>
      </c>
      <c r="H52" s="18">
        <f>IF(OR(D52="",F52=""),"",D52-(F52*20))</f>
        <v/>
      </c>
      <c r="I52" s="18">
        <f>IF(OR(E52="",G52=""),"",E52-(G52*20))</f>
        <v/>
      </c>
      <c r="J52" s="18">
        <f>IF(OR(D52="",E52=""),"INCOMPLETE",IF(AND(D52&gt;=80,E52&lt;50),"CONTRADICTION",IF(AND(D52&gt;=70,E52&lt;70),"DEPENDENCY GAP","NO TRIGGER")))</f>
        <v/>
      </c>
      <c r="K52" s="18">
        <f>IF(J52="CONTRADICTION","HIGH",IF(J52="DEPENDENCY GAP","MEDIUM","—"))</f>
        <v/>
      </c>
      <c r="L52" s="18">
        <f>IF(J52="CONTRADICTION","Strong upstream claim is not supported by linked downstream capability/evidence. Trigger: Adaptation review.",IF(J52="DEPENDENCY GAP","Downstream capability materially trails upstream expectation. Trigger: Adaptation review.",""))</f>
        <v/>
      </c>
    </row>
    <row r="53">
      <c r="A53" s="18" t="inlineStr">
        <is>
          <t>CD04</t>
        </is>
      </c>
      <c r="B53" s="18" t="inlineStr">
        <is>
          <t>D01-I03</t>
        </is>
      </c>
      <c r="C53" s="18" t="inlineStr">
        <is>
          <t>D11-I06</t>
        </is>
      </c>
      <c r="D53" s="18">
        <f>'P0-3_Scorecard'!L4</f>
        <v/>
      </c>
      <c r="E53" s="18">
        <f>'P0-3_Scorecard'!L136</f>
        <v/>
      </c>
      <c r="F53" s="18">
        <f>'P0-3_Scorecard'!M4</f>
        <v/>
      </c>
      <c r="G53" s="18">
        <f>'P0-3_Scorecard'!M136</f>
        <v/>
      </c>
      <c r="H53" s="18">
        <f>IF(OR(D53="",F53=""),"",D53-(F53*20))</f>
        <v/>
      </c>
      <c r="I53" s="18">
        <f>IF(OR(E53="",G53=""),"",E53-(G53*20))</f>
        <v/>
      </c>
      <c r="J53" s="18">
        <f>IF(OR(D53="",E53=""),"INCOMPLETE",IF(AND(D53&gt;=80,E53&lt;50),"CONTRADICTION",IF(AND(D53&gt;=70,E53&lt;70),"DEPENDENCY GAP","NO TRIGGER")))</f>
        <v/>
      </c>
      <c r="K53" s="18">
        <f>IF(J53="CONTRADICTION","HIGH",IF(J53="DEPENDENCY GAP","MEDIUM","—"))</f>
        <v/>
      </c>
      <c r="L53" s="18">
        <f>IF(J53="CONTRADICTION","Strong upstream claim is not supported by linked downstream capability/evidence. Trigger: Adaptation review.",IF(J53="DEPENDENCY GAP","Downstream capability materially trails upstream expectation. Trigger: Adaptation review.",""))</f>
        <v/>
      </c>
    </row>
    <row r="54">
      <c r="A54" s="18" t="inlineStr">
        <is>
          <t>CD04</t>
        </is>
      </c>
      <c r="B54" s="18" t="inlineStr">
        <is>
          <t>D01-I03</t>
        </is>
      </c>
      <c r="C54" s="18" t="inlineStr">
        <is>
          <t>D11-I13</t>
        </is>
      </c>
      <c r="D54" s="18">
        <f>'P0-3_Scorecard'!L4</f>
        <v/>
      </c>
      <c r="E54" s="18">
        <f>'P0-3_Scorecard'!L143</f>
        <v/>
      </c>
      <c r="F54" s="18">
        <f>'P0-3_Scorecard'!M4</f>
        <v/>
      </c>
      <c r="G54" s="18">
        <f>'P0-3_Scorecard'!M143</f>
        <v/>
      </c>
      <c r="H54" s="18">
        <f>IF(OR(D54="",F54=""),"",D54-(F54*20))</f>
        <v/>
      </c>
      <c r="I54" s="18">
        <f>IF(OR(E54="",G54=""),"",E54-(G54*20))</f>
        <v/>
      </c>
      <c r="J54" s="18">
        <f>IF(OR(D54="",E54=""),"INCOMPLETE",IF(AND(D54&gt;=80,E54&lt;50),"CONTRADICTION",IF(AND(D54&gt;=70,E54&lt;70),"DEPENDENCY GAP","NO TRIGGER")))</f>
        <v/>
      </c>
      <c r="K54" s="18">
        <f>IF(J54="CONTRADICTION","HIGH",IF(J54="DEPENDENCY GAP","MEDIUM","—"))</f>
        <v/>
      </c>
      <c r="L54" s="18">
        <f>IF(J54="CONTRADICTION","Strong upstream claim is not supported by linked downstream capability/evidence. Trigger: Adaptation review.",IF(J54="DEPENDENCY GAP","Downstream capability materially trails upstream expectation. Trigger: Adaptation review.",""))</f>
        <v/>
      </c>
    </row>
    <row r="55">
      <c r="A55" s="18" t="inlineStr">
        <is>
          <t>CD04</t>
        </is>
      </c>
      <c r="B55" s="18" t="inlineStr">
        <is>
          <t>D01-I03</t>
        </is>
      </c>
      <c r="C55" s="18" t="inlineStr">
        <is>
          <t>D11-I14</t>
        </is>
      </c>
      <c r="D55" s="18">
        <f>'P0-3_Scorecard'!L4</f>
        <v/>
      </c>
      <c r="E55" s="18">
        <f>'P0-3_Scorecard'!L144</f>
        <v/>
      </c>
      <c r="F55" s="18">
        <f>'P0-3_Scorecard'!M4</f>
        <v/>
      </c>
      <c r="G55" s="18">
        <f>'P0-3_Scorecard'!M144</f>
        <v/>
      </c>
      <c r="H55" s="18">
        <f>IF(OR(D55="",F55=""),"",D55-(F55*20))</f>
        <v/>
      </c>
      <c r="I55" s="18">
        <f>IF(OR(E55="",G55=""),"",E55-(G55*20))</f>
        <v/>
      </c>
      <c r="J55" s="18">
        <f>IF(OR(D55="",E55=""),"INCOMPLETE",IF(AND(D55&gt;=80,E55&lt;50),"CONTRADICTION",IF(AND(D55&gt;=70,E55&lt;70),"DEPENDENCY GAP","NO TRIGGER")))</f>
        <v/>
      </c>
      <c r="K55" s="18">
        <f>IF(J55="CONTRADICTION","HIGH",IF(J55="DEPENDENCY GAP","MEDIUM","—"))</f>
        <v/>
      </c>
      <c r="L55" s="18">
        <f>IF(J55="CONTRADICTION","Strong upstream claim is not supported by linked downstream capability/evidence. Trigger: Adaptation review.",IF(J55="DEPENDENCY GAP","Downstream capability materially trails upstream expectation. Trigger: Adaptation review.",""))</f>
        <v/>
      </c>
    </row>
    <row r="56">
      <c r="A56" s="18" t="inlineStr">
        <is>
          <t>CD04</t>
        </is>
      </c>
      <c r="B56" s="18" t="inlineStr">
        <is>
          <t>D01-I10</t>
        </is>
      </c>
      <c r="C56" s="18" t="inlineStr">
        <is>
          <t>D11-I01</t>
        </is>
      </c>
      <c r="D56" s="18">
        <f>'P0-3_Scorecard'!L11</f>
        <v/>
      </c>
      <c r="E56" s="18">
        <f>'P0-3_Scorecard'!L131</f>
        <v/>
      </c>
      <c r="F56" s="18">
        <f>'P0-3_Scorecard'!M11</f>
        <v/>
      </c>
      <c r="G56" s="18">
        <f>'P0-3_Scorecard'!M131</f>
        <v/>
      </c>
      <c r="H56" s="18">
        <f>IF(OR(D56="",F56=""),"",D56-(F56*20))</f>
        <v/>
      </c>
      <c r="I56" s="18">
        <f>IF(OR(E56="",G56=""),"",E56-(G56*20))</f>
        <v/>
      </c>
      <c r="J56" s="18">
        <f>IF(OR(D56="",E56=""),"INCOMPLETE",IF(AND(D56&gt;=80,E56&lt;50),"CONTRADICTION",IF(AND(D56&gt;=70,E56&lt;70),"DEPENDENCY GAP","NO TRIGGER")))</f>
        <v/>
      </c>
      <c r="K56" s="18">
        <f>IF(J56="CONTRADICTION","HIGH",IF(J56="DEPENDENCY GAP","MEDIUM","—"))</f>
        <v/>
      </c>
      <c r="L56" s="18">
        <f>IF(J56="CONTRADICTION","Strong upstream claim is not supported by linked downstream capability/evidence. Trigger: Adaptation review.",IF(J56="DEPENDENCY GAP","Downstream capability materially trails upstream expectation. Trigger: Adaptation review.",""))</f>
        <v/>
      </c>
    </row>
    <row r="57">
      <c r="A57" s="18" t="inlineStr">
        <is>
          <t>CD04</t>
        </is>
      </c>
      <c r="B57" s="18" t="inlineStr">
        <is>
          <t>D01-I10</t>
        </is>
      </c>
      <c r="C57" s="18" t="inlineStr">
        <is>
          <t>D11-I02</t>
        </is>
      </c>
      <c r="D57" s="18">
        <f>'P0-3_Scorecard'!L11</f>
        <v/>
      </c>
      <c r="E57" s="18">
        <f>'P0-3_Scorecard'!L132</f>
        <v/>
      </c>
      <c r="F57" s="18">
        <f>'P0-3_Scorecard'!M11</f>
        <v/>
      </c>
      <c r="G57" s="18">
        <f>'P0-3_Scorecard'!M132</f>
        <v/>
      </c>
      <c r="H57" s="18">
        <f>IF(OR(D57="",F57=""),"",D57-(F57*20))</f>
        <v/>
      </c>
      <c r="I57" s="18">
        <f>IF(OR(E57="",G57=""),"",E57-(G57*20))</f>
        <v/>
      </c>
      <c r="J57" s="18">
        <f>IF(OR(D57="",E57=""),"INCOMPLETE",IF(AND(D57&gt;=80,E57&lt;50),"CONTRADICTION",IF(AND(D57&gt;=70,E57&lt;70),"DEPENDENCY GAP","NO TRIGGER")))</f>
        <v/>
      </c>
      <c r="K57" s="18">
        <f>IF(J57="CONTRADICTION","HIGH",IF(J57="DEPENDENCY GAP","MEDIUM","—"))</f>
        <v/>
      </c>
      <c r="L57" s="18">
        <f>IF(J57="CONTRADICTION","Strong upstream claim is not supported by linked downstream capability/evidence. Trigger: Adaptation review.",IF(J57="DEPENDENCY GAP","Downstream capability materially trails upstream expectation. Trigger: Adaptation review.",""))</f>
        <v/>
      </c>
    </row>
    <row r="58">
      <c r="A58" s="18" t="inlineStr">
        <is>
          <t>CD04</t>
        </is>
      </c>
      <c r="B58" s="18" t="inlineStr">
        <is>
          <t>D01-I10</t>
        </is>
      </c>
      <c r="C58" s="18" t="inlineStr">
        <is>
          <t>D11-I06</t>
        </is>
      </c>
      <c r="D58" s="18">
        <f>'P0-3_Scorecard'!L11</f>
        <v/>
      </c>
      <c r="E58" s="18">
        <f>'P0-3_Scorecard'!L136</f>
        <v/>
      </c>
      <c r="F58" s="18">
        <f>'P0-3_Scorecard'!M11</f>
        <v/>
      </c>
      <c r="G58" s="18">
        <f>'P0-3_Scorecard'!M136</f>
        <v/>
      </c>
      <c r="H58" s="18">
        <f>IF(OR(D58="",F58=""),"",D58-(F58*20))</f>
        <v/>
      </c>
      <c r="I58" s="18">
        <f>IF(OR(E58="",G58=""),"",E58-(G58*20))</f>
        <v/>
      </c>
      <c r="J58" s="18">
        <f>IF(OR(D58="",E58=""),"INCOMPLETE",IF(AND(D58&gt;=80,E58&lt;50),"CONTRADICTION",IF(AND(D58&gt;=70,E58&lt;70),"DEPENDENCY GAP","NO TRIGGER")))</f>
        <v/>
      </c>
      <c r="K58" s="18">
        <f>IF(J58="CONTRADICTION","HIGH",IF(J58="DEPENDENCY GAP","MEDIUM","—"))</f>
        <v/>
      </c>
      <c r="L58" s="18">
        <f>IF(J58="CONTRADICTION","Strong upstream claim is not supported by linked downstream capability/evidence. Trigger: Adaptation review.",IF(J58="DEPENDENCY GAP","Downstream capability materially trails upstream expectation. Trigger: Adaptation review.",""))</f>
        <v/>
      </c>
    </row>
    <row r="59">
      <c r="A59" s="18" t="inlineStr">
        <is>
          <t>CD04</t>
        </is>
      </c>
      <c r="B59" s="18" t="inlineStr">
        <is>
          <t>D01-I10</t>
        </is>
      </c>
      <c r="C59" s="18" t="inlineStr">
        <is>
          <t>D11-I13</t>
        </is>
      </c>
      <c r="D59" s="18">
        <f>'P0-3_Scorecard'!L11</f>
        <v/>
      </c>
      <c r="E59" s="18">
        <f>'P0-3_Scorecard'!L143</f>
        <v/>
      </c>
      <c r="F59" s="18">
        <f>'P0-3_Scorecard'!M11</f>
        <v/>
      </c>
      <c r="G59" s="18">
        <f>'P0-3_Scorecard'!M143</f>
        <v/>
      </c>
      <c r="H59" s="18">
        <f>IF(OR(D59="",F59=""),"",D59-(F59*20))</f>
        <v/>
      </c>
      <c r="I59" s="18">
        <f>IF(OR(E59="",G59=""),"",E59-(G59*20))</f>
        <v/>
      </c>
      <c r="J59" s="18">
        <f>IF(OR(D59="",E59=""),"INCOMPLETE",IF(AND(D59&gt;=80,E59&lt;50),"CONTRADICTION",IF(AND(D59&gt;=70,E59&lt;70),"DEPENDENCY GAP","NO TRIGGER")))</f>
        <v/>
      </c>
      <c r="K59" s="18">
        <f>IF(J59="CONTRADICTION","HIGH",IF(J59="DEPENDENCY GAP","MEDIUM","—"))</f>
        <v/>
      </c>
      <c r="L59" s="18">
        <f>IF(J59="CONTRADICTION","Strong upstream claim is not supported by linked downstream capability/evidence. Trigger: Adaptation review.",IF(J59="DEPENDENCY GAP","Downstream capability materially trails upstream expectation. Trigger: Adaptation review.",""))</f>
        <v/>
      </c>
    </row>
    <row r="60">
      <c r="A60" s="18" t="inlineStr">
        <is>
          <t>CD04</t>
        </is>
      </c>
      <c r="B60" s="18" t="inlineStr">
        <is>
          <t>D01-I10</t>
        </is>
      </c>
      <c r="C60" s="18" t="inlineStr">
        <is>
          <t>D11-I14</t>
        </is>
      </c>
      <c r="D60" s="18">
        <f>'P0-3_Scorecard'!L11</f>
        <v/>
      </c>
      <c r="E60" s="18">
        <f>'P0-3_Scorecard'!L144</f>
        <v/>
      </c>
      <c r="F60" s="18">
        <f>'P0-3_Scorecard'!M11</f>
        <v/>
      </c>
      <c r="G60" s="18">
        <f>'P0-3_Scorecard'!M144</f>
        <v/>
      </c>
      <c r="H60" s="18">
        <f>IF(OR(D60="",F60=""),"",D60-(F60*20))</f>
        <v/>
      </c>
      <c r="I60" s="18">
        <f>IF(OR(E60="",G60=""),"",E60-(G60*20))</f>
        <v/>
      </c>
      <c r="J60" s="18">
        <f>IF(OR(D60="",E60=""),"INCOMPLETE",IF(AND(D60&gt;=80,E60&lt;50),"CONTRADICTION",IF(AND(D60&gt;=70,E60&lt;70),"DEPENDENCY GAP","NO TRIGGER")))</f>
        <v/>
      </c>
      <c r="K60" s="18">
        <f>IF(J60="CONTRADICTION","HIGH",IF(J60="DEPENDENCY GAP","MEDIUM","—"))</f>
        <v/>
      </c>
      <c r="L60" s="18">
        <f>IF(J60="CONTRADICTION","Strong upstream claim is not supported by linked downstream capability/evidence. Trigger: Adaptation review.",IF(J60="DEPENDENCY GAP","Downstream capability materially trails upstream expectation. Trigger: Adaptation review.",""))</f>
        <v/>
      </c>
    </row>
    <row r="61">
      <c r="A61" s="18" t="inlineStr">
        <is>
          <t>CD05</t>
        </is>
      </c>
      <c r="B61" s="18" t="inlineStr">
        <is>
          <t>D02-I05</t>
        </is>
      </c>
      <c r="C61" s="18" t="inlineStr">
        <is>
          <t>D07-I01</t>
        </is>
      </c>
      <c r="D61" s="18">
        <f>'P0-3_Scorecard'!L16</f>
        <v/>
      </c>
      <c r="E61" s="18">
        <f>'P0-3_Scorecard'!L81</f>
        <v/>
      </c>
      <c r="F61" s="18">
        <f>'P0-3_Scorecard'!M16</f>
        <v/>
      </c>
      <c r="G61" s="18">
        <f>'P0-3_Scorecard'!M81</f>
        <v/>
      </c>
      <c r="H61" s="18">
        <f>IF(OR(D61="",F61=""),"",D61-(F61*20))</f>
        <v/>
      </c>
      <c r="I61" s="18">
        <f>IF(OR(E61="",G61=""),"",E61-(G61*20))</f>
        <v/>
      </c>
      <c r="J61" s="18">
        <f>IF(OR(D61="",E61=""),"INCOMPLETE",IF(AND(D61&gt;=80,E61&lt;50),"CONTRADICTION",IF(AND(D61&gt;=70,E61&lt;70),"DEPENDENCY GAP","NO TRIGGER")))</f>
        <v/>
      </c>
      <c r="K61" s="18">
        <f>IF(J61="CONTRADICTION","HIGH",IF(J61="DEPENDENCY GAP","MEDIUM","—"))</f>
        <v/>
      </c>
      <c r="L61" s="18">
        <f>IF(J61="CONTRADICTION","Strong upstream claim is not supported by linked downstream capability/evidence. Trigger: Assessment architecture review.",IF(J61="DEPENDENCY GAP","Downstream capability materially trails upstream expectation. Trigger: Assessment architecture review.",""))</f>
        <v/>
      </c>
    </row>
    <row r="62">
      <c r="A62" s="18" t="inlineStr">
        <is>
          <t>CD05</t>
        </is>
      </c>
      <c r="B62" s="18" t="inlineStr">
        <is>
          <t>D02-I05</t>
        </is>
      </c>
      <c r="C62" s="18" t="inlineStr">
        <is>
          <t>D07-I04</t>
        </is>
      </c>
      <c r="D62" s="18">
        <f>'P0-3_Scorecard'!L16</f>
        <v/>
      </c>
      <c r="E62" s="18">
        <f>'P0-3_Scorecard'!L84</f>
        <v/>
      </c>
      <c r="F62" s="18">
        <f>'P0-3_Scorecard'!M16</f>
        <v/>
      </c>
      <c r="G62" s="18">
        <f>'P0-3_Scorecard'!M84</f>
        <v/>
      </c>
      <c r="H62" s="18">
        <f>IF(OR(D62="",F62=""),"",D62-(F62*20))</f>
        <v/>
      </c>
      <c r="I62" s="18">
        <f>IF(OR(E62="",G62=""),"",E62-(G62*20))</f>
        <v/>
      </c>
      <c r="J62" s="18">
        <f>IF(OR(D62="",E62=""),"INCOMPLETE",IF(AND(D62&gt;=80,E62&lt;50),"CONTRADICTION",IF(AND(D62&gt;=70,E62&lt;70),"DEPENDENCY GAP","NO TRIGGER")))</f>
        <v/>
      </c>
      <c r="K62" s="18">
        <f>IF(J62="CONTRADICTION","HIGH",IF(J62="DEPENDENCY GAP","MEDIUM","—"))</f>
        <v/>
      </c>
      <c r="L62" s="18">
        <f>IF(J62="CONTRADICTION","Strong upstream claim is not supported by linked downstream capability/evidence. Trigger: Assessment architecture review.",IF(J62="DEPENDENCY GAP","Downstream capability materially trails upstream expectation. Trigger: Assessment architecture review.",""))</f>
        <v/>
      </c>
    </row>
    <row r="63">
      <c r="A63" s="18" t="inlineStr">
        <is>
          <t>CD05</t>
        </is>
      </c>
      <c r="B63" s="18" t="inlineStr">
        <is>
          <t>D02-I05</t>
        </is>
      </c>
      <c r="C63" s="18" t="inlineStr">
        <is>
          <t>D07-I05</t>
        </is>
      </c>
      <c r="D63" s="18">
        <f>'P0-3_Scorecard'!L16</f>
        <v/>
      </c>
      <c r="E63" s="18">
        <f>'P0-3_Scorecard'!L85</f>
        <v/>
      </c>
      <c r="F63" s="18">
        <f>'P0-3_Scorecard'!M16</f>
        <v/>
      </c>
      <c r="G63" s="18">
        <f>'P0-3_Scorecard'!M85</f>
        <v/>
      </c>
      <c r="H63" s="18">
        <f>IF(OR(D63="",F63=""),"",D63-(F63*20))</f>
        <v/>
      </c>
      <c r="I63" s="18">
        <f>IF(OR(E63="",G63=""),"",E63-(G63*20))</f>
        <v/>
      </c>
      <c r="J63" s="18">
        <f>IF(OR(D63="",E63=""),"INCOMPLETE",IF(AND(D63&gt;=80,E63&lt;50),"CONTRADICTION",IF(AND(D63&gt;=70,E63&lt;70),"DEPENDENCY GAP","NO TRIGGER")))</f>
        <v/>
      </c>
      <c r="K63" s="18">
        <f>IF(J63="CONTRADICTION","HIGH",IF(J63="DEPENDENCY GAP","MEDIUM","—"))</f>
        <v/>
      </c>
      <c r="L63" s="18">
        <f>IF(J63="CONTRADICTION","Strong upstream claim is not supported by linked downstream capability/evidence. Trigger: Assessment architecture review.",IF(J63="DEPENDENCY GAP","Downstream capability materially trails upstream expectation. Trigger: Assessment architecture review.",""))</f>
        <v/>
      </c>
    </row>
    <row r="64">
      <c r="A64" s="18" t="inlineStr">
        <is>
          <t>CD05</t>
        </is>
      </c>
      <c r="B64" s="18" t="inlineStr">
        <is>
          <t>D02-I05</t>
        </is>
      </c>
      <c r="C64" s="18" t="inlineStr">
        <is>
          <t>D07-I10</t>
        </is>
      </c>
      <c r="D64" s="18">
        <f>'P0-3_Scorecard'!L16</f>
        <v/>
      </c>
      <c r="E64" s="18">
        <f>'P0-3_Scorecard'!L90</f>
        <v/>
      </c>
      <c r="F64" s="18">
        <f>'P0-3_Scorecard'!M16</f>
        <v/>
      </c>
      <c r="G64" s="18">
        <f>'P0-3_Scorecard'!M90</f>
        <v/>
      </c>
      <c r="H64" s="18">
        <f>IF(OR(D64="",F64=""),"",D64-(F64*20))</f>
        <v/>
      </c>
      <c r="I64" s="18">
        <f>IF(OR(E64="",G64=""),"",E64-(G64*20))</f>
        <v/>
      </c>
      <c r="J64" s="18">
        <f>IF(OR(D64="",E64=""),"INCOMPLETE",IF(AND(D64&gt;=80,E64&lt;50),"CONTRADICTION",IF(AND(D64&gt;=70,E64&lt;70),"DEPENDENCY GAP","NO TRIGGER")))</f>
        <v/>
      </c>
      <c r="K64" s="18">
        <f>IF(J64="CONTRADICTION","HIGH",IF(J64="DEPENDENCY GAP","MEDIUM","—"))</f>
        <v/>
      </c>
      <c r="L64" s="18">
        <f>IF(J64="CONTRADICTION","Strong upstream claim is not supported by linked downstream capability/evidence. Trigger: Assessment architecture review.",IF(J64="DEPENDENCY GAP","Downstream capability materially trails upstream expectation. Trigger: Assessment architecture review.",""))</f>
        <v/>
      </c>
    </row>
    <row r="65">
      <c r="A65" s="18" t="inlineStr">
        <is>
          <t>CD05</t>
        </is>
      </c>
      <c r="B65" s="18" t="inlineStr">
        <is>
          <t>D02-I05</t>
        </is>
      </c>
      <c r="C65" s="18" t="inlineStr">
        <is>
          <t>D07-I12</t>
        </is>
      </c>
      <c r="D65" s="18">
        <f>'P0-3_Scorecard'!L16</f>
        <v/>
      </c>
      <c r="E65" s="18">
        <f>'P0-3_Scorecard'!L92</f>
        <v/>
      </c>
      <c r="F65" s="18">
        <f>'P0-3_Scorecard'!M16</f>
        <v/>
      </c>
      <c r="G65" s="18">
        <f>'P0-3_Scorecard'!M92</f>
        <v/>
      </c>
      <c r="H65" s="18">
        <f>IF(OR(D65="",F65=""),"",D65-(F65*20))</f>
        <v/>
      </c>
      <c r="I65" s="18">
        <f>IF(OR(E65="",G65=""),"",E65-(G65*20))</f>
        <v/>
      </c>
      <c r="J65" s="18">
        <f>IF(OR(D65="",E65=""),"INCOMPLETE",IF(AND(D65&gt;=80,E65&lt;50),"CONTRADICTION",IF(AND(D65&gt;=70,E65&lt;70),"DEPENDENCY GAP","NO TRIGGER")))</f>
        <v/>
      </c>
      <c r="K65" s="18">
        <f>IF(J65="CONTRADICTION","HIGH",IF(J65="DEPENDENCY GAP","MEDIUM","—"))</f>
        <v/>
      </c>
      <c r="L65" s="18">
        <f>IF(J65="CONTRADICTION","Strong upstream claim is not supported by linked downstream capability/evidence. Trigger: Assessment architecture review.",IF(J65="DEPENDENCY GAP","Downstream capability materially trails upstream expectation. Trigger: Assessment architecture review.",""))</f>
        <v/>
      </c>
    </row>
    <row r="66">
      <c r="A66" s="18" t="inlineStr">
        <is>
          <t>CD05</t>
        </is>
      </c>
      <c r="B66" s="18" t="inlineStr">
        <is>
          <t>D02-I06</t>
        </is>
      </c>
      <c r="C66" s="18" t="inlineStr">
        <is>
          <t>D07-I01</t>
        </is>
      </c>
      <c r="D66" s="18">
        <f>'P0-3_Scorecard'!L17</f>
        <v/>
      </c>
      <c r="E66" s="18">
        <f>'P0-3_Scorecard'!L81</f>
        <v/>
      </c>
      <c r="F66" s="18">
        <f>'P0-3_Scorecard'!M17</f>
        <v/>
      </c>
      <c r="G66" s="18">
        <f>'P0-3_Scorecard'!M81</f>
        <v/>
      </c>
      <c r="H66" s="18">
        <f>IF(OR(D66="",F66=""),"",D66-(F66*20))</f>
        <v/>
      </c>
      <c r="I66" s="18">
        <f>IF(OR(E66="",G66=""),"",E66-(G66*20))</f>
        <v/>
      </c>
      <c r="J66" s="18">
        <f>IF(OR(D66="",E66=""),"INCOMPLETE",IF(AND(D66&gt;=80,E66&lt;50),"CONTRADICTION",IF(AND(D66&gt;=70,E66&lt;70),"DEPENDENCY GAP","NO TRIGGER")))</f>
        <v/>
      </c>
      <c r="K66" s="18">
        <f>IF(J66="CONTRADICTION","HIGH",IF(J66="DEPENDENCY GAP","MEDIUM","—"))</f>
        <v/>
      </c>
      <c r="L66" s="18">
        <f>IF(J66="CONTRADICTION","Strong upstream claim is not supported by linked downstream capability/evidence. Trigger: Assessment architecture review.",IF(J66="DEPENDENCY GAP","Downstream capability materially trails upstream expectation. Trigger: Assessment architecture review.",""))</f>
        <v/>
      </c>
    </row>
    <row r="67">
      <c r="A67" s="18" t="inlineStr">
        <is>
          <t>CD05</t>
        </is>
      </c>
      <c r="B67" s="18" t="inlineStr">
        <is>
          <t>D02-I06</t>
        </is>
      </c>
      <c r="C67" s="18" t="inlineStr">
        <is>
          <t>D07-I04</t>
        </is>
      </c>
      <c r="D67" s="18">
        <f>'P0-3_Scorecard'!L17</f>
        <v/>
      </c>
      <c r="E67" s="18">
        <f>'P0-3_Scorecard'!L84</f>
        <v/>
      </c>
      <c r="F67" s="18">
        <f>'P0-3_Scorecard'!M17</f>
        <v/>
      </c>
      <c r="G67" s="18">
        <f>'P0-3_Scorecard'!M84</f>
        <v/>
      </c>
      <c r="H67" s="18">
        <f>IF(OR(D67="",F67=""),"",D67-(F67*20))</f>
        <v/>
      </c>
      <c r="I67" s="18">
        <f>IF(OR(E67="",G67=""),"",E67-(G67*20))</f>
        <v/>
      </c>
      <c r="J67" s="18">
        <f>IF(OR(D67="",E67=""),"INCOMPLETE",IF(AND(D67&gt;=80,E67&lt;50),"CONTRADICTION",IF(AND(D67&gt;=70,E67&lt;70),"DEPENDENCY GAP","NO TRIGGER")))</f>
        <v/>
      </c>
      <c r="K67" s="18">
        <f>IF(J67="CONTRADICTION","HIGH",IF(J67="DEPENDENCY GAP","MEDIUM","—"))</f>
        <v/>
      </c>
      <c r="L67" s="18">
        <f>IF(J67="CONTRADICTION","Strong upstream claim is not supported by linked downstream capability/evidence. Trigger: Assessment architecture review.",IF(J67="DEPENDENCY GAP","Downstream capability materially trails upstream expectation. Trigger: Assessment architecture review.",""))</f>
        <v/>
      </c>
    </row>
    <row r="68">
      <c r="A68" s="18" t="inlineStr">
        <is>
          <t>CD05</t>
        </is>
      </c>
      <c r="B68" s="18" t="inlineStr">
        <is>
          <t>D02-I06</t>
        </is>
      </c>
      <c r="C68" s="18" t="inlineStr">
        <is>
          <t>D07-I05</t>
        </is>
      </c>
      <c r="D68" s="18">
        <f>'P0-3_Scorecard'!L17</f>
        <v/>
      </c>
      <c r="E68" s="18">
        <f>'P0-3_Scorecard'!L85</f>
        <v/>
      </c>
      <c r="F68" s="18">
        <f>'P0-3_Scorecard'!M17</f>
        <v/>
      </c>
      <c r="G68" s="18">
        <f>'P0-3_Scorecard'!M85</f>
        <v/>
      </c>
      <c r="H68" s="18">
        <f>IF(OR(D68="",F68=""),"",D68-(F68*20))</f>
        <v/>
      </c>
      <c r="I68" s="18">
        <f>IF(OR(E68="",G68=""),"",E68-(G68*20))</f>
        <v/>
      </c>
      <c r="J68" s="18">
        <f>IF(OR(D68="",E68=""),"INCOMPLETE",IF(AND(D68&gt;=80,E68&lt;50),"CONTRADICTION",IF(AND(D68&gt;=70,E68&lt;70),"DEPENDENCY GAP","NO TRIGGER")))</f>
        <v/>
      </c>
      <c r="K68" s="18">
        <f>IF(J68="CONTRADICTION","HIGH",IF(J68="DEPENDENCY GAP","MEDIUM","—"))</f>
        <v/>
      </c>
      <c r="L68" s="18">
        <f>IF(J68="CONTRADICTION","Strong upstream claim is not supported by linked downstream capability/evidence. Trigger: Assessment architecture review.",IF(J68="DEPENDENCY GAP","Downstream capability materially trails upstream expectation. Trigger: Assessment architecture review.",""))</f>
        <v/>
      </c>
    </row>
    <row r="69">
      <c r="A69" s="18" t="inlineStr">
        <is>
          <t>CD05</t>
        </is>
      </c>
      <c r="B69" s="18" t="inlineStr">
        <is>
          <t>D02-I06</t>
        </is>
      </c>
      <c r="C69" s="18" t="inlineStr">
        <is>
          <t>D07-I10</t>
        </is>
      </c>
      <c r="D69" s="18">
        <f>'P0-3_Scorecard'!L17</f>
        <v/>
      </c>
      <c r="E69" s="18">
        <f>'P0-3_Scorecard'!L90</f>
        <v/>
      </c>
      <c r="F69" s="18">
        <f>'P0-3_Scorecard'!M17</f>
        <v/>
      </c>
      <c r="G69" s="18">
        <f>'P0-3_Scorecard'!M90</f>
        <v/>
      </c>
      <c r="H69" s="18">
        <f>IF(OR(D69="",F69=""),"",D69-(F69*20))</f>
        <v/>
      </c>
      <c r="I69" s="18">
        <f>IF(OR(E69="",G69=""),"",E69-(G69*20))</f>
        <v/>
      </c>
      <c r="J69" s="18">
        <f>IF(OR(D69="",E69=""),"INCOMPLETE",IF(AND(D69&gt;=80,E69&lt;50),"CONTRADICTION",IF(AND(D69&gt;=70,E69&lt;70),"DEPENDENCY GAP","NO TRIGGER")))</f>
        <v/>
      </c>
      <c r="K69" s="18">
        <f>IF(J69="CONTRADICTION","HIGH",IF(J69="DEPENDENCY GAP","MEDIUM","—"))</f>
        <v/>
      </c>
      <c r="L69" s="18">
        <f>IF(J69="CONTRADICTION","Strong upstream claim is not supported by linked downstream capability/evidence. Trigger: Assessment architecture review.",IF(J69="DEPENDENCY GAP","Downstream capability materially trails upstream expectation. Trigger: Assessment architecture review.",""))</f>
        <v/>
      </c>
    </row>
    <row r="70">
      <c r="A70" s="18" t="inlineStr">
        <is>
          <t>CD05</t>
        </is>
      </c>
      <c r="B70" s="18" t="inlineStr">
        <is>
          <t>D02-I06</t>
        </is>
      </c>
      <c r="C70" s="18" t="inlineStr">
        <is>
          <t>D07-I12</t>
        </is>
      </c>
      <c r="D70" s="18">
        <f>'P0-3_Scorecard'!L17</f>
        <v/>
      </c>
      <c r="E70" s="18">
        <f>'P0-3_Scorecard'!L92</f>
        <v/>
      </c>
      <c r="F70" s="18">
        <f>'P0-3_Scorecard'!M17</f>
        <v/>
      </c>
      <c r="G70" s="18">
        <f>'P0-3_Scorecard'!M92</f>
        <v/>
      </c>
      <c r="H70" s="18">
        <f>IF(OR(D70="",F70=""),"",D70-(F70*20))</f>
        <v/>
      </c>
      <c r="I70" s="18">
        <f>IF(OR(E70="",G70=""),"",E70-(G70*20))</f>
        <v/>
      </c>
      <c r="J70" s="18">
        <f>IF(OR(D70="",E70=""),"INCOMPLETE",IF(AND(D70&gt;=80,E70&lt;50),"CONTRADICTION",IF(AND(D70&gt;=70,E70&lt;70),"DEPENDENCY GAP","NO TRIGGER")))</f>
        <v/>
      </c>
      <c r="K70" s="18">
        <f>IF(J70="CONTRADICTION","HIGH",IF(J70="DEPENDENCY GAP","MEDIUM","—"))</f>
        <v/>
      </c>
      <c r="L70" s="18">
        <f>IF(J70="CONTRADICTION","Strong upstream claim is not supported by linked downstream capability/evidence. Trigger: Assessment architecture review.",IF(J70="DEPENDENCY GAP","Downstream capability materially trails upstream expectation. Trigger: Assessment architecture review.",""))</f>
        <v/>
      </c>
    </row>
    <row r="71">
      <c r="A71" s="18" t="inlineStr">
        <is>
          <t>CD05</t>
        </is>
      </c>
      <c r="B71" s="18" t="inlineStr">
        <is>
          <t>D02-I07</t>
        </is>
      </c>
      <c r="C71" s="18" t="inlineStr">
        <is>
          <t>D07-I01</t>
        </is>
      </c>
      <c r="D71" s="18">
        <f>'P0-3_Scorecard'!L18</f>
        <v/>
      </c>
      <c r="E71" s="18">
        <f>'P0-3_Scorecard'!L81</f>
        <v/>
      </c>
      <c r="F71" s="18">
        <f>'P0-3_Scorecard'!M18</f>
        <v/>
      </c>
      <c r="G71" s="18">
        <f>'P0-3_Scorecard'!M81</f>
        <v/>
      </c>
      <c r="H71" s="18">
        <f>IF(OR(D71="",F71=""),"",D71-(F71*20))</f>
        <v/>
      </c>
      <c r="I71" s="18">
        <f>IF(OR(E71="",G71=""),"",E71-(G71*20))</f>
        <v/>
      </c>
      <c r="J71" s="18">
        <f>IF(OR(D71="",E71=""),"INCOMPLETE",IF(AND(D71&gt;=80,E71&lt;50),"CONTRADICTION",IF(AND(D71&gt;=70,E71&lt;70),"DEPENDENCY GAP","NO TRIGGER")))</f>
        <v/>
      </c>
      <c r="K71" s="18">
        <f>IF(J71="CONTRADICTION","HIGH",IF(J71="DEPENDENCY GAP","MEDIUM","—"))</f>
        <v/>
      </c>
      <c r="L71" s="18">
        <f>IF(J71="CONTRADICTION","Strong upstream claim is not supported by linked downstream capability/evidence. Trigger: Assessment architecture review.",IF(J71="DEPENDENCY GAP","Downstream capability materially trails upstream expectation. Trigger: Assessment architecture review.",""))</f>
        <v/>
      </c>
    </row>
    <row r="72">
      <c r="A72" s="18" t="inlineStr">
        <is>
          <t>CD05</t>
        </is>
      </c>
      <c r="B72" s="18" t="inlineStr">
        <is>
          <t>D02-I07</t>
        </is>
      </c>
      <c r="C72" s="18" t="inlineStr">
        <is>
          <t>D07-I04</t>
        </is>
      </c>
      <c r="D72" s="18">
        <f>'P0-3_Scorecard'!L18</f>
        <v/>
      </c>
      <c r="E72" s="18">
        <f>'P0-3_Scorecard'!L84</f>
        <v/>
      </c>
      <c r="F72" s="18">
        <f>'P0-3_Scorecard'!M18</f>
        <v/>
      </c>
      <c r="G72" s="18">
        <f>'P0-3_Scorecard'!M84</f>
        <v/>
      </c>
      <c r="H72" s="18">
        <f>IF(OR(D72="",F72=""),"",D72-(F72*20))</f>
        <v/>
      </c>
      <c r="I72" s="18">
        <f>IF(OR(E72="",G72=""),"",E72-(G72*20))</f>
        <v/>
      </c>
      <c r="J72" s="18">
        <f>IF(OR(D72="",E72=""),"INCOMPLETE",IF(AND(D72&gt;=80,E72&lt;50),"CONTRADICTION",IF(AND(D72&gt;=70,E72&lt;70),"DEPENDENCY GAP","NO TRIGGER")))</f>
        <v/>
      </c>
      <c r="K72" s="18">
        <f>IF(J72="CONTRADICTION","HIGH",IF(J72="DEPENDENCY GAP","MEDIUM","—"))</f>
        <v/>
      </c>
      <c r="L72" s="18">
        <f>IF(J72="CONTRADICTION","Strong upstream claim is not supported by linked downstream capability/evidence. Trigger: Assessment architecture review.",IF(J72="DEPENDENCY GAP","Downstream capability materially trails upstream expectation. Trigger: Assessment architecture review.",""))</f>
        <v/>
      </c>
    </row>
    <row r="73">
      <c r="A73" s="18" t="inlineStr">
        <is>
          <t>CD05</t>
        </is>
      </c>
      <c r="B73" s="18" t="inlineStr">
        <is>
          <t>D02-I07</t>
        </is>
      </c>
      <c r="C73" s="18" t="inlineStr">
        <is>
          <t>D07-I05</t>
        </is>
      </c>
      <c r="D73" s="18">
        <f>'P0-3_Scorecard'!L18</f>
        <v/>
      </c>
      <c r="E73" s="18">
        <f>'P0-3_Scorecard'!L85</f>
        <v/>
      </c>
      <c r="F73" s="18">
        <f>'P0-3_Scorecard'!M18</f>
        <v/>
      </c>
      <c r="G73" s="18">
        <f>'P0-3_Scorecard'!M85</f>
        <v/>
      </c>
      <c r="H73" s="18">
        <f>IF(OR(D73="",F73=""),"",D73-(F73*20))</f>
        <v/>
      </c>
      <c r="I73" s="18">
        <f>IF(OR(E73="",G73=""),"",E73-(G73*20))</f>
        <v/>
      </c>
      <c r="J73" s="18">
        <f>IF(OR(D73="",E73=""),"INCOMPLETE",IF(AND(D73&gt;=80,E73&lt;50),"CONTRADICTION",IF(AND(D73&gt;=70,E73&lt;70),"DEPENDENCY GAP","NO TRIGGER")))</f>
        <v/>
      </c>
      <c r="K73" s="18">
        <f>IF(J73="CONTRADICTION","HIGH",IF(J73="DEPENDENCY GAP","MEDIUM","—"))</f>
        <v/>
      </c>
      <c r="L73" s="18">
        <f>IF(J73="CONTRADICTION","Strong upstream claim is not supported by linked downstream capability/evidence. Trigger: Assessment architecture review.",IF(J73="DEPENDENCY GAP","Downstream capability materially trails upstream expectation. Trigger: Assessment architecture review.",""))</f>
        <v/>
      </c>
    </row>
    <row r="74">
      <c r="A74" s="18" t="inlineStr">
        <is>
          <t>CD05</t>
        </is>
      </c>
      <c r="B74" s="18" t="inlineStr">
        <is>
          <t>D02-I07</t>
        </is>
      </c>
      <c r="C74" s="18" t="inlineStr">
        <is>
          <t>D07-I10</t>
        </is>
      </c>
      <c r="D74" s="18">
        <f>'P0-3_Scorecard'!L18</f>
        <v/>
      </c>
      <c r="E74" s="18">
        <f>'P0-3_Scorecard'!L90</f>
        <v/>
      </c>
      <c r="F74" s="18">
        <f>'P0-3_Scorecard'!M18</f>
        <v/>
      </c>
      <c r="G74" s="18">
        <f>'P0-3_Scorecard'!M90</f>
        <v/>
      </c>
      <c r="H74" s="18">
        <f>IF(OR(D74="",F74=""),"",D74-(F74*20))</f>
        <v/>
      </c>
      <c r="I74" s="18">
        <f>IF(OR(E74="",G74=""),"",E74-(G74*20))</f>
        <v/>
      </c>
      <c r="J74" s="18">
        <f>IF(OR(D74="",E74=""),"INCOMPLETE",IF(AND(D74&gt;=80,E74&lt;50),"CONTRADICTION",IF(AND(D74&gt;=70,E74&lt;70),"DEPENDENCY GAP","NO TRIGGER")))</f>
        <v/>
      </c>
      <c r="K74" s="18">
        <f>IF(J74="CONTRADICTION","HIGH",IF(J74="DEPENDENCY GAP","MEDIUM","—"))</f>
        <v/>
      </c>
      <c r="L74" s="18">
        <f>IF(J74="CONTRADICTION","Strong upstream claim is not supported by linked downstream capability/evidence. Trigger: Assessment architecture review.",IF(J74="DEPENDENCY GAP","Downstream capability materially trails upstream expectation. Trigger: Assessment architecture review.",""))</f>
        <v/>
      </c>
    </row>
    <row r="75">
      <c r="A75" s="18" t="inlineStr">
        <is>
          <t>CD05</t>
        </is>
      </c>
      <c r="B75" s="18" t="inlineStr">
        <is>
          <t>D02-I07</t>
        </is>
      </c>
      <c r="C75" s="18" t="inlineStr">
        <is>
          <t>D07-I12</t>
        </is>
      </c>
      <c r="D75" s="18">
        <f>'P0-3_Scorecard'!L18</f>
        <v/>
      </c>
      <c r="E75" s="18">
        <f>'P0-3_Scorecard'!L92</f>
        <v/>
      </c>
      <c r="F75" s="18">
        <f>'P0-3_Scorecard'!M18</f>
        <v/>
      </c>
      <c r="G75" s="18">
        <f>'P0-3_Scorecard'!M92</f>
        <v/>
      </c>
      <c r="H75" s="18">
        <f>IF(OR(D75="",F75=""),"",D75-(F75*20))</f>
        <v/>
      </c>
      <c r="I75" s="18">
        <f>IF(OR(E75="",G75=""),"",E75-(G75*20))</f>
        <v/>
      </c>
      <c r="J75" s="18">
        <f>IF(OR(D75="",E75=""),"INCOMPLETE",IF(AND(D75&gt;=80,E75&lt;50),"CONTRADICTION",IF(AND(D75&gt;=70,E75&lt;70),"DEPENDENCY GAP","NO TRIGGER")))</f>
        <v/>
      </c>
      <c r="K75" s="18">
        <f>IF(J75="CONTRADICTION","HIGH",IF(J75="DEPENDENCY GAP","MEDIUM","—"))</f>
        <v/>
      </c>
      <c r="L75" s="18">
        <f>IF(J75="CONTRADICTION","Strong upstream claim is not supported by linked downstream capability/evidence. Trigger: Assessment architecture review.",IF(J75="DEPENDENCY GAP","Downstream capability materially trails upstream expectation. Trigger: Assessment architecture review.",""))</f>
        <v/>
      </c>
    </row>
    <row r="76">
      <c r="A76" s="18" t="inlineStr">
        <is>
          <t>CD05</t>
        </is>
      </c>
      <c r="B76" s="18" t="inlineStr">
        <is>
          <t>D02-I09</t>
        </is>
      </c>
      <c r="C76" s="18" t="inlineStr">
        <is>
          <t>D07-I01</t>
        </is>
      </c>
      <c r="D76" s="18">
        <f>'P0-3_Scorecard'!L20</f>
        <v/>
      </c>
      <c r="E76" s="18">
        <f>'P0-3_Scorecard'!L81</f>
        <v/>
      </c>
      <c r="F76" s="18">
        <f>'P0-3_Scorecard'!M20</f>
        <v/>
      </c>
      <c r="G76" s="18">
        <f>'P0-3_Scorecard'!M81</f>
        <v/>
      </c>
      <c r="H76" s="18">
        <f>IF(OR(D76="",F76=""),"",D76-(F76*20))</f>
        <v/>
      </c>
      <c r="I76" s="18">
        <f>IF(OR(E76="",G76=""),"",E76-(G76*20))</f>
        <v/>
      </c>
      <c r="J76" s="18">
        <f>IF(OR(D76="",E76=""),"INCOMPLETE",IF(AND(D76&gt;=80,E76&lt;50),"CONTRADICTION",IF(AND(D76&gt;=70,E76&lt;70),"DEPENDENCY GAP","NO TRIGGER")))</f>
        <v/>
      </c>
      <c r="K76" s="18">
        <f>IF(J76="CONTRADICTION","HIGH",IF(J76="DEPENDENCY GAP","MEDIUM","—"))</f>
        <v/>
      </c>
      <c r="L76" s="18">
        <f>IF(J76="CONTRADICTION","Strong upstream claim is not supported by linked downstream capability/evidence. Trigger: Assessment architecture review.",IF(J76="DEPENDENCY GAP","Downstream capability materially trails upstream expectation. Trigger: Assessment architecture review.",""))</f>
        <v/>
      </c>
    </row>
    <row r="77">
      <c r="A77" s="18" t="inlineStr">
        <is>
          <t>CD05</t>
        </is>
      </c>
      <c r="B77" s="18" t="inlineStr">
        <is>
          <t>D02-I09</t>
        </is>
      </c>
      <c r="C77" s="18" t="inlineStr">
        <is>
          <t>D07-I04</t>
        </is>
      </c>
      <c r="D77" s="18">
        <f>'P0-3_Scorecard'!L20</f>
        <v/>
      </c>
      <c r="E77" s="18">
        <f>'P0-3_Scorecard'!L84</f>
        <v/>
      </c>
      <c r="F77" s="18">
        <f>'P0-3_Scorecard'!M20</f>
        <v/>
      </c>
      <c r="G77" s="18">
        <f>'P0-3_Scorecard'!M84</f>
        <v/>
      </c>
      <c r="H77" s="18">
        <f>IF(OR(D77="",F77=""),"",D77-(F77*20))</f>
        <v/>
      </c>
      <c r="I77" s="18">
        <f>IF(OR(E77="",G77=""),"",E77-(G77*20))</f>
        <v/>
      </c>
      <c r="J77" s="18">
        <f>IF(OR(D77="",E77=""),"INCOMPLETE",IF(AND(D77&gt;=80,E77&lt;50),"CONTRADICTION",IF(AND(D77&gt;=70,E77&lt;70),"DEPENDENCY GAP","NO TRIGGER")))</f>
        <v/>
      </c>
      <c r="K77" s="18">
        <f>IF(J77="CONTRADICTION","HIGH",IF(J77="DEPENDENCY GAP","MEDIUM","—"))</f>
        <v/>
      </c>
      <c r="L77" s="18">
        <f>IF(J77="CONTRADICTION","Strong upstream claim is not supported by linked downstream capability/evidence. Trigger: Assessment architecture review.",IF(J77="DEPENDENCY GAP","Downstream capability materially trails upstream expectation. Trigger: Assessment architecture review.",""))</f>
        <v/>
      </c>
    </row>
    <row r="78">
      <c r="A78" s="18" t="inlineStr">
        <is>
          <t>CD05</t>
        </is>
      </c>
      <c r="B78" s="18" t="inlineStr">
        <is>
          <t>D02-I09</t>
        </is>
      </c>
      <c r="C78" s="18" t="inlineStr">
        <is>
          <t>D07-I05</t>
        </is>
      </c>
      <c r="D78" s="18">
        <f>'P0-3_Scorecard'!L20</f>
        <v/>
      </c>
      <c r="E78" s="18">
        <f>'P0-3_Scorecard'!L85</f>
        <v/>
      </c>
      <c r="F78" s="18">
        <f>'P0-3_Scorecard'!M20</f>
        <v/>
      </c>
      <c r="G78" s="18">
        <f>'P0-3_Scorecard'!M85</f>
        <v/>
      </c>
      <c r="H78" s="18">
        <f>IF(OR(D78="",F78=""),"",D78-(F78*20))</f>
        <v/>
      </c>
      <c r="I78" s="18">
        <f>IF(OR(E78="",G78=""),"",E78-(G78*20))</f>
        <v/>
      </c>
      <c r="J78" s="18">
        <f>IF(OR(D78="",E78=""),"INCOMPLETE",IF(AND(D78&gt;=80,E78&lt;50),"CONTRADICTION",IF(AND(D78&gt;=70,E78&lt;70),"DEPENDENCY GAP","NO TRIGGER")))</f>
        <v/>
      </c>
      <c r="K78" s="18">
        <f>IF(J78="CONTRADICTION","HIGH",IF(J78="DEPENDENCY GAP","MEDIUM","—"))</f>
        <v/>
      </c>
      <c r="L78" s="18">
        <f>IF(J78="CONTRADICTION","Strong upstream claim is not supported by linked downstream capability/evidence. Trigger: Assessment architecture review.",IF(J78="DEPENDENCY GAP","Downstream capability materially trails upstream expectation. Trigger: Assessment architecture review.",""))</f>
        <v/>
      </c>
    </row>
    <row r="79">
      <c r="A79" s="18" t="inlineStr">
        <is>
          <t>CD05</t>
        </is>
      </c>
      <c r="B79" s="18" t="inlineStr">
        <is>
          <t>D02-I09</t>
        </is>
      </c>
      <c r="C79" s="18" t="inlineStr">
        <is>
          <t>D07-I10</t>
        </is>
      </c>
      <c r="D79" s="18">
        <f>'P0-3_Scorecard'!L20</f>
        <v/>
      </c>
      <c r="E79" s="18">
        <f>'P0-3_Scorecard'!L90</f>
        <v/>
      </c>
      <c r="F79" s="18">
        <f>'P0-3_Scorecard'!M20</f>
        <v/>
      </c>
      <c r="G79" s="18">
        <f>'P0-3_Scorecard'!M90</f>
        <v/>
      </c>
      <c r="H79" s="18">
        <f>IF(OR(D79="",F79=""),"",D79-(F79*20))</f>
        <v/>
      </c>
      <c r="I79" s="18">
        <f>IF(OR(E79="",G79=""),"",E79-(G79*20))</f>
        <v/>
      </c>
      <c r="J79" s="18">
        <f>IF(OR(D79="",E79=""),"INCOMPLETE",IF(AND(D79&gt;=80,E79&lt;50),"CONTRADICTION",IF(AND(D79&gt;=70,E79&lt;70),"DEPENDENCY GAP","NO TRIGGER")))</f>
        <v/>
      </c>
      <c r="K79" s="18">
        <f>IF(J79="CONTRADICTION","HIGH",IF(J79="DEPENDENCY GAP","MEDIUM","—"))</f>
        <v/>
      </c>
      <c r="L79" s="18">
        <f>IF(J79="CONTRADICTION","Strong upstream claim is not supported by linked downstream capability/evidence. Trigger: Assessment architecture review.",IF(J79="DEPENDENCY GAP","Downstream capability materially trails upstream expectation. Trigger: Assessment architecture review.",""))</f>
        <v/>
      </c>
    </row>
    <row r="80">
      <c r="A80" s="18" t="inlineStr">
        <is>
          <t>CD05</t>
        </is>
      </c>
      <c r="B80" s="18" t="inlineStr">
        <is>
          <t>D02-I09</t>
        </is>
      </c>
      <c r="C80" s="18" t="inlineStr">
        <is>
          <t>D07-I12</t>
        </is>
      </c>
      <c r="D80" s="18">
        <f>'P0-3_Scorecard'!L20</f>
        <v/>
      </c>
      <c r="E80" s="18">
        <f>'P0-3_Scorecard'!L92</f>
        <v/>
      </c>
      <c r="F80" s="18">
        <f>'P0-3_Scorecard'!M20</f>
        <v/>
      </c>
      <c r="G80" s="18">
        <f>'P0-3_Scorecard'!M92</f>
        <v/>
      </c>
      <c r="H80" s="18">
        <f>IF(OR(D80="",F80=""),"",D80-(F80*20))</f>
        <v/>
      </c>
      <c r="I80" s="18">
        <f>IF(OR(E80="",G80=""),"",E80-(G80*20))</f>
        <v/>
      </c>
      <c r="J80" s="18">
        <f>IF(OR(D80="",E80=""),"INCOMPLETE",IF(AND(D80&gt;=80,E80&lt;50),"CONTRADICTION",IF(AND(D80&gt;=70,E80&lt;70),"DEPENDENCY GAP","NO TRIGGER")))</f>
        <v/>
      </c>
      <c r="K80" s="18">
        <f>IF(J80="CONTRADICTION","HIGH",IF(J80="DEPENDENCY GAP","MEDIUM","—"))</f>
        <v/>
      </c>
      <c r="L80" s="18">
        <f>IF(J80="CONTRADICTION","Strong upstream claim is not supported by linked downstream capability/evidence. Trigger: Assessment architecture review.",IF(J80="DEPENDENCY GAP","Downstream capability materially trails upstream expectation. Trigger: Assessment architecture review.",""))</f>
        <v/>
      </c>
    </row>
    <row r="81">
      <c r="A81" s="18" t="inlineStr">
        <is>
          <t>CD06</t>
        </is>
      </c>
      <c r="B81" s="18" t="inlineStr">
        <is>
          <t>D02-I03</t>
        </is>
      </c>
      <c r="C81" s="18" t="inlineStr">
        <is>
          <t>D08-I02</t>
        </is>
      </c>
      <c r="D81" s="18">
        <f>'P0-3_Scorecard'!L14</f>
        <v/>
      </c>
      <c r="E81" s="18">
        <f>'P0-3_Scorecard'!L94</f>
        <v/>
      </c>
      <c r="F81" s="18">
        <f>'P0-3_Scorecard'!M14</f>
        <v/>
      </c>
      <c r="G81" s="18">
        <f>'P0-3_Scorecard'!M94</f>
        <v/>
      </c>
      <c r="H81" s="18">
        <f>IF(OR(D81="",F81=""),"",D81-(F81*20))</f>
        <v/>
      </c>
      <c r="I81" s="18">
        <f>IF(OR(E81="",G81=""),"",E81-(G81*20))</f>
        <v/>
      </c>
      <c r="J81" s="18">
        <f>IF(OR(D81="",E81=""),"INCOMPLETE",IF(AND(D81&gt;=80,E81&lt;50),"CONTRADICTION",IF(AND(D81&gt;=70,E81&lt;70),"DEPENDENCY GAP","NO TRIGGER")))</f>
        <v/>
      </c>
      <c r="K81" s="18">
        <f>IF(J81="CONTRADICTION","HIGH",IF(J81="DEPENDENCY GAP","MEDIUM","—"))</f>
        <v/>
      </c>
      <c r="L81" s="18">
        <f>IF(J81="CONTRADICTION","Strong upstream claim is not supported by linked downstream capability/evidence. Trigger: Digital control review.",IF(J81="DEPENDENCY GAP","Downstream capability materially trails upstream expectation. Trigger: Digital control review.",""))</f>
        <v/>
      </c>
    </row>
    <row r="82">
      <c r="A82" s="18" t="inlineStr">
        <is>
          <t>CD06</t>
        </is>
      </c>
      <c r="B82" s="18" t="inlineStr">
        <is>
          <t>D02-I03</t>
        </is>
      </c>
      <c r="C82" s="18" t="inlineStr">
        <is>
          <t>D08-I03</t>
        </is>
      </c>
      <c r="D82" s="18">
        <f>'P0-3_Scorecard'!L14</f>
        <v/>
      </c>
      <c r="E82" s="18">
        <f>'P0-3_Scorecard'!L95</f>
        <v/>
      </c>
      <c r="F82" s="18">
        <f>'P0-3_Scorecard'!M14</f>
        <v/>
      </c>
      <c r="G82" s="18">
        <f>'P0-3_Scorecard'!M95</f>
        <v/>
      </c>
      <c r="H82" s="18">
        <f>IF(OR(D82="",F82=""),"",D82-(F82*20))</f>
        <v/>
      </c>
      <c r="I82" s="18">
        <f>IF(OR(E82="",G82=""),"",E82-(G82*20))</f>
        <v/>
      </c>
      <c r="J82" s="18">
        <f>IF(OR(D82="",E82=""),"INCOMPLETE",IF(AND(D82&gt;=80,E82&lt;50),"CONTRADICTION",IF(AND(D82&gt;=70,E82&lt;70),"DEPENDENCY GAP","NO TRIGGER")))</f>
        <v/>
      </c>
      <c r="K82" s="18">
        <f>IF(J82="CONTRADICTION","HIGH",IF(J82="DEPENDENCY GAP","MEDIUM","—"))</f>
        <v/>
      </c>
      <c r="L82" s="18">
        <f>IF(J82="CONTRADICTION","Strong upstream claim is not supported by linked downstream capability/evidence. Trigger: Digital control review.",IF(J82="DEPENDENCY GAP","Downstream capability materially trails upstream expectation. Trigger: Digital control review.",""))</f>
        <v/>
      </c>
    </row>
    <row r="83">
      <c r="A83" s="18" t="inlineStr">
        <is>
          <t>CD06</t>
        </is>
      </c>
      <c r="B83" s="18" t="inlineStr">
        <is>
          <t>D02-I03</t>
        </is>
      </c>
      <c r="C83" s="18" t="inlineStr">
        <is>
          <t>D08-I07</t>
        </is>
      </c>
      <c r="D83" s="18">
        <f>'P0-3_Scorecard'!L14</f>
        <v/>
      </c>
      <c r="E83" s="18">
        <f>'P0-3_Scorecard'!L99</f>
        <v/>
      </c>
      <c r="F83" s="18">
        <f>'P0-3_Scorecard'!M14</f>
        <v/>
      </c>
      <c r="G83" s="18">
        <f>'P0-3_Scorecard'!M99</f>
        <v/>
      </c>
      <c r="H83" s="18">
        <f>IF(OR(D83="",F83=""),"",D83-(F83*20))</f>
        <v/>
      </c>
      <c r="I83" s="18">
        <f>IF(OR(E83="",G83=""),"",E83-(G83*20))</f>
        <v/>
      </c>
      <c r="J83" s="18">
        <f>IF(OR(D83="",E83=""),"INCOMPLETE",IF(AND(D83&gt;=80,E83&lt;50),"CONTRADICTION",IF(AND(D83&gt;=70,E83&lt;70),"DEPENDENCY GAP","NO TRIGGER")))</f>
        <v/>
      </c>
      <c r="K83" s="18">
        <f>IF(J83="CONTRADICTION","HIGH",IF(J83="DEPENDENCY GAP","MEDIUM","—"))</f>
        <v/>
      </c>
      <c r="L83" s="18">
        <f>IF(J83="CONTRADICTION","Strong upstream claim is not supported by linked downstream capability/evidence. Trigger: Digital control review.",IF(J83="DEPENDENCY GAP","Downstream capability materially trails upstream expectation. Trigger: Digital control review.",""))</f>
        <v/>
      </c>
    </row>
    <row r="84">
      <c r="A84" s="18" t="inlineStr">
        <is>
          <t>CD06</t>
        </is>
      </c>
      <c r="B84" s="18" t="inlineStr">
        <is>
          <t>D02-I03</t>
        </is>
      </c>
      <c r="C84" s="18" t="inlineStr">
        <is>
          <t>D08-I08</t>
        </is>
      </c>
      <c r="D84" s="18">
        <f>'P0-3_Scorecard'!L14</f>
        <v/>
      </c>
      <c r="E84" s="18">
        <f>'P0-3_Scorecard'!L100</f>
        <v/>
      </c>
      <c r="F84" s="18">
        <f>'P0-3_Scorecard'!M14</f>
        <v/>
      </c>
      <c r="G84" s="18">
        <f>'P0-3_Scorecard'!M100</f>
        <v/>
      </c>
      <c r="H84" s="18">
        <f>IF(OR(D84="",F84=""),"",D84-(F84*20))</f>
        <v/>
      </c>
      <c r="I84" s="18">
        <f>IF(OR(E84="",G84=""),"",E84-(G84*20))</f>
        <v/>
      </c>
      <c r="J84" s="18">
        <f>IF(OR(D84="",E84=""),"INCOMPLETE",IF(AND(D84&gt;=80,E84&lt;50),"CONTRADICTION",IF(AND(D84&gt;=70,E84&lt;70),"DEPENDENCY GAP","NO TRIGGER")))</f>
        <v/>
      </c>
      <c r="K84" s="18">
        <f>IF(J84="CONTRADICTION","HIGH",IF(J84="DEPENDENCY GAP","MEDIUM","—"))</f>
        <v/>
      </c>
      <c r="L84" s="18">
        <f>IF(J84="CONTRADICTION","Strong upstream claim is not supported by linked downstream capability/evidence. Trigger: Digital control review.",IF(J84="DEPENDENCY GAP","Downstream capability materially trails upstream expectation. Trigger: Digital control review.",""))</f>
        <v/>
      </c>
    </row>
    <row r="85">
      <c r="A85" s="18" t="inlineStr">
        <is>
          <t>CD06</t>
        </is>
      </c>
      <c r="B85" s="18" t="inlineStr">
        <is>
          <t>D02-I03</t>
        </is>
      </c>
      <c r="C85" s="18" t="inlineStr">
        <is>
          <t>D08-I10</t>
        </is>
      </c>
      <c r="D85" s="18">
        <f>'P0-3_Scorecard'!L14</f>
        <v/>
      </c>
      <c r="E85" s="18">
        <f>'P0-3_Scorecard'!L102</f>
        <v/>
      </c>
      <c r="F85" s="18">
        <f>'P0-3_Scorecard'!M14</f>
        <v/>
      </c>
      <c r="G85" s="18">
        <f>'P0-3_Scorecard'!M102</f>
        <v/>
      </c>
      <c r="H85" s="18">
        <f>IF(OR(D85="",F85=""),"",D85-(F85*20))</f>
        <v/>
      </c>
      <c r="I85" s="18">
        <f>IF(OR(E85="",G85=""),"",E85-(G85*20))</f>
        <v/>
      </c>
      <c r="J85" s="18">
        <f>IF(OR(D85="",E85=""),"INCOMPLETE",IF(AND(D85&gt;=80,E85&lt;50),"CONTRADICTION",IF(AND(D85&gt;=70,E85&lt;70),"DEPENDENCY GAP","NO TRIGGER")))</f>
        <v/>
      </c>
      <c r="K85" s="18">
        <f>IF(J85="CONTRADICTION","HIGH",IF(J85="DEPENDENCY GAP","MEDIUM","—"))</f>
        <v/>
      </c>
      <c r="L85" s="18">
        <f>IF(J85="CONTRADICTION","Strong upstream claim is not supported by linked downstream capability/evidence. Trigger: Digital control review.",IF(J85="DEPENDENCY GAP","Downstream capability materially trails upstream expectation. Trigger: Digital control review.",""))</f>
        <v/>
      </c>
    </row>
    <row r="86">
      <c r="A86" s="18" t="inlineStr">
        <is>
          <t>CD06</t>
        </is>
      </c>
      <c r="B86" s="18" t="inlineStr">
        <is>
          <t>D02-I04</t>
        </is>
      </c>
      <c r="C86" s="18" t="inlineStr">
        <is>
          <t>D08-I02</t>
        </is>
      </c>
      <c r="D86" s="18">
        <f>'P0-3_Scorecard'!L15</f>
        <v/>
      </c>
      <c r="E86" s="18">
        <f>'P0-3_Scorecard'!L94</f>
        <v/>
      </c>
      <c r="F86" s="18">
        <f>'P0-3_Scorecard'!M15</f>
        <v/>
      </c>
      <c r="G86" s="18">
        <f>'P0-3_Scorecard'!M94</f>
        <v/>
      </c>
      <c r="H86" s="18">
        <f>IF(OR(D86="",F86=""),"",D86-(F86*20))</f>
        <v/>
      </c>
      <c r="I86" s="18">
        <f>IF(OR(E86="",G86=""),"",E86-(G86*20))</f>
        <v/>
      </c>
      <c r="J86" s="18">
        <f>IF(OR(D86="",E86=""),"INCOMPLETE",IF(AND(D86&gt;=80,E86&lt;50),"CONTRADICTION",IF(AND(D86&gt;=70,E86&lt;70),"DEPENDENCY GAP","NO TRIGGER")))</f>
        <v/>
      </c>
      <c r="K86" s="18">
        <f>IF(J86="CONTRADICTION","HIGH",IF(J86="DEPENDENCY GAP","MEDIUM","—"))</f>
        <v/>
      </c>
      <c r="L86" s="18">
        <f>IF(J86="CONTRADICTION","Strong upstream claim is not supported by linked downstream capability/evidence. Trigger: Digital control review.",IF(J86="DEPENDENCY GAP","Downstream capability materially trails upstream expectation. Trigger: Digital control review.",""))</f>
        <v/>
      </c>
    </row>
    <row r="87">
      <c r="A87" s="18" t="inlineStr">
        <is>
          <t>CD06</t>
        </is>
      </c>
      <c r="B87" s="18" t="inlineStr">
        <is>
          <t>D02-I04</t>
        </is>
      </c>
      <c r="C87" s="18" t="inlineStr">
        <is>
          <t>D08-I03</t>
        </is>
      </c>
      <c r="D87" s="18">
        <f>'P0-3_Scorecard'!L15</f>
        <v/>
      </c>
      <c r="E87" s="18">
        <f>'P0-3_Scorecard'!L95</f>
        <v/>
      </c>
      <c r="F87" s="18">
        <f>'P0-3_Scorecard'!M15</f>
        <v/>
      </c>
      <c r="G87" s="18">
        <f>'P0-3_Scorecard'!M95</f>
        <v/>
      </c>
      <c r="H87" s="18">
        <f>IF(OR(D87="",F87=""),"",D87-(F87*20))</f>
        <v/>
      </c>
      <c r="I87" s="18">
        <f>IF(OR(E87="",G87=""),"",E87-(G87*20))</f>
        <v/>
      </c>
      <c r="J87" s="18">
        <f>IF(OR(D87="",E87=""),"INCOMPLETE",IF(AND(D87&gt;=80,E87&lt;50),"CONTRADICTION",IF(AND(D87&gt;=70,E87&lt;70),"DEPENDENCY GAP","NO TRIGGER")))</f>
        <v/>
      </c>
      <c r="K87" s="18">
        <f>IF(J87="CONTRADICTION","HIGH",IF(J87="DEPENDENCY GAP","MEDIUM","—"))</f>
        <v/>
      </c>
      <c r="L87" s="18">
        <f>IF(J87="CONTRADICTION","Strong upstream claim is not supported by linked downstream capability/evidence. Trigger: Digital control review.",IF(J87="DEPENDENCY GAP","Downstream capability materially trails upstream expectation. Trigger: Digital control review.",""))</f>
        <v/>
      </c>
    </row>
    <row r="88">
      <c r="A88" s="18" t="inlineStr">
        <is>
          <t>CD06</t>
        </is>
      </c>
      <c r="B88" s="18" t="inlineStr">
        <is>
          <t>D02-I04</t>
        </is>
      </c>
      <c r="C88" s="18" t="inlineStr">
        <is>
          <t>D08-I07</t>
        </is>
      </c>
      <c r="D88" s="18">
        <f>'P0-3_Scorecard'!L15</f>
        <v/>
      </c>
      <c r="E88" s="18">
        <f>'P0-3_Scorecard'!L99</f>
        <v/>
      </c>
      <c r="F88" s="18">
        <f>'P0-3_Scorecard'!M15</f>
        <v/>
      </c>
      <c r="G88" s="18">
        <f>'P0-3_Scorecard'!M99</f>
        <v/>
      </c>
      <c r="H88" s="18">
        <f>IF(OR(D88="",F88=""),"",D88-(F88*20))</f>
        <v/>
      </c>
      <c r="I88" s="18">
        <f>IF(OR(E88="",G88=""),"",E88-(G88*20))</f>
        <v/>
      </c>
      <c r="J88" s="18">
        <f>IF(OR(D88="",E88=""),"INCOMPLETE",IF(AND(D88&gt;=80,E88&lt;50),"CONTRADICTION",IF(AND(D88&gt;=70,E88&lt;70),"DEPENDENCY GAP","NO TRIGGER")))</f>
        <v/>
      </c>
      <c r="K88" s="18">
        <f>IF(J88="CONTRADICTION","HIGH",IF(J88="DEPENDENCY GAP","MEDIUM","—"))</f>
        <v/>
      </c>
      <c r="L88" s="18">
        <f>IF(J88="CONTRADICTION","Strong upstream claim is not supported by linked downstream capability/evidence. Trigger: Digital control review.",IF(J88="DEPENDENCY GAP","Downstream capability materially trails upstream expectation. Trigger: Digital control review.",""))</f>
        <v/>
      </c>
    </row>
    <row r="89">
      <c r="A89" s="18" t="inlineStr">
        <is>
          <t>CD06</t>
        </is>
      </c>
      <c r="B89" s="18" t="inlineStr">
        <is>
          <t>D02-I04</t>
        </is>
      </c>
      <c r="C89" s="18" t="inlineStr">
        <is>
          <t>D08-I08</t>
        </is>
      </c>
      <c r="D89" s="18">
        <f>'P0-3_Scorecard'!L15</f>
        <v/>
      </c>
      <c r="E89" s="18">
        <f>'P0-3_Scorecard'!L100</f>
        <v/>
      </c>
      <c r="F89" s="18">
        <f>'P0-3_Scorecard'!M15</f>
        <v/>
      </c>
      <c r="G89" s="18">
        <f>'P0-3_Scorecard'!M100</f>
        <v/>
      </c>
      <c r="H89" s="18">
        <f>IF(OR(D89="",F89=""),"",D89-(F89*20))</f>
        <v/>
      </c>
      <c r="I89" s="18">
        <f>IF(OR(E89="",G89=""),"",E89-(G89*20))</f>
        <v/>
      </c>
      <c r="J89" s="18">
        <f>IF(OR(D89="",E89=""),"INCOMPLETE",IF(AND(D89&gt;=80,E89&lt;50),"CONTRADICTION",IF(AND(D89&gt;=70,E89&lt;70),"DEPENDENCY GAP","NO TRIGGER")))</f>
        <v/>
      </c>
      <c r="K89" s="18">
        <f>IF(J89="CONTRADICTION","HIGH",IF(J89="DEPENDENCY GAP","MEDIUM","—"))</f>
        <v/>
      </c>
      <c r="L89" s="18">
        <f>IF(J89="CONTRADICTION","Strong upstream claim is not supported by linked downstream capability/evidence. Trigger: Digital control review.",IF(J89="DEPENDENCY GAP","Downstream capability materially trails upstream expectation. Trigger: Digital control review.",""))</f>
        <v/>
      </c>
    </row>
    <row r="90">
      <c r="A90" s="18" t="inlineStr">
        <is>
          <t>CD06</t>
        </is>
      </c>
      <c r="B90" s="18" t="inlineStr">
        <is>
          <t>D02-I04</t>
        </is>
      </c>
      <c r="C90" s="18" t="inlineStr">
        <is>
          <t>D08-I10</t>
        </is>
      </c>
      <c r="D90" s="18">
        <f>'P0-3_Scorecard'!L15</f>
        <v/>
      </c>
      <c r="E90" s="18">
        <f>'P0-3_Scorecard'!L102</f>
        <v/>
      </c>
      <c r="F90" s="18">
        <f>'P0-3_Scorecard'!M15</f>
        <v/>
      </c>
      <c r="G90" s="18">
        <f>'P0-3_Scorecard'!M102</f>
        <v/>
      </c>
      <c r="H90" s="18">
        <f>IF(OR(D90="",F90=""),"",D90-(F90*20))</f>
        <v/>
      </c>
      <c r="I90" s="18">
        <f>IF(OR(E90="",G90=""),"",E90-(G90*20))</f>
        <v/>
      </c>
      <c r="J90" s="18">
        <f>IF(OR(D90="",E90=""),"INCOMPLETE",IF(AND(D90&gt;=80,E90&lt;50),"CONTRADICTION",IF(AND(D90&gt;=70,E90&lt;70),"DEPENDENCY GAP","NO TRIGGER")))</f>
        <v/>
      </c>
      <c r="K90" s="18">
        <f>IF(J90="CONTRADICTION","HIGH",IF(J90="DEPENDENCY GAP","MEDIUM","—"))</f>
        <v/>
      </c>
      <c r="L90" s="18">
        <f>IF(J90="CONTRADICTION","Strong upstream claim is not supported by linked downstream capability/evidence. Trigger: Digital control review.",IF(J90="DEPENDENCY GAP","Downstream capability materially trails upstream expectation. Trigger: Digital control review.",""))</f>
        <v/>
      </c>
    </row>
    <row r="91">
      <c r="A91" s="18" t="inlineStr">
        <is>
          <t>CD06</t>
        </is>
      </c>
      <c r="B91" s="18" t="inlineStr">
        <is>
          <t>D02-I07</t>
        </is>
      </c>
      <c r="C91" s="18" t="inlineStr">
        <is>
          <t>D08-I02</t>
        </is>
      </c>
      <c r="D91" s="18">
        <f>'P0-3_Scorecard'!L18</f>
        <v/>
      </c>
      <c r="E91" s="18">
        <f>'P0-3_Scorecard'!L94</f>
        <v/>
      </c>
      <c r="F91" s="18">
        <f>'P0-3_Scorecard'!M18</f>
        <v/>
      </c>
      <c r="G91" s="18">
        <f>'P0-3_Scorecard'!M94</f>
        <v/>
      </c>
      <c r="H91" s="18">
        <f>IF(OR(D91="",F91=""),"",D91-(F91*20))</f>
        <v/>
      </c>
      <c r="I91" s="18">
        <f>IF(OR(E91="",G91=""),"",E91-(G91*20))</f>
        <v/>
      </c>
      <c r="J91" s="18">
        <f>IF(OR(D91="",E91=""),"INCOMPLETE",IF(AND(D91&gt;=80,E91&lt;50),"CONTRADICTION",IF(AND(D91&gt;=70,E91&lt;70),"DEPENDENCY GAP","NO TRIGGER")))</f>
        <v/>
      </c>
      <c r="K91" s="18">
        <f>IF(J91="CONTRADICTION","HIGH",IF(J91="DEPENDENCY GAP","MEDIUM","—"))</f>
        <v/>
      </c>
      <c r="L91" s="18">
        <f>IF(J91="CONTRADICTION","Strong upstream claim is not supported by linked downstream capability/evidence. Trigger: Digital control review.",IF(J91="DEPENDENCY GAP","Downstream capability materially trails upstream expectation. Trigger: Digital control review.",""))</f>
        <v/>
      </c>
    </row>
    <row r="92">
      <c r="A92" s="18" t="inlineStr">
        <is>
          <t>CD06</t>
        </is>
      </c>
      <c r="B92" s="18" t="inlineStr">
        <is>
          <t>D02-I07</t>
        </is>
      </c>
      <c r="C92" s="18" t="inlineStr">
        <is>
          <t>D08-I03</t>
        </is>
      </c>
      <c r="D92" s="18">
        <f>'P0-3_Scorecard'!L18</f>
        <v/>
      </c>
      <c r="E92" s="18">
        <f>'P0-3_Scorecard'!L95</f>
        <v/>
      </c>
      <c r="F92" s="18">
        <f>'P0-3_Scorecard'!M18</f>
        <v/>
      </c>
      <c r="G92" s="18">
        <f>'P0-3_Scorecard'!M95</f>
        <v/>
      </c>
      <c r="H92" s="18">
        <f>IF(OR(D92="",F92=""),"",D92-(F92*20))</f>
        <v/>
      </c>
      <c r="I92" s="18">
        <f>IF(OR(E92="",G92=""),"",E92-(G92*20))</f>
        <v/>
      </c>
      <c r="J92" s="18">
        <f>IF(OR(D92="",E92=""),"INCOMPLETE",IF(AND(D92&gt;=80,E92&lt;50),"CONTRADICTION",IF(AND(D92&gt;=70,E92&lt;70),"DEPENDENCY GAP","NO TRIGGER")))</f>
        <v/>
      </c>
      <c r="K92" s="18">
        <f>IF(J92="CONTRADICTION","HIGH",IF(J92="DEPENDENCY GAP","MEDIUM","—"))</f>
        <v/>
      </c>
      <c r="L92" s="18">
        <f>IF(J92="CONTRADICTION","Strong upstream claim is not supported by linked downstream capability/evidence. Trigger: Digital control review.",IF(J92="DEPENDENCY GAP","Downstream capability materially trails upstream expectation. Trigger: Digital control review.",""))</f>
        <v/>
      </c>
    </row>
    <row r="93">
      <c r="A93" s="18" t="inlineStr">
        <is>
          <t>CD06</t>
        </is>
      </c>
      <c r="B93" s="18" t="inlineStr">
        <is>
          <t>D02-I07</t>
        </is>
      </c>
      <c r="C93" s="18" t="inlineStr">
        <is>
          <t>D08-I07</t>
        </is>
      </c>
      <c r="D93" s="18">
        <f>'P0-3_Scorecard'!L18</f>
        <v/>
      </c>
      <c r="E93" s="18">
        <f>'P0-3_Scorecard'!L99</f>
        <v/>
      </c>
      <c r="F93" s="18">
        <f>'P0-3_Scorecard'!M18</f>
        <v/>
      </c>
      <c r="G93" s="18">
        <f>'P0-3_Scorecard'!M99</f>
        <v/>
      </c>
      <c r="H93" s="18">
        <f>IF(OR(D93="",F93=""),"",D93-(F93*20))</f>
        <v/>
      </c>
      <c r="I93" s="18">
        <f>IF(OR(E93="",G93=""),"",E93-(G93*20))</f>
        <v/>
      </c>
      <c r="J93" s="18">
        <f>IF(OR(D93="",E93=""),"INCOMPLETE",IF(AND(D93&gt;=80,E93&lt;50),"CONTRADICTION",IF(AND(D93&gt;=70,E93&lt;70),"DEPENDENCY GAP","NO TRIGGER")))</f>
        <v/>
      </c>
      <c r="K93" s="18">
        <f>IF(J93="CONTRADICTION","HIGH",IF(J93="DEPENDENCY GAP","MEDIUM","—"))</f>
        <v/>
      </c>
      <c r="L93" s="18">
        <f>IF(J93="CONTRADICTION","Strong upstream claim is not supported by linked downstream capability/evidence. Trigger: Digital control review.",IF(J93="DEPENDENCY GAP","Downstream capability materially trails upstream expectation. Trigger: Digital control review.",""))</f>
        <v/>
      </c>
    </row>
    <row r="94">
      <c r="A94" s="18" t="inlineStr">
        <is>
          <t>CD06</t>
        </is>
      </c>
      <c r="B94" s="18" t="inlineStr">
        <is>
          <t>D02-I07</t>
        </is>
      </c>
      <c r="C94" s="18" t="inlineStr">
        <is>
          <t>D08-I08</t>
        </is>
      </c>
      <c r="D94" s="18">
        <f>'P0-3_Scorecard'!L18</f>
        <v/>
      </c>
      <c r="E94" s="18">
        <f>'P0-3_Scorecard'!L100</f>
        <v/>
      </c>
      <c r="F94" s="18">
        <f>'P0-3_Scorecard'!M18</f>
        <v/>
      </c>
      <c r="G94" s="18">
        <f>'P0-3_Scorecard'!M100</f>
        <v/>
      </c>
      <c r="H94" s="18">
        <f>IF(OR(D94="",F94=""),"",D94-(F94*20))</f>
        <v/>
      </c>
      <c r="I94" s="18">
        <f>IF(OR(E94="",G94=""),"",E94-(G94*20))</f>
        <v/>
      </c>
      <c r="J94" s="18">
        <f>IF(OR(D94="",E94=""),"INCOMPLETE",IF(AND(D94&gt;=80,E94&lt;50),"CONTRADICTION",IF(AND(D94&gt;=70,E94&lt;70),"DEPENDENCY GAP","NO TRIGGER")))</f>
        <v/>
      </c>
      <c r="K94" s="18">
        <f>IF(J94="CONTRADICTION","HIGH",IF(J94="DEPENDENCY GAP","MEDIUM","—"))</f>
        <v/>
      </c>
      <c r="L94" s="18">
        <f>IF(J94="CONTRADICTION","Strong upstream claim is not supported by linked downstream capability/evidence. Trigger: Digital control review.",IF(J94="DEPENDENCY GAP","Downstream capability materially trails upstream expectation. Trigger: Digital control review.",""))</f>
        <v/>
      </c>
    </row>
    <row r="95">
      <c r="A95" s="18" t="inlineStr">
        <is>
          <t>CD06</t>
        </is>
      </c>
      <c r="B95" s="18" t="inlineStr">
        <is>
          <t>D02-I07</t>
        </is>
      </c>
      <c r="C95" s="18" t="inlineStr">
        <is>
          <t>D08-I10</t>
        </is>
      </c>
      <c r="D95" s="18">
        <f>'P0-3_Scorecard'!L18</f>
        <v/>
      </c>
      <c r="E95" s="18">
        <f>'P0-3_Scorecard'!L102</f>
        <v/>
      </c>
      <c r="F95" s="18">
        <f>'P0-3_Scorecard'!M18</f>
        <v/>
      </c>
      <c r="G95" s="18">
        <f>'P0-3_Scorecard'!M102</f>
        <v/>
      </c>
      <c r="H95" s="18">
        <f>IF(OR(D95="",F95=""),"",D95-(F95*20))</f>
        <v/>
      </c>
      <c r="I95" s="18">
        <f>IF(OR(E95="",G95=""),"",E95-(G95*20))</f>
        <v/>
      </c>
      <c r="J95" s="18">
        <f>IF(OR(D95="",E95=""),"INCOMPLETE",IF(AND(D95&gt;=80,E95&lt;50),"CONTRADICTION",IF(AND(D95&gt;=70,E95&lt;70),"DEPENDENCY GAP","NO TRIGGER")))</f>
        <v/>
      </c>
      <c r="K95" s="18">
        <f>IF(J95="CONTRADICTION","HIGH",IF(J95="DEPENDENCY GAP","MEDIUM","—"))</f>
        <v/>
      </c>
      <c r="L95" s="18">
        <f>IF(J95="CONTRADICTION","Strong upstream claim is not supported by linked downstream capability/evidence. Trigger: Digital control review.",IF(J95="DEPENDENCY GAP","Downstream capability materially trails upstream expectation. Trigger: Digital control review.",""))</f>
        <v/>
      </c>
    </row>
    <row r="96">
      <c r="A96" s="18" t="inlineStr">
        <is>
          <t>CD06</t>
        </is>
      </c>
      <c r="B96" s="18" t="inlineStr">
        <is>
          <t>D02-I10</t>
        </is>
      </c>
      <c r="C96" s="18" t="inlineStr">
        <is>
          <t>D08-I02</t>
        </is>
      </c>
      <c r="D96" s="18">
        <f>'P0-3_Scorecard'!L21</f>
        <v/>
      </c>
      <c r="E96" s="18">
        <f>'P0-3_Scorecard'!L94</f>
        <v/>
      </c>
      <c r="F96" s="18">
        <f>'P0-3_Scorecard'!M21</f>
        <v/>
      </c>
      <c r="G96" s="18">
        <f>'P0-3_Scorecard'!M94</f>
        <v/>
      </c>
      <c r="H96" s="18">
        <f>IF(OR(D96="",F96=""),"",D96-(F96*20))</f>
        <v/>
      </c>
      <c r="I96" s="18">
        <f>IF(OR(E96="",G96=""),"",E96-(G96*20))</f>
        <v/>
      </c>
      <c r="J96" s="18">
        <f>IF(OR(D96="",E96=""),"INCOMPLETE",IF(AND(D96&gt;=80,E96&lt;50),"CONTRADICTION",IF(AND(D96&gt;=70,E96&lt;70),"DEPENDENCY GAP","NO TRIGGER")))</f>
        <v/>
      </c>
      <c r="K96" s="18">
        <f>IF(J96="CONTRADICTION","HIGH",IF(J96="DEPENDENCY GAP","MEDIUM","—"))</f>
        <v/>
      </c>
      <c r="L96" s="18">
        <f>IF(J96="CONTRADICTION","Strong upstream claim is not supported by linked downstream capability/evidence. Trigger: Digital control review.",IF(J96="DEPENDENCY GAP","Downstream capability materially trails upstream expectation. Trigger: Digital control review.",""))</f>
        <v/>
      </c>
    </row>
    <row r="97">
      <c r="A97" s="18" t="inlineStr">
        <is>
          <t>CD06</t>
        </is>
      </c>
      <c r="B97" s="18" t="inlineStr">
        <is>
          <t>D02-I10</t>
        </is>
      </c>
      <c r="C97" s="18" t="inlineStr">
        <is>
          <t>D08-I03</t>
        </is>
      </c>
      <c r="D97" s="18">
        <f>'P0-3_Scorecard'!L21</f>
        <v/>
      </c>
      <c r="E97" s="18">
        <f>'P0-3_Scorecard'!L95</f>
        <v/>
      </c>
      <c r="F97" s="18">
        <f>'P0-3_Scorecard'!M21</f>
        <v/>
      </c>
      <c r="G97" s="18">
        <f>'P0-3_Scorecard'!M95</f>
        <v/>
      </c>
      <c r="H97" s="18">
        <f>IF(OR(D97="",F97=""),"",D97-(F97*20))</f>
        <v/>
      </c>
      <c r="I97" s="18">
        <f>IF(OR(E97="",G97=""),"",E97-(G97*20))</f>
        <v/>
      </c>
      <c r="J97" s="18">
        <f>IF(OR(D97="",E97=""),"INCOMPLETE",IF(AND(D97&gt;=80,E97&lt;50),"CONTRADICTION",IF(AND(D97&gt;=70,E97&lt;70),"DEPENDENCY GAP","NO TRIGGER")))</f>
        <v/>
      </c>
      <c r="K97" s="18">
        <f>IF(J97="CONTRADICTION","HIGH",IF(J97="DEPENDENCY GAP","MEDIUM","—"))</f>
        <v/>
      </c>
      <c r="L97" s="18">
        <f>IF(J97="CONTRADICTION","Strong upstream claim is not supported by linked downstream capability/evidence. Trigger: Digital control review.",IF(J97="DEPENDENCY GAP","Downstream capability materially trails upstream expectation. Trigger: Digital control review.",""))</f>
        <v/>
      </c>
    </row>
    <row r="98">
      <c r="A98" s="18" t="inlineStr">
        <is>
          <t>CD06</t>
        </is>
      </c>
      <c r="B98" s="18" t="inlineStr">
        <is>
          <t>D02-I10</t>
        </is>
      </c>
      <c r="C98" s="18" t="inlineStr">
        <is>
          <t>D08-I07</t>
        </is>
      </c>
      <c r="D98" s="18">
        <f>'P0-3_Scorecard'!L21</f>
        <v/>
      </c>
      <c r="E98" s="18">
        <f>'P0-3_Scorecard'!L99</f>
        <v/>
      </c>
      <c r="F98" s="18">
        <f>'P0-3_Scorecard'!M21</f>
        <v/>
      </c>
      <c r="G98" s="18">
        <f>'P0-3_Scorecard'!M99</f>
        <v/>
      </c>
      <c r="H98" s="18">
        <f>IF(OR(D98="",F98=""),"",D98-(F98*20))</f>
        <v/>
      </c>
      <c r="I98" s="18">
        <f>IF(OR(E98="",G98=""),"",E98-(G98*20))</f>
        <v/>
      </c>
      <c r="J98" s="18">
        <f>IF(OR(D98="",E98=""),"INCOMPLETE",IF(AND(D98&gt;=80,E98&lt;50),"CONTRADICTION",IF(AND(D98&gt;=70,E98&lt;70),"DEPENDENCY GAP","NO TRIGGER")))</f>
        <v/>
      </c>
      <c r="K98" s="18">
        <f>IF(J98="CONTRADICTION","HIGH",IF(J98="DEPENDENCY GAP","MEDIUM","—"))</f>
        <v/>
      </c>
      <c r="L98" s="18">
        <f>IF(J98="CONTRADICTION","Strong upstream claim is not supported by linked downstream capability/evidence. Trigger: Digital control review.",IF(J98="DEPENDENCY GAP","Downstream capability materially trails upstream expectation. Trigger: Digital control review.",""))</f>
        <v/>
      </c>
    </row>
    <row r="99">
      <c r="A99" s="18" t="inlineStr">
        <is>
          <t>CD06</t>
        </is>
      </c>
      <c r="B99" s="18" t="inlineStr">
        <is>
          <t>D02-I10</t>
        </is>
      </c>
      <c r="C99" s="18" t="inlineStr">
        <is>
          <t>D08-I08</t>
        </is>
      </c>
      <c r="D99" s="18">
        <f>'P0-3_Scorecard'!L21</f>
        <v/>
      </c>
      <c r="E99" s="18">
        <f>'P0-3_Scorecard'!L100</f>
        <v/>
      </c>
      <c r="F99" s="18">
        <f>'P0-3_Scorecard'!M21</f>
        <v/>
      </c>
      <c r="G99" s="18">
        <f>'P0-3_Scorecard'!M100</f>
        <v/>
      </c>
      <c r="H99" s="18">
        <f>IF(OR(D99="",F99=""),"",D99-(F99*20))</f>
        <v/>
      </c>
      <c r="I99" s="18">
        <f>IF(OR(E99="",G99=""),"",E99-(G99*20))</f>
        <v/>
      </c>
      <c r="J99" s="18">
        <f>IF(OR(D99="",E99=""),"INCOMPLETE",IF(AND(D99&gt;=80,E99&lt;50),"CONTRADICTION",IF(AND(D99&gt;=70,E99&lt;70),"DEPENDENCY GAP","NO TRIGGER")))</f>
        <v/>
      </c>
      <c r="K99" s="18">
        <f>IF(J99="CONTRADICTION","HIGH",IF(J99="DEPENDENCY GAP","MEDIUM","—"))</f>
        <v/>
      </c>
      <c r="L99" s="18">
        <f>IF(J99="CONTRADICTION","Strong upstream claim is not supported by linked downstream capability/evidence. Trigger: Digital control review.",IF(J99="DEPENDENCY GAP","Downstream capability materially trails upstream expectation. Trigger: Digital control review.",""))</f>
        <v/>
      </c>
    </row>
    <row r="100">
      <c r="A100" s="18" t="inlineStr">
        <is>
          <t>CD06</t>
        </is>
      </c>
      <c r="B100" s="18" t="inlineStr">
        <is>
          <t>D02-I10</t>
        </is>
      </c>
      <c r="C100" s="18" t="inlineStr">
        <is>
          <t>D08-I10</t>
        </is>
      </c>
      <c r="D100" s="18">
        <f>'P0-3_Scorecard'!L21</f>
        <v/>
      </c>
      <c r="E100" s="18">
        <f>'P0-3_Scorecard'!L102</f>
        <v/>
      </c>
      <c r="F100" s="18">
        <f>'P0-3_Scorecard'!M21</f>
        <v/>
      </c>
      <c r="G100" s="18">
        <f>'P0-3_Scorecard'!M102</f>
        <v/>
      </c>
      <c r="H100" s="18">
        <f>IF(OR(D100="",F100=""),"",D100-(F100*20))</f>
        <v/>
      </c>
      <c r="I100" s="18">
        <f>IF(OR(E100="",G100=""),"",E100-(G100*20))</f>
        <v/>
      </c>
      <c r="J100" s="18">
        <f>IF(OR(D100="",E100=""),"INCOMPLETE",IF(AND(D100&gt;=80,E100&lt;50),"CONTRADICTION",IF(AND(D100&gt;=70,E100&lt;70),"DEPENDENCY GAP","NO TRIGGER")))</f>
        <v/>
      </c>
      <c r="K100" s="18">
        <f>IF(J100="CONTRADICTION","HIGH",IF(J100="DEPENDENCY GAP","MEDIUM","—"))</f>
        <v/>
      </c>
      <c r="L100" s="18">
        <f>IF(J100="CONTRADICTION","Strong upstream claim is not supported by linked downstream capability/evidence. Trigger: Digital control review.",IF(J100="DEPENDENCY GAP","Downstream capability materially trails upstream expectation. Trigger: Digital control review.",""))</f>
        <v/>
      </c>
    </row>
    <row r="101">
      <c r="A101" s="18" t="inlineStr">
        <is>
          <t>CD07</t>
        </is>
      </c>
      <c r="B101" s="18" t="inlineStr">
        <is>
          <t>D02-I12</t>
        </is>
      </c>
      <c r="C101" s="18" t="inlineStr">
        <is>
          <t>D10-I04</t>
        </is>
      </c>
      <c r="D101" s="18">
        <f>'P0-3_Scorecard'!L23</f>
        <v/>
      </c>
      <c r="E101" s="18">
        <f>'P0-3_Scorecard'!L120</f>
        <v/>
      </c>
      <c r="F101" s="18">
        <f>'P0-3_Scorecard'!M23</f>
        <v/>
      </c>
      <c r="G101" s="18">
        <f>'P0-3_Scorecard'!M120</f>
        <v/>
      </c>
      <c r="H101" s="18">
        <f>IF(OR(D101="",F101=""),"",D101-(F101*20))</f>
        <v/>
      </c>
      <c r="I101" s="18">
        <f>IF(OR(E101="",G101=""),"",E101-(G101*20))</f>
        <v/>
      </c>
      <c r="J101" s="18">
        <f>IF(OR(D101="",E101=""),"INCOMPLETE",IF(AND(D101&gt;=80,E101&lt;50),"CONTRADICTION",IF(AND(D101&gt;=70,E101&lt;70),"DEPENDENCY GAP","NO TRIGGER")))</f>
        <v/>
      </c>
      <c r="K101" s="18">
        <f>IF(J101="CONTRADICTION","HIGH",IF(J101="DEPENDENCY GAP","MEDIUM","—"))</f>
        <v/>
      </c>
      <c r="L101" s="18">
        <f>IF(J101="CONTRADICTION","Strong upstream claim is not supported by linked downstream capability/evidence. Trigger: Research governance review.",IF(J101="DEPENDENCY GAP","Downstream capability materially trails upstream expectation. Trigger: Research governance review.",""))</f>
        <v/>
      </c>
    </row>
    <row r="102">
      <c r="A102" s="18" t="inlineStr">
        <is>
          <t>CD07</t>
        </is>
      </c>
      <c r="B102" s="18" t="inlineStr">
        <is>
          <t>D02-I12</t>
        </is>
      </c>
      <c r="C102" s="18" t="inlineStr">
        <is>
          <t>D10-I06</t>
        </is>
      </c>
      <c r="D102" s="18">
        <f>'P0-3_Scorecard'!L23</f>
        <v/>
      </c>
      <c r="E102" s="18">
        <f>'P0-3_Scorecard'!L122</f>
        <v/>
      </c>
      <c r="F102" s="18">
        <f>'P0-3_Scorecard'!M23</f>
        <v/>
      </c>
      <c r="G102" s="18">
        <f>'P0-3_Scorecard'!M122</f>
        <v/>
      </c>
      <c r="H102" s="18">
        <f>IF(OR(D102="",F102=""),"",D102-(F102*20))</f>
        <v/>
      </c>
      <c r="I102" s="18">
        <f>IF(OR(E102="",G102=""),"",E102-(G102*20))</f>
        <v/>
      </c>
      <c r="J102" s="18">
        <f>IF(OR(D102="",E102=""),"INCOMPLETE",IF(AND(D102&gt;=80,E102&lt;50),"CONTRADICTION",IF(AND(D102&gt;=70,E102&lt;70),"DEPENDENCY GAP","NO TRIGGER")))</f>
        <v/>
      </c>
      <c r="K102" s="18">
        <f>IF(J102="CONTRADICTION","HIGH",IF(J102="DEPENDENCY GAP","MEDIUM","—"))</f>
        <v/>
      </c>
      <c r="L102" s="18">
        <f>IF(J102="CONTRADICTION","Strong upstream claim is not supported by linked downstream capability/evidence. Trigger: Research governance review.",IF(J102="DEPENDENCY GAP","Downstream capability materially trails upstream expectation. Trigger: Research governance review.",""))</f>
        <v/>
      </c>
    </row>
    <row r="103">
      <c r="A103" s="18" t="inlineStr">
        <is>
          <t>CD07</t>
        </is>
      </c>
      <c r="B103" s="18" t="inlineStr">
        <is>
          <t>D02-I12</t>
        </is>
      </c>
      <c r="C103" s="18" t="inlineStr">
        <is>
          <t>D10-I12</t>
        </is>
      </c>
      <c r="D103" s="18">
        <f>'P0-3_Scorecard'!L23</f>
        <v/>
      </c>
      <c r="E103" s="18">
        <f>'P0-3_Scorecard'!L128</f>
        <v/>
      </c>
      <c r="F103" s="18">
        <f>'P0-3_Scorecard'!M23</f>
        <v/>
      </c>
      <c r="G103" s="18">
        <f>'P0-3_Scorecard'!M128</f>
        <v/>
      </c>
      <c r="H103" s="18">
        <f>IF(OR(D103="",F103=""),"",D103-(F103*20))</f>
        <v/>
      </c>
      <c r="I103" s="18">
        <f>IF(OR(E103="",G103=""),"",E103-(G103*20))</f>
        <v/>
      </c>
      <c r="J103" s="18">
        <f>IF(OR(D103="",E103=""),"INCOMPLETE",IF(AND(D103&gt;=80,E103&lt;50),"CONTRADICTION",IF(AND(D103&gt;=70,E103&lt;70),"DEPENDENCY GAP","NO TRIGGER")))</f>
        <v/>
      </c>
      <c r="K103" s="18">
        <f>IF(J103="CONTRADICTION","HIGH",IF(J103="DEPENDENCY GAP","MEDIUM","—"))</f>
        <v/>
      </c>
      <c r="L103" s="18">
        <f>IF(J103="CONTRADICTION","Strong upstream claim is not supported by linked downstream capability/evidence. Trigger: Research governance review.",IF(J103="DEPENDENCY GAP","Downstream capability materially trails upstream expectation. Trigger: Research governance review.",""))</f>
        <v/>
      </c>
    </row>
    <row r="104">
      <c r="A104" s="18" t="inlineStr">
        <is>
          <t>CD07</t>
        </is>
      </c>
      <c r="B104" s="18" t="inlineStr">
        <is>
          <t>D02-I12</t>
        </is>
      </c>
      <c r="C104" s="18" t="inlineStr">
        <is>
          <t>D10-I13</t>
        </is>
      </c>
      <c r="D104" s="18">
        <f>'P0-3_Scorecard'!L23</f>
        <v/>
      </c>
      <c r="E104" s="18">
        <f>'P0-3_Scorecard'!L129</f>
        <v/>
      </c>
      <c r="F104" s="18">
        <f>'P0-3_Scorecard'!M23</f>
        <v/>
      </c>
      <c r="G104" s="18">
        <f>'P0-3_Scorecard'!M129</f>
        <v/>
      </c>
      <c r="H104" s="18">
        <f>IF(OR(D104="",F104=""),"",D104-(F104*20))</f>
        <v/>
      </c>
      <c r="I104" s="18">
        <f>IF(OR(E104="",G104=""),"",E104-(G104*20))</f>
        <v/>
      </c>
      <c r="J104" s="18">
        <f>IF(OR(D104="",E104=""),"INCOMPLETE",IF(AND(D104&gt;=80,E104&lt;50),"CONTRADICTION",IF(AND(D104&gt;=70,E104&lt;70),"DEPENDENCY GAP","NO TRIGGER")))</f>
        <v/>
      </c>
      <c r="K104" s="18">
        <f>IF(J104="CONTRADICTION","HIGH",IF(J104="DEPENDENCY GAP","MEDIUM","—"))</f>
        <v/>
      </c>
      <c r="L104" s="18">
        <f>IF(J104="CONTRADICTION","Strong upstream claim is not supported by linked downstream capability/evidence. Trigger: Research governance review.",IF(J104="DEPENDENCY GAP","Downstream capability materially trails upstream expectation. Trigger: Research governance review.",""))</f>
        <v/>
      </c>
    </row>
    <row r="105">
      <c r="A105" s="18" t="inlineStr">
        <is>
          <t>CD07</t>
        </is>
      </c>
      <c r="B105" s="18" t="inlineStr">
        <is>
          <t>D02-I13</t>
        </is>
      </c>
      <c r="C105" s="18" t="inlineStr">
        <is>
          <t>D10-I04</t>
        </is>
      </c>
      <c r="D105" s="18">
        <f>'P0-3_Scorecard'!L24</f>
        <v/>
      </c>
      <c r="E105" s="18">
        <f>'P0-3_Scorecard'!L120</f>
        <v/>
      </c>
      <c r="F105" s="18">
        <f>'P0-3_Scorecard'!M24</f>
        <v/>
      </c>
      <c r="G105" s="18">
        <f>'P0-3_Scorecard'!M120</f>
        <v/>
      </c>
      <c r="H105" s="18">
        <f>IF(OR(D105="",F105=""),"",D105-(F105*20))</f>
        <v/>
      </c>
      <c r="I105" s="18">
        <f>IF(OR(E105="",G105=""),"",E105-(G105*20))</f>
        <v/>
      </c>
      <c r="J105" s="18">
        <f>IF(OR(D105="",E105=""),"INCOMPLETE",IF(AND(D105&gt;=80,E105&lt;50),"CONTRADICTION",IF(AND(D105&gt;=70,E105&lt;70),"DEPENDENCY GAP","NO TRIGGER")))</f>
        <v/>
      </c>
      <c r="K105" s="18">
        <f>IF(J105="CONTRADICTION","HIGH",IF(J105="DEPENDENCY GAP","MEDIUM","—"))</f>
        <v/>
      </c>
      <c r="L105" s="18">
        <f>IF(J105="CONTRADICTION","Strong upstream claim is not supported by linked downstream capability/evidence. Trigger: Research governance review.",IF(J105="DEPENDENCY GAP","Downstream capability materially trails upstream expectation. Trigger: Research governance review.",""))</f>
        <v/>
      </c>
    </row>
    <row r="106">
      <c r="A106" s="18" t="inlineStr">
        <is>
          <t>CD07</t>
        </is>
      </c>
      <c r="B106" s="18" t="inlineStr">
        <is>
          <t>D02-I13</t>
        </is>
      </c>
      <c r="C106" s="18" t="inlineStr">
        <is>
          <t>D10-I06</t>
        </is>
      </c>
      <c r="D106" s="18">
        <f>'P0-3_Scorecard'!L24</f>
        <v/>
      </c>
      <c r="E106" s="18">
        <f>'P0-3_Scorecard'!L122</f>
        <v/>
      </c>
      <c r="F106" s="18">
        <f>'P0-3_Scorecard'!M24</f>
        <v/>
      </c>
      <c r="G106" s="18">
        <f>'P0-3_Scorecard'!M122</f>
        <v/>
      </c>
      <c r="H106" s="18">
        <f>IF(OR(D106="",F106=""),"",D106-(F106*20))</f>
        <v/>
      </c>
      <c r="I106" s="18">
        <f>IF(OR(E106="",G106=""),"",E106-(G106*20))</f>
        <v/>
      </c>
      <c r="J106" s="18">
        <f>IF(OR(D106="",E106=""),"INCOMPLETE",IF(AND(D106&gt;=80,E106&lt;50),"CONTRADICTION",IF(AND(D106&gt;=70,E106&lt;70),"DEPENDENCY GAP","NO TRIGGER")))</f>
        <v/>
      </c>
      <c r="K106" s="18">
        <f>IF(J106="CONTRADICTION","HIGH",IF(J106="DEPENDENCY GAP","MEDIUM","—"))</f>
        <v/>
      </c>
      <c r="L106" s="18">
        <f>IF(J106="CONTRADICTION","Strong upstream claim is not supported by linked downstream capability/evidence. Trigger: Research governance review.",IF(J106="DEPENDENCY GAP","Downstream capability materially trails upstream expectation. Trigger: Research governance review.",""))</f>
        <v/>
      </c>
    </row>
    <row r="107">
      <c r="A107" s="18" t="inlineStr">
        <is>
          <t>CD07</t>
        </is>
      </c>
      <c r="B107" s="18" t="inlineStr">
        <is>
          <t>D02-I13</t>
        </is>
      </c>
      <c r="C107" s="18" t="inlineStr">
        <is>
          <t>D10-I12</t>
        </is>
      </c>
      <c r="D107" s="18">
        <f>'P0-3_Scorecard'!L24</f>
        <v/>
      </c>
      <c r="E107" s="18">
        <f>'P0-3_Scorecard'!L128</f>
        <v/>
      </c>
      <c r="F107" s="18">
        <f>'P0-3_Scorecard'!M24</f>
        <v/>
      </c>
      <c r="G107" s="18">
        <f>'P0-3_Scorecard'!M128</f>
        <v/>
      </c>
      <c r="H107" s="18">
        <f>IF(OR(D107="",F107=""),"",D107-(F107*20))</f>
        <v/>
      </c>
      <c r="I107" s="18">
        <f>IF(OR(E107="",G107=""),"",E107-(G107*20))</f>
        <v/>
      </c>
      <c r="J107" s="18">
        <f>IF(OR(D107="",E107=""),"INCOMPLETE",IF(AND(D107&gt;=80,E107&lt;50),"CONTRADICTION",IF(AND(D107&gt;=70,E107&lt;70),"DEPENDENCY GAP","NO TRIGGER")))</f>
        <v/>
      </c>
      <c r="K107" s="18">
        <f>IF(J107="CONTRADICTION","HIGH",IF(J107="DEPENDENCY GAP","MEDIUM","—"))</f>
        <v/>
      </c>
      <c r="L107" s="18">
        <f>IF(J107="CONTRADICTION","Strong upstream claim is not supported by linked downstream capability/evidence. Trigger: Research governance review.",IF(J107="DEPENDENCY GAP","Downstream capability materially trails upstream expectation. Trigger: Research governance review.",""))</f>
        <v/>
      </c>
    </row>
    <row r="108">
      <c r="A108" s="18" t="inlineStr">
        <is>
          <t>CD07</t>
        </is>
      </c>
      <c r="B108" s="18" t="inlineStr">
        <is>
          <t>D02-I13</t>
        </is>
      </c>
      <c r="C108" s="18" t="inlineStr">
        <is>
          <t>D10-I13</t>
        </is>
      </c>
      <c r="D108" s="18">
        <f>'P0-3_Scorecard'!L24</f>
        <v/>
      </c>
      <c r="E108" s="18">
        <f>'P0-3_Scorecard'!L129</f>
        <v/>
      </c>
      <c r="F108" s="18">
        <f>'P0-3_Scorecard'!M24</f>
        <v/>
      </c>
      <c r="G108" s="18">
        <f>'P0-3_Scorecard'!M129</f>
        <v/>
      </c>
      <c r="H108" s="18">
        <f>IF(OR(D108="",F108=""),"",D108-(F108*20))</f>
        <v/>
      </c>
      <c r="I108" s="18">
        <f>IF(OR(E108="",G108=""),"",E108-(G108*20))</f>
        <v/>
      </c>
      <c r="J108" s="18">
        <f>IF(OR(D108="",E108=""),"INCOMPLETE",IF(AND(D108&gt;=80,E108&lt;50),"CONTRADICTION",IF(AND(D108&gt;=70,E108&lt;70),"DEPENDENCY GAP","NO TRIGGER")))</f>
        <v/>
      </c>
      <c r="K108" s="18">
        <f>IF(J108="CONTRADICTION","HIGH",IF(J108="DEPENDENCY GAP","MEDIUM","—"))</f>
        <v/>
      </c>
      <c r="L108" s="18">
        <f>IF(J108="CONTRADICTION","Strong upstream claim is not supported by linked downstream capability/evidence. Trigger: Research governance review.",IF(J108="DEPENDENCY GAP","Downstream capability materially trails upstream expectation. Trigger: Research governance review.",""))</f>
        <v/>
      </c>
    </row>
    <row r="109">
      <c r="A109" s="18" t="inlineStr">
        <is>
          <t>CD07</t>
        </is>
      </c>
      <c r="B109" s="18" t="inlineStr">
        <is>
          <t>D02-I14</t>
        </is>
      </c>
      <c r="C109" s="18" t="inlineStr">
        <is>
          <t>D10-I04</t>
        </is>
      </c>
      <c r="D109" s="18">
        <f>'P0-3_Scorecard'!L25</f>
        <v/>
      </c>
      <c r="E109" s="18">
        <f>'P0-3_Scorecard'!L120</f>
        <v/>
      </c>
      <c r="F109" s="18">
        <f>'P0-3_Scorecard'!M25</f>
        <v/>
      </c>
      <c r="G109" s="18">
        <f>'P0-3_Scorecard'!M120</f>
        <v/>
      </c>
      <c r="H109" s="18">
        <f>IF(OR(D109="",F109=""),"",D109-(F109*20))</f>
        <v/>
      </c>
      <c r="I109" s="18">
        <f>IF(OR(E109="",G109=""),"",E109-(G109*20))</f>
        <v/>
      </c>
      <c r="J109" s="18">
        <f>IF(OR(D109="",E109=""),"INCOMPLETE",IF(AND(D109&gt;=80,E109&lt;50),"CONTRADICTION",IF(AND(D109&gt;=70,E109&lt;70),"DEPENDENCY GAP","NO TRIGGER")))</f>
        <v/>
      </c>
      <c r="K109" s="18">
        <f>IF(J109="CONTRADICTION","HIGH",IF(J109="DEPENDENCY GAP","MEDIUM","—"))</f>
        <v/>
      </c>
      <c r="L109" s="18">
        <f>IF(J109="CONTRADICTION","Strong upstream claim is not supported by linked downstream capability/evidence. Trigger: Research governance review.",IF(J109="DEPENDENCY GAP","Downstream capability materially trails upstream expectation. Trigger: Research governance review.",""))</f>
        <v/>
      </c>
    </row>
    <row r="110">
      <c r="A110" s="18" t="inlineStr">
        <is>
          <t>CD07</t>
        </is>
      </c>
      <c r="B110" s="18" t="inlineStr">
        <is>
          <t>D02-I14</t>
        </is>
      </c>
      <c r="C110" s="18" t="inlineStr">
        <is>
          <t>D10-I06</t>
        </is>
      </c>
      <c r="D110" s="18">
        <f>'P0-3_Scorecard'!L25</f>
        <v/>
      </c>
      <c r="E110" s="18">
        <f>'P0-3_Scorecard'!L122</f>
        <v/>
      </c>
      <c r="F110" s="18">
        <f>'P0-3_Scorecard'!M25</f>
        <v/>
      </c>
      <c r="G110" s="18">
        <f>'P0-3_Scorecard'!M122</f>
        <v/>
      </c>
      <c r="H110" s="18">
        <f>IF(OR(D110="",F110=""),"",D110-(F110*20))</f>
        <v/>
      </c>
      <c r="I110" s="18">
        <f>IF(OR(E110="",G110=""),"",E110-(G110*20))</f>
        <v/>
      </c>
      <c r="J110" s="18">
        <f>IF(OR(D110="",E110=""),"INCOMPLETE",IF(AND(D110&gt;=80,E110&lt;50),"CONTRADICTION",IF(AND(D110&gt;=70,E110&lt;70),"DEPENDENCY GAP","NO TRIGGER")))</f>
        <v/>
      </c>
      <c r="K110" s="18">
        <f>IF(J110="CONTRADICTION","HIGH",IF(J110="DEPENDENCY GAP","MEDIUM","—"))</f>
        <v/>
      </c>
      <c r="L110" s="18">
        <f>IF(J110="CONTRADICTION","Strong upstream claim is not supported by linked downstream capability/evidence. Trigger: Research governance review.",IF(J110="DEPENDENCY GAP","Downstream capability materially trails upstream expectation. Trigger: Research governance review.",""))</f>
        <v/>
      </c>
    </row>
    <row r="111">
      <c r="A111" s="18" t="inlineStr">
        <is>
          <t>CD07</t>
        </is>
      </c>
      <c r="B111" s="18" t="inlineStr">
        <is>
          <t>D02-I14</t>
        </is>
      </c>
      <c r="C111" s="18" t="inlineStr">
        <is>
          <t>D10-I12</t>
        </is>
      </c>
      <c r="D111" s="18">
        <f>'P0-3_Scorecard'!L25</f>
        <v/>
      </c>
      <c r="E111" s="18">
        <f>'P0-3_Scorecard'!L128</f>
        <v/>
      </c>
      <c r="F111" s="18">
        <f>'P0-3_Scorecard'!M25</f>
        <v/>
      </c>
      <c r="G111" s="18">
        <f>'P0-3_Scorecard'!M128</f>
        <v/>
      </c>
      <c r="H111" s="18">
        <f>IF(OR(D111="",F111=""),"",D111-(F111*20))</f>
        <v/>
      </c>
      <c r="I111" s="18">
        <f>IF(OR(E111="",G111=""),"",E111-(G111*20))</f>
        <v/>
      </c>
      <c r="J111" s="18">
        <f>IF(OR(D111="",E111=""),"INCOMPLETE",IF(AND(D111&gt;=80,E111&lt;50),"CONTRADICTION",IF(AND(D111&gt;=70,E111&lt;70),"DEPENDENCY GAP","NO TRIGGER")))</f>
        <v/>
      </c>
      <c r="K111" s="18">
        <f>IF(J111="CONTRADICTION","HIGH",IF(J111="DEPENDENCY GAP","MEDIUM","—"))</f>
        <v/>
      </c>
      <c r="L111" s="18">
        <f>IF(J111="CONTRADICTION","Strong upstream claim is not supported by linked downstream capability/evidence. Trigger: Research governance review.",IF(J111="DEPENDENCY GAP","Downstream capability materially trails upstream expectation. Trigger: Research governance review.",""))</f>
        <v/>
      </c>
    </row>
    <row r="112">
      <c r="A112" s="18" t="inlineStr">
        <is>
          <t>CD07</t>
        </is>
      </c>
      <c r="B112" s="18" t="inlineStr">
        <is>
          <t>D02-I14</t>
        </is>
      </c>
      <c r="C112" s="18" t="inlineStr">
        <is>
          <t>D10-I13</t>
        </is>
      </c>
      <c r="D112" s="18">
        <f>'P0-3_Scorecard'!L25</f>
        <v/>
      </c>
      <c r="E112" s="18">
        <f>'P0-3_Scorecard'!L129</f>
        <v/>
      </c>
      <c r="F112" s="18">
        <f>'P0-3_Scorecard'!M25</f>
        <v/>
      </c>
      <c r="G112" s="18">
        <f>'P0-3_Scorecard'!M129</f>
        <v/>
      </c>
      <c r="H112" s="18">
        <f>IF(OR(D112="",F112=""),"",D112-(F112*20))</f>
        <v/>
      </c>
      <c r="I112" s="18">
        <f>IF(OR(E112="",G112=""),"",E112-(G112*20))</f>
        <v/>
      </c>
      <c r="J112" s="18">
        <f>IF(OR(D112="",E112=""),"INCOMPLETE",IF(AND(D112&gt;=80,E112&lt;50),"CONTRADICTION",IF(AND(D112&gt;=70,E112&lt;70),"DEPENDENCY GAP","NO TRIGGER")))</f>
        <v/>
      </c>
      <c r="K112" s="18">
        <f>IF(J112="CONTRADICTION","HIGH",IF(J112="DEPENDENCY GAP","MEDIUM","—"))</f>
        <v/>
      </c>
      <c r="L112" s="18">
        <f>IF(J112="CONTRADICTION","Strong upstream claim is not supported by linked downstream capability/evidence. Trigger: Research governance review.",IF(J112="DEPENDENCY GAP","Downstream capability materially trails upstream expectation. Trigger: Research governance review.",""))</f>
        <v/>
      </c>
    </row>
    <row r="113">
      <c r="A113" s="18" t="inlineStr">
        <is>
          <t>CD08</t>
        </is>
      </c>
      <c r="B113" s="18" t="inlineStr">
        <is>
          <t>D03-I01</t>
        </is>
      </c>
      <c r="C113" s="18" t="inlineStr">
        <is>
          <t>D04-I02</t>
        </is>
      </c>
      <c r="D113" s="18">
        <f>'P0-3_Scorecard'!L26</f>
        <v/>
      </c>
      <c r="E113" s="18">
        <f>'P0-3_Scorecard'!L44</f>
        <v/>
      </c>
      <c r="F113" s="18">
        <f>'P0-3_Scorecard'!M26</f>
        <v/>
      </c>
      <c r="G113" s="18">
        <f>'P0-3_Scorecard'!M44</f>
        <v/>
      </c>
      <c r="H113" s="18">
        <f>IF(OR(D113="",F113=""),"",D113-(F113*20))</f>
        <v/>
      </c>
      <c r="I113" s="18">
        <f>IF(OR(E113="",G113=""),"",E113-(G113*20))</f>
        <v/>
      </c>
      <c r="J113" s="18">
        <f>IF(OR(D113="",E113=""),"INCOMPLETE",IF(AND(D113&gt;=80,E113&lt;50),"CONTRADICTION",IF(AND(D113&gt;=70,E113&lt;70),"DEPENDENCY GAP","NO TRIGGER")))</f>
        <v/>
      </c>
      <c r="K113" s="18">
        <f>IF(J113="CONTRADICTION","HIGH",IF(J113="DEPENDENCY GAP","MEDIUM","—"))</f>
        <v/>
      </c>
      <c r="L113" s="18">
        <f>IF(J113="CONTRADICTION","Strong upstream claim is not supported by linked downstream capability/evidence. Trigger: Curriculum mapping review.",IF(J113="DEPENDENCY GAP","Downstream capability materially trails upstream expectation. Trigger: Curriculum mapping review.",""))</f>
        <v/>
      </c>
    </row>
    <row r="114">
      <c r="A114" s="18" t="inlineStr">
        <is>
          <t>CD08</t>
        </is>
      </c>
      <c r="B114" s="18" t="inlineStr">
        <is>
          <t>D03-I01</t>
        </is>
      </c>
      <c r="C114" s="18" t="inlineStr">
        <is>
          <t>D04-I04</t>
        </is>
      </c>
      <c r="D114" s="18">
        <f>'P0-3_Scorecard'!L26</f>
        <v/>
      </c>
      <c r="E114" s="18">
        <f>'P0-3_Scorecard'!L46</f>
        <v/>
      </c>
      <c r="F114" s="18">
        <f>'P0-3_Scorecard'!M26</f>
        <v/>
      </c>
      <c r="G114" s="18">
        <f>'P0-3_Scorecard'!M46</f>
        <v/>
      </c>
      <c r="H114" s="18">
        <f>IF(OR(D114="",F114=""),"",D114-(F114*20))</f>
        <v/>
      </c>
      <c r="I114" s="18">
        <f>IF(OR(E114="",G114=""),"",E114-(G114*20))</f>
        <v/>
      </c>
      <c r="J114" s="18">
        <f>IF(OR(D114="",E114=""),"INCOMPLETE",IF(AND(D114&gt;=80,E114&lt;50),"CONTRADICTION",IF(AND(D114&gt;=70,E114&lt;70),"DEPENDENCY GAP","NO TRIGGER")))</f>
        <v/>
      </c>
      <c r="K114" s="18">
        <f>IF(J114="CONTRADICTION","HIGH",IF(J114="DEPENDENCY GAP","MEDIUM","—"))</f>
        <v/>
      </c>
      <c r="L114" s="18">
        <f>IF(J114="CONTRADICTION","Strong upstream claim is not supported by linked downstream capability/evidence. Trigger: Curriculum mapping review.",IF(J114="DEPENDENCY GAP","Downstream capability materially trails upstream expectation. Trigger: Curriculum mapping review.",""))</f>
        <v/>
      </c>
    </row>
    <row r="115">
      <c r="A115" s="18" t="inlineStr">
        <is>
          <t>CD08</t>
        </is>
      </c>
      <c r="B115" s="18" t="inlineStr">
        <is>
          <t>D03-I01</t>
        </is>
      </c>
      <c r="C115" s="18" t="inlineStr">
        <is>
          <t>D04-I07</t>
        </is>
      </c>
      <c r="D115" s="18">
        <f>'P0-3_Scorecard'!L26</f>
        <v/>
      </c>
      <c r="E115" s="18">
        <f>'P0-3_Scorecard'!L49</f>
        <v/>
      </c>
      <c r="F115" s="18">
        <f>'P0-3_Scorecard'!M26</f>
        <v/>
      </c>
      <c r="G115" s="18">
        <f>'P0-3_Scorecard'!M49</f>
        <v/>
      </c>
      <c r="H115" s="18">
        <f>IF(OR(D115="",F115=""),"",D115-(F115*20))</f>
        <v/>
      </c>
      <c r="I115" s="18">
        <f>IF(OR(E115="",G115=""),"",E115-(G115*20))</f>
        <v/>
      </c>
      <c r="J115" s="18">
        <f>IF(OR(D115="",E115=""),"INCOMPLETE",IF(AND(D115&gt;=80,E115&lt;50),"CONTRADICTION",IF(AND(D115&gt;=70,E115&lt;70),"DEPENDENCY GAP","NO TRIGGER")))</f>
        <v/>
      </c>
      <c r="K115" s="18">
        <f>IF(J115="CONTRADICTION","HIGH",IF(J115="DEPENDENCY GAP","MEDIUM","—"))</f>
        <v/>
      </c>
      <c r="L115" s="18">
        <f>IF(J115="CONTRADICTION","Strong upstream claim is not supported by linked downstream capability/evidence. Trigger: Curriculum mapping review.",IF(J115="DEPENDENCY GAP","Downstream capability materially trails upstream expectation. Trigger: Curriculum mapping review.",""))</f>
        <v/>
      </c>
    </row>
    <row r="116">
      <c r="A116" s="18" t="inlineStr">
        <is>
          <t>CD08</t>
        </is>
      </c>
      <c r="B116" s="18" t="inlineStr">
        <is>
          <t>D03-I01</t>
        </is>
      </c>
      <c r="C116" s="18" t="inlineStr">
        <is>
          <t>D04-I11</t>
        </is>
      </c>
      <c r="D116" s="18">
        <f>'P0-3_Scorecard'!L26</f>
        <v/>
      </c>
      <c r="E116" s="18">
        <f>'P0-3_Scorecard'!L53</f>
        <v/>
      </c>
      <c r="F116" s="18">
        <f>'P0-3_Scorecard'!M26</f>
        <v/>
      </c>
      <c r="G116" s="18">
        <f>'P0-3_Scorecard'!M53</f>
        <v/>
      </c>
      <c r="H116" s="18">
        <f>IF(OR(D116="",F116=""),"",D116-(F116*20))</f>
        <v/>
      </c>
      <c r="I116" s="18">
        <f>IF(OR(E116="",G116=""),"",E116-(G116*20))</f>
        <v/>
      </c>
      <c r="J116" s="18">
        <f>IF(OR(D116="",E116=""),"INCOMPLETE",IF(AND(D116&gt;=80,E116&lt;50),"CONTRADICTION",IF(AND(D116&gt;=70,E116&lt;70),"DEPENDENCY GAP","NO TRIGGER")))</f>
        <v/>
      </c>
      <c r="K116" s="18">
        <f>IF(J116="CONTRADICTION","HIGH",IF(J116="DEPENDENCY GAP","MEDIUM","—"))</f>
        <v/>
      </c>
      <c r="L116" s="18">
        <f>IF(J116="CONTRADICTION","Strong upstream claim is not supported by linked downstream capability/evidence. Trigger: Curriculum mapping review.",IF(J116="DEPENDENCY GAP","Downstream capability materially trails upstream expectation. Trigger: Curriculum mapping review.",""))</f>
        <v/>
      </c>
    </row>
    <row r="117">
      <c r="A117" s="18" t="inlineStr">
        <is>
          <t>CD08</t>
        </is>
      </c>
      <c r="B117" s="18" t="inlineStr">
        <is>
          <t>D03-I02</t>
        </is>
      </c>
      <c r="C117" s="18" t="inlineStr">
        <is>
          <t>D04-I02</t>
        </is>
      </c>
      <c r="D117" s="18">
        <f>'P0-3_Scorecard'!L27</f>
        <v/>
      </c>
      <c r="E117" s="18">
        <f>'P0-3_Scorecard'!L44</f>
        <v/>
      </c>
      <c r="F117" s="18">
        <f>'P0-3_Scorecard'!M27</f>
        <v/>
      </c>
      <c r="G117" s="18">
        <f>'P0-3_Scorecard'!M44</f>
        <v/>
      </c>
      <c r="H117" s="18">
        <f>IF(OR(D117="",F117=""),"",D117-(F117*20))</f>
        <v/>
      </c>
      <c r="I117" s="18">
        <f>IF(OR(E117="",G117=""),"",E117-(G117*20))</f>
        <v/>
      </c>
      <c r="J117" s="18">
        <f>IF(OR(D117="",E117=""),"INCOMPLETE",IF(AND(D117&gt;=80,E117&lt;50),"CONTRADICTION",IF(AND(D117&gt;=70,E117&lt;70),"DEPENDENCY GAP","NO TRIGGER")))</f>
        <v/>
      </c>
      <c r="K117" s="18">
        <f>IF(J117="CONTRADICTION","HIGH",IF(J117="DEPENDENCY GAP","MEDIUM","—"))</f>
        <v/>
      </c>
      <c r="L117" s="18">
        <f>IF(J117="CONTRADICTION","Strong upstream claim is not supported by linked downstream capability/evidence. Trigger: Curriculum mapping review.",IF(J117="DEPENDENCY GAP","Downstream capability materially trails upstream expectation. Trigger: Curriculum mapping review.",""))</f>
        <v/>
      </c>
    </row>
    <row r="118">
      <c r="A118" s="18" t="inlineStr">
        <is>
          <t>CD08</t>
        </is>
      </c>
      <c r="B118" s="18" t="inlineStr">
        <is>
          <t>D03-I02</t>
        </is>
      </c>
      <c r="C118" s="18" t="inlineStr">
        <is>
          <t>D04-I04</t>
        </is>
      </c>
      <c r="D118" s="18">
        <f>'P0-3_Scorecard'!L27</f>
        <v/>
      </c>
      <c r="E118" s="18">
        <f>'P0-3_Scorecard'!L46</f>
        <v/>
      </c>
      <c r="F118" s="18">
        <f>'P0-3_Scorecard'!M27</f>
        <v/>
      </c>
      <c r="G118" s="18">
        <f>'P0-3_Scorecard'!M46</f>
        <v/>
      </c>
      <c r="H118" s="18">
        <f>IF(OR(D118="",F118=""),"",D118-(F118*20))</f>
        <v/>
      </c>
      <c r="I118" s="18">
        <f>IF(OR(E118="",G118=""),"",E118-(G118*20))</f>
        <v/>
      </c>
      <c r="J118" s="18">
        <f>IF(OR(D118="",E118=""),"INCOMPLETE",IF(AND(D118&gt;=80,E118&lt;50),"CONTRADICTION",IF(AND(D118&gt;=70,E118&lt;70),"DEPENDENCY GAP","NO TRIGGER")))</f>
        <v/>
      </c>
      <c r="K118" s="18">
        <f>IF(J118="CONTRADICTION","HIGH",IF(J118="DEPENDENCY GAP","MEDIUM","—"))</f>
        <v/>
      </c>
      <c r="L118" s="18">
        <f>IF(J118="CONTRADICTION","Strong upstream claim is not supported by linked downstream capability/evidence. Trigger: Curriculum mapping review.",IF(J118="DEPENDENCY GAP","Downstream capability materially trails upstream expectation. Trigger: Curriculum mapping review.",""))</f>
        <v/>
      </c>
    </row>
    <row r="119">
      <c r="A119" s="18" t="inlineStr">
        <is>
          <t>CD08</t>
        </is>
      </c>
      <c r="B119" s="18" t="inlineStr">
        <is>
          <t>D03-I02</t>
        </is>
      </c>
      <c r="C119" s="18" t="inlineStr">
        <is>
          <t>D04-I07</t>
        </is>
      </c>
      <c r="D119" s="18">
        <f>'P0-3_Scorecard'!L27</f>
        <v/>
      </c>
      <c r="E119" s="18">
        <f>'P0-3_Scorecard'!L49</f>
        <v/>
      </c>
      <c r="F119" s="18">
        <f>'P0-3_Scorecard'!M27</f>
        <v/>
      </c>
      <c r="G119" s="18">
        <f>'P0-3_Scorecard'!M49</f>
        <v/>
      </c>
      <c r="H119" s="18">
        <f>IF(OR(D119="",F119=""),"",D119-(F119*20))</f>
        <v/>
      </c>
      <c r="I119" s="18">
        <f>IF(OR(E119="",G119=""),"",E119-(G119*20))</f>
        <v/>
      </c>
      <c r="J119" s="18">
        <f>IF(OR(D119="",E119=""),"INCOMPLETE",IF(AND(D119&gt;=80,E119&lt;50),"CONTRADICTION",IF(AND(D119&gt;=70,E119&lt;70),"DEPENDENCY GAP","NO TRIGGER")))</f>
        <v/>
      </c>
      <c r="K119" s="18">
        <f>IF(J119="CONTRADICTION","HIGH",IF(J119="DEPENDENCY GAP","MEDIUM","—"))</f>
        <v/>
      </c>
      <c r="L119" s="18">
        <f>IF(J119="CONTRADICTION","Strong upstream claim is not supported by linked downstream capability/evidence. Trigger: Curriculum mapping review.",IF(J119="DEPENDENCY GAP","Downstream capability materially trails upstream expectation. Trigger: Curriculum mapping review.",""))</f>
        <v/>
      </c>
    </row>
    <row r="120">
      <c r="A120" s="18" t="inlineStr">
        <is>
          <t>CD08</t>
        </is>
      </c>
      <c r="B120" s="18" t="inlineStr">
        <is>
          <t>D03-I02</t>
        </is>
      </c>
      <c r="C120" s="18" t="inlineStr">
        <is>
          <t>D04-I11</t>
        </is>
      </c>
      <c r="D120" s="18">
        <f>'P0-3_Scorecard'!L27</f>
        <v/>
      </c>
      <c r="E120" s="18">
        <f>'P0-3_Scorecard'!L53</f>
        <v/>
      </c>
      <c r="F120" s="18">
        <f>'P0-3_Scorecard'!M27</f>
        <v/>
      </c>
      <c r="G120" s="18">
        <f>'P0-3_Scorecard'!M53</f>
        <v/>
      </c>
      <c r="H120" s="18">
        <f>IF(OR(D120="",F120=""),"",D120-(F120*20))</f>
        <v/>
      </c>
      <c r="I120" s="18">
        <f>IF(OR(E120="",G120=""),"",E120-(G120*20))</f>
        <v/>
      </c>
      <c r="J120" s="18">
        <f>IF(OR(D120="",E120=""),"INCOMPLETE",IF(AND(D120&gt;=80,E120&lt;50),"CONTRADICTION",IF(AND(D120&gt;=70,E120&lt;70),"DEPENDENCY GAP","NO TRIGGER")))</f>
        <v/>
      </c>
      <c r="K120" s="18">
        <f>IF(J120="CONTRADICTION","HIGH",IF(J120="DEPENDENCY GAP","MEDIUM","—"))</f>
        <v/>
      </c>
      <c r="L120" s="18">
        <f>IF(J120="CONTRADICTION","Strong upstream claim is not supported by linked downstream capability/evidence. Trigger: Curriculum mapping review.",IF(J120="DEPENDENCY GAP","Downstream capability materially trails upstream expectation. Trigger: Curriculum mapping review.",""))</f>
        <v/>
      </c>
    </row>
    <row r="121">
      <c r="A121" s="18" t="inlineStr">
        <is>
          <t>CD08</t>
        </is>
      </c>
      <c r="B121" s="18" t="inlineStr">
        <is>
          <t>D03-I05</t>
        </is>
      </c>
      <c r="C121" s="18" t="inlineStr">
        <is>
          <t>D04-I02</t>
        </is>
      </c>
      <c r="D121" s="18">
        <f>'P0-3_Scorecard'!L30</f>
        <v/>
      </c>
      <c r="E121" s="18">
        <f>'P0-3_Scorecard'!L44</f>
        <v/>
      </c>
      <c r="F121" s="18">
        <f>'P0-3_Scorecard'!M30</f>
        <v/>
      </c>
      <c r="G121" s="18">
        <f>'P0-3_Scorecard'!M44</f>
        <v/>
      </c>
      <c r="H121" s="18">
        <f>IF(OR(D121="",F121=""),"",D121-(F121*20))</f>
        <v/>
      </c>
      <c r="I121" s="18">
        <f>IF(OR(E121="",G121=""),"",E121-(G121*20))</f>
        <v/>
      </c>
      <c r="J121" s="18">
        <f>IF(OR(D121="",E121=""),"INCOMPLETE",IF(AND(D121&gt;=80,E121&lt;50),"CONTRADICTION",IF(AND(D121&gt;=70,E121&lt;70),"DEPENDENCY GAP","NO TRIGGER")))</f>
        <v/>
      </c>
      <c r="K121" s="18">
        <f>IF(J121="CONTRADICTION","HIGH",IF(J121="DEPENDENCY GAP","MEDIUM","—"))</f>
        <v/>
      </c>
      <c r="L121" s="18">
        <f>IF(J121="CONTRADICTION","Strong upstream claim is not supported by linked downstream capability/evidence. Trigger: Curriculum mapping review.",IF(J121="DEPENDENCY GAP","Downstream capability materially trails upstream expectation. Trigger: Curriculum mapping review.",""))</f>
        <v/>
      </c>
    </row>
    <row r="122">
      <c r="A122" s="18" t="inlineStr">
        <is>
          <t>CD08</t>
        </is>
      </c>
      <c r="B122" s="18" t="inlineStr">
        <is>
          <t>D03-I05</t>
        </is>
      </c>
      <c r="C122" s="18" t="inlineStr">
        <is>
          <t>D04-I04</t>
        </is>
      </c>
      <c r="D122" s="18">
        <f>'P0-3_Scorecard'!L30</f>
        <v/>
      </c>
      <c r="E122" s="18">
        <f>'P0-3_Scorecard'!L46</f>
        <v/>
      </c>
      <c r="F122" s="18">
        <f>'P0-3_Scorecard'!M30</f>
        <v/>
      </c>
      <c r="G122" s="18">
        <f>'P0-3_Scorecard'!M46</f>
        <v/>
      </c>
      <c r="H122" s="18">
        <f>IF(OR(D122="",F122=""),"",D122-(F122*20))</f>
        <v/>
      </c>
      <c r="I122" s="18">
        <f>IF(OR(E122="",G122=""),"",E122-(G122*20))</f>
        <v/>
      </c>
      <c r="J122" s="18">
        <f>IF(OR(D122="",E122=""),"INCOMPLETE",IF(AND(D122&gt;=80,E122&lt;50),"CONTRADICTION",IF(AND(D122&gt;=70,E122&lt;70),"DEPENDENCY GAP","NO TRIGGER")))</f>
        <v/>
      </c>
      <c r="K122" s="18">
        <f>IF(J122="CONTRADICTION","HIGH",IF(J122="DEPENDENCY GAP","MEDIUM","—"))</f>
        <v/>
      </c>
      <c r="L122" s="18">
        <f>IF(J122="CONTRADICTION","Strong upstream claim is not supported by linked downstream capability/evidence. Trigger: Curriculum mapping review.",IF(J122="DEPENDENCY GAP","Downstream capability materially trails upstream expectation. Trigger: Curriculum mapping review.",""))</f>
        <v/>
      </c>
    </row>
    <row r="123">
      <c r="A123" s="18" t="inlineStr">
        <is>
          <t>CD08</t>
        </is>
      </c>
      <c r="B123" s="18" t="inlineStr">
        <is>
          <t>D03-I05</t>
        </is>
      </c>
      <c r="C123" s="18" t="inlineStr">
        <is>
          <t>D04-I07</t>
        </is>
      </c>
      <c r="D123" s="18">
        <f>'P0-3_Scorecard'!L30</f>
        <v/>
      </c>
      <c r="E123" s="18">
        <f>'P0-3_Scorecard'!L49</f>
        <v/>
      </c>
      <c r="F123" s="18">
        <f>'P0-3_Scorecard'!M30</f>
        <v/>
      </c>
      <c r="G123" s="18">
        <f>'P0-3_Scorecard'!M49</f>
        <v/>
      </c>
      <c r="H123" s="18">
        <f>IF(OR(D123="",F123=""),"",D123-(F123*20))</f>
        <v/>
      </c>
      <c r="I123" s="18">
        <f>IF(OR(E123="",G123=""),"",E123-(G123*20))</f>
        <v/>
      </c>
      <c r="J123" s="18">
        <f>IF(OR(D123="",E123=""),"INCOMPLETE",IF(AND(D123&gt;=80,E123&lt;50),"CONTRADICTION",IF(AND(D123&gt;=70,E123&lt;70),"DEPENDENCY GAP","NO TRIGGER")))</f>
        <v/>
      </c>
      <c r="K123" s="18">
        <f>IF(J123="CONTRADICTION","HIGH",IF(J123="DEPENDENCY GAP","MEDIUM","—"))</f>
        <v/>
      </c>
      <c r="L123" s="18">
        <f>IF(J123="CONTRADICTION","Strong upstream claim is not supported by linked downstream capability/evidence. Trigger: Curriculum mapping review.",IF(J123="DEPENDENCY GAP","Downstream capability materially trails upstream expectation. Trigger: Curriculum mapping review.",""))</f>
        <v/>
      </c>
    </row>
    <row r="124">
      <c r="A124" s="18" t="inlineStr">
        <is>
          <t>CD08</t>
        </is>
      </c>
      <c r="B124" s="18" t="inlineStr">
        <is>
          <t>D03-I05</t>
        </is>
      </c>
      <c r="C124" s="18" t="inlineStr">
        <is>
          <t>D04-I11</t>
        </is>
      </c>
      <c r="D124" s="18">
        <f>'P0-3_Scorecard'!L30</f>
        <v/>
      </c>
      <c r="E124" s="18">
        <f>'P0-3_Scorecard'!L53</f>
        <v/>
      </c>
      <c r="F124" s="18">
        <f>'P0-3_Scorecard'!M30</f>
        <v/>
      </c>
      <c r="G124" s="18">
        <f>'P0-3_Scorecard'!M53</f>
        <v/>
      </c>
      <c r="H124" s="18">
        <f>IF(OR(D124="",F124=""),"",D124-(F124*20))</f>
        <v/>
      </c>
      <c r="I124" s="18">
        <f>IF(OR(E124="",G124=""),"",E124-(G124*20))</f>
        <v/>
      </c>
      <c r="J124" s="18">
        <f>IF(OR(D124="",E124=""),"INCOMPLETE",IF(AND(D124&gt;=80,E124&lt;50),"CONTRADICTION",IF(AND(D124&gt;=70,E124&lt;70),"DEPENDENCY GAP","NO TRIGGER")))</f>
        <v/>
      </c>
      <c r="K124" s="18">
        <f>IF(J124="CONTRADICTION","HIGH",IF(J124="DEPENDENCY GAP","MEDIUM","—"))</f>
        <v/>
      </c>
      <c r="L124" s="18">
        <f>IF(J124="CONTRADICTION","Strong upstream claim is not supported by linked downstream capability/evidence. Trigger: Curriculum mapping review.",IF(J124="DEPENDENCY GAP","Downstream capability materially trails upstream expectation. Trigger: Curriculum mapping review.",""))</f>
        <v/>
      </c>
    </row>
    <row r="125">
      <c r="A125" s="18" t="inlineStr">
        <is>
          <t>CD08</t>
        </is>
      </c>
      <c r="B125" s="18" t="inlineStr">
        <is>
          <t>D03-I07</t>
        </is>
      </c>
      <c r="C125" s="18" t="inlineStr">
        <is>
          <t>D04-I02</t>
        </is>
      </c>
      <c r="D125" s="18">
        <f>'P0-3_Scorecard'!L32</f>
        <v/>
      </c>
      <c r="E125" s="18">
        <f>'P0-3_Scorecard'!L44</f>
        <v/>
      </c>
      <c r="F125" s="18">
        <f>'P0-3_Scorecard'!M32</f>
        <v/>
      </c>
      <c r="G125" s="18">
        <f>'P0-3_Scorecard'!M44</f>
        <v/>
      </c>
      <c r="H125" s="18">
        <f>IF(OR(D125="",F125=""),"",D125-(F125*20))</f>
        <v/>
      </c>
      <c r="I125" s="18">
        <f>IF(OR(E125="",G125=""),"",E125-(G125*20))</f>
        <v/>
      </c>
      <c r="J125" s="18">
        <f>IF(OR(D125="",E125=""),"INCOMPLETE",IF(AND(D125&gt;=80,E125&lt;50),"CONTRADICTION",IF(AND(D125&gt;=70,E125&lt;70),"DEPENDENCY GAP","NO TRIGGER")))</f>
        <v/>
      </c>
      <c r="K125" s="18">
        <f>IF(J125="CONTRADICTION","HIGH",IF(J125="DEPENDENCY GAP","MEDIUM","—"))</f>
        <v/>
      </c>
      <c r="L125" s="18">
        <f>IF(J125="CONTRADICTION","Strong upstream claim is not supported by linked downstream capability/evidence. Trigger: Curriculum mapping review.",IF(J125="DEPENDENCY GAP","Downstream capability materially trails upstream expectation. Trigger: Curriculum mapping review.",""))</f>
        <v/>
      </c>
    </row>
    <row r="126">
      <c r="A126" s="18" t="inlineStr">
        <is>
          <t>CD08</t>
        </is>
      </c>
      <c r="B126" s="18" t="inlineStr">
        <is>
          <t>D03-I07</t>
        </is>
      </c>
      <c r="C126" s="18" t="inlineStr">
        <is>
          <t>D04-I04</t>
        </is>
      </c>
      <c r="D126" s="18">
        <f>'P0-3_Scorecard'!L32</f>
        <v/>
      </c>
      <c r="E126" s="18">
        <f>'P0-3_Scorecard'!L46</f>
        <v/>
      </c>
      <c r="F126" s="18">
        <f>'P0-3_Scorecard'!M32</f>
        <v/>
      </c>
      <c r="G126" s="18">
        <f>'P0-3_Scorecard'!M46</f>
        <v/>
      </c>
      <c r="H126" s="18">
        <f>IF(OR(D126="",F126=""),"",D126-(F126*20))</f>
        <v/>
      </c>
      <c r="I126" s="18">
        <f>IF(OR(E126="",G126=""),"",E126-(G126*20))</f>
        <v/>
      </c>
      <c r="J126" s="18">
        <f>IF(OR(D126="",E126=""),"INCOMPLETE",IF(AND(D126&gt;=80,E126&lt;50),"CONTRADICTION",IF(AND(D126&gt;=70,E126&lt;70),"DEPENDENCY GAP","NO TRIGGER")))</f>
        <v/>
      </c>
      <c r="K126" s="18">
        <f>IF(J126="CONTRADICTION","HIGH",IF(J126="DEPENDENCY GAP","MEDIUM","—"))</f>
        <v/>
      </c>
      <c r="L126" s="18">
        <f>IF(J126="CONTRADICTION","Strong upstream claim is not supported by linked downstream capability/evidence. Trigger: Curriculum mapping review.",IF(J126="DEPENDENCY GAP","Downstream capability materially trails upstream expectation. Trigger: Curriculum mapping review.",""))</f>
        <v/>
      </c>
    </row>
    <row r="127">
      <c r="A127" s="18" t="inlineStr">
        <is>
          <t>CD08</t>
        </is>
      </c>
      <c r="B127" s="18" t="inlineStr">
        <is>
          <t>D03-I07</t>
        </is>
      </c>
      <c r="C127" s="18" t="inlineStr">
        <is>
          <t>D04-I07</t>
        </is>
      </c>
      <c r="D127" s="18">
        <f>'P0-3_Scorecard'!L32</f>
        <v/>
      </c>
      <c r="E127" s="18">
        <f>'P0-3_Scorecard'!L49</f>
        <v/>
      </c>
      <c r="F127" s="18">
        <f>'P0-3_Scorecard'!M32</f>
        <v/>
      </c>
      <c r="G127" s="18">
        <f>'P0-3_Scorecard'!M49</f>
        <v/>
      </c>
      <c r="H127" s="18">
        <f>IF(OR(D127="",F127=""),"",D127-(F127*20))</f>
        <v/>
      </c>
      <c r="I127" s="18">
        <f>IF(OR(E127="",G127=""),"",E127-(G127*20))</f>
        <v/>
      </c>
      <c r="J127" s="18">
        <f>IF(OR(D127="",E127=""),"INCOMPLETE",IF(AND(D127&gt;=80,E127&lt;50),"CONTRADICTION",IF(AND(D127&gt;=70,E127&lt;70),"DEPENDENCY GAP","NO TRIGGER")))</f>
        <v/>
      </c>
      <c r="K127" s="18">
        <f>IF(J127="CONTRADICTION","HIGH",IF(J127="DEPENDENCY GAP","MEDIUM","—"))</f>
        <v/>
      </c>
      <c r="L127" s="18">
        <f>IF(J127="CONTRADICTION","Strong upstream claim is not supported by linked downstream capability/evidence. Trigger: Curriculum mapping review.",IF(J127="DEPENDENCY GAP","Downstream capability materially trails upstream expectation. Trigger: Curriculum mapping review.",""))</f>
        <v/>
      </c>
    </row>
    <row r="128">
      <c r="A128" s="18" t="inlineStr">
        <is>
          <t>CD08</t>
        </is>
      </c>
      <c r="B128" s="18" t="inlineStr">
        <is>
          <t>D03-I07</t>
        </is>
      </c>
      <c r="C128" s="18" t="inlineStr">
        <is>
          <t>D04-I11</t>
        </is>
      </c>
      <c r="D128" s="18">
        <f>'P0-3_Scorecard'!L32</f>
        <v/>
      </c>
      <c r="E128" s="18">
        <f>'P0-3_Scorecard'!L53</f>
        <v/>
      </c>
      <c r="F128" s="18">
        <f>'P0-3_Scorecard'!M32</f>
        <v/>
      </c>
      <c r="G128" s="18">
        <f>'P0-3_Scorecard'!M53</f>
        <v/>
      </c>
      <c r="H128" s="18">
        <f>IF(OR(D128="",F128=""),"",D128-(F128*20))</f>
        <v/>
      </c>
      <c r="I128" s="18">
        <f>IF(OR(E128="",G128=""),"",E128-(G128*20))</f>
        <v/>
      </c>
      <c r="J128" s="18">
        <f>IF(OR(D128="",E128=""),"INCOMPLETE",IF(AND(D128&gt;=80,E128&lt;50),"CONTRADICTION",IF(AND(D128&gt;=70,E128&lt;70),"DEPENDENCY GAP","NO TRIGGER")))</f>
        <v/>
      </c>
      <c r="K128" s="18">
        <f>IF(J128="CONTRADICTION","HIGH",IF(J128="DEPENDENCY GAP","MEDIUM","—"))</f>
        <v/>
      </c>
      <c r="L128" s="18">
        <f>IF(J128="CONTRADICTION","Strong upstream claim is not supported by linked downstream capability/evidence. Trigger: Curriculum mapping review.",IF(J128="DEPENDENCY GAP","Downstream capability materially trails upstream expectation. Trigger: Curriculum mapping review.",""))</f>
        <v/>
      </c>
    </row>
    <row r="129">
      <c r="A129" s="18" t="inlineStr">
        <is>
          <t>CD08</t>
        </is>
      </c>
      <c r="B129" s="18" t="inlineStr">
        <is>
          <t>D03-I16</t>
        </is>
      </c>
      <c r="C129" s="18" t="inlineStr">
        <is>
          <t>D04-I02</t>
        </is>
      </c>
      <c r="D129" s="18">
        <f>'P0-3_Scorecard'!L41</f>
        <v/>
      </c>
      <c r="E129" s="18">
        <f>'P0-3_Scorecard'!L44</f>
        <v/>
      </c>
      <c r="F129" s="18">
        <f>'P0-3_Scorecard'!M41</f>
        <v/>
      </c>
      <c r="G129" s="18">
        <f>'P0-3_Scorecard'!M44</f>
        <v/>
      </c>
      <c r="H129" s="18">
        <f>IF(OR(D129="",F129=""),"",D129-(F129*20))</f>
        <v/>
      </c>
      <c r="I129" s="18">
        <f>IF(OR(E129="",G129=""),"",E129-(G129*20))</f>
        <v/>
      </c>
      <c r="J129" s="18">
        <f>IF(OR(D129="",E129=""),"INCOMPLETE",IF(AND(D129&gt;=80,E129&lt;50),"CONTRADICTION",IF(AND(D129&gt;=70,E129&lt;70),"DEPENDENCY GAP","NO TRIGGER")))</f>
        <v/>
      </c>
      <c r="K129" s="18">
        <f>IF(J129="CONTRADICTION","HIGH",IF(J129="DEPENDENCY GAP","MEDIUM","—"))</f>
        <v/>
      </c>
      <c r="L129" s="18">
        <f>IF(J129="CONTRADICTION","Strong upstream claim is not supported by linked downstream capability/evidence. Trigger: Curriculum mapping review.",IF(J129="DEPENDENCY GAP","Downstream capability materially trails upstream expectation. Trigger: Curriculum mapping review.",""))</f>
        <v/>
      </c>
    </row>
    <row r="130">
      <c r="A130" s="18" t="inlineStr">
        <is>
          <t>CD08</t>
        </is>
      </c>
      <c r="B130" s="18" t="inlineStr">
        <is>
          <t>D03-I16</t>
        </is>
      </c>
      <c r="C130" s="18" t="inlineStr">
        <is>
          <t>D04-I04</t>
        </is>
      </c>
      <c r="D130" s="18">
        <f>'P0-3_Scorecard'!L41</f>
        <v/>
      </c>
      <c r="E130" s="18">
        <f>'P0-3_Scorecard'!L46</f>
        <v/>
      </c>
      <c r="F130" s="18">
        <f>'P0-3_Scorecard'!M41</f>
        <v/>
      </c>
      <c r="G130" s="18">
        <f>'P0-3_Scorecard'!M46</f>
        <v/>
      </c>
      <c r="H130" s="18">
        <f>IF(OR(D130="",F130=""),"",D130-(F130*20))</f>
        <v/>
      </c>
      <c r="I130" s="18">
        <f>IF(OR(E130="",G130=""),"",E130-(G130*20))</f>
        <v/>
      </c>
      <c r="J130" s="18">
        <f>IF(OR(D130="",E130=""),"INCOMPLETE",IF(AND(D130&gt;=80,E130&lt;50),"CONTRADICTION",IF(AND(D130&gt;=70,E130&lt;70),"DEPENDENCY GAP","NO TRIGGER")))</f>
        <v/>
      </c>
      <c r="K130" s="18">
        <f>IF(J130="CONTRADICTION","HIGH",IF(J130="DEPENDENCY GAP","MEDIUM","—"))</f>
        <v/>
      </c>
      <c r="L130" s="18">
        <f>IF(J130="CONTRADICTION","Strong upstream claim is not supported by linked downstream capability/evidence. Trigger: Curriculum mapping review.",IF(J130="DEPENDENCY GAP","Downstream capability materially trails upstream expectation. Trigger: Curriculum mapping review.",""))</f>
        <v/>
      </c>
    </row>
    <row r="131">
      <c r="A131" s="18" t="inlineStr">
        <is>
          <t>CD08</t>
        </is>
      </c>
      <c r="B131" s="18" t="inlineStr">
        <is>
          <t>D03-I16</t>
        </is>
      </c>
      <c r="C131" s="18" t="inlineStr">
        <is>
          <t>D04-I07</t>
        </is>
      </c>
      <c r="D131" s="18">
        <f>'P0-3_Scorecard'!L41</f>
        <v/>
      </c>
      <c r="E131" s="18">
        <f>'P0-3_Scorecard'!L49</f>
        <v/>
      </c>
      <c r="F131" s="18">
        <f>'P0-3_Scorecard'!M41</f>
        <v/>
      </c>
      <c r="G131" s="18">
        <f>'P0-3_Scorecard'!M49</f>
        <v/>
      </c>
      <c r="H131" s="18">
        <f>IF(OR(D131="",F131=""),"",D131-(F131*20))</f>
        <v/>
      </c>
      <c r="I131" s="18">
        <f>IF(OR(E131="",G131=""),"",E131-(G131*20))</f>
        <v/>
      </c>
      <c r="J131" s="18">
        <f>IF(OR(D131="",E131=""),"INCOMPLETE",IF(AND(D131&gt;=80,E131&lt;50),"CONTRADICTION",IF(AND(D131&gt;=70,E131&lt;70),"DEPENDENCY GAP","NO TRIGGER")))</f>
        <v/>
      </c>
      <c r="K131" s="18">
        <f>IF(J131="CONTRADICTION","HIGH",IF(J131="DEPENDENCY GAP","MEDIUM","—"))</f>
        <v/>
      </c>
      <c r="L131" s="18">
        <f>IF(J131="CONTRADICTION","Strong upstream claim is not supported by linked downstream capability/evidence. Trigger: Curriculum mapping review.",IF(J131="DEPENDENCY GAP","Downstream capability materially trails upstream expectation. Trigger: Curriculum mapping review.",""))</f>
        <v/>
      </c>
    </row>
    <row r="132">
      <c r="A132" s="18" t="inlineStr">
        <is>
          <t>CD08</t>
        </is>
      </c>
      <c r="B132" s="18" t="inlineStr">
        <is>
          <t>D03-I16</t>
        </is>
      </c>
      <c r="C132" s="18" t="inlineStr">
        <is>
          <t>D04-I11</t>
        </is>
      </c>
      <c r="D132" s="18">
        <f>'P0-3_Scorecard'!L41</f>
        <v/>
      </c>
      <c r="E132" s="18">
        <f>'P0-3_Scorecard'!L53</f>
        <v/>
      </c>
      <c r="F132" s="18">
        <f>'P0-3_Scorecard'!M41</f>
        <v/>
      </c>
      <c r="G132" s="18">
        <f>'P0-3_Scorecard'!M53</f>
        <v/>
      </c>
      <c r="H132" s="18">
        <f>IF(OR(D132="",F132=""),"",D132-(F132*20))</f>
        <v/>
      </c>
      <c r="I132" s="18">
        <f>IF(OR(E132="",G132=""),"",E132-(G132*20))</f>
        <v/>
      </c>
      <c r="J132" s="18">
        <f>IF(OR(D132="",E132=""),"INCOMPLETE",IF(AND(D132&gt;=80,E132&lt;50),"CONTRADICTION",IF(AND(D132&gt;=70,E132&lt;70),"DEPENDENCY GAP","NO TRIGGER")))</f>
        <v/>
      </c>
      <c r="K132" s="18">
        <f>IF(J132="CONTRADICTION","HIGH",IF(J132="DEPENDENCY GAP","MEDIUM","—"))</f>
        <v/>
      </c>
      <c r="L132" s="18">
        <f>IF(J132="CONTRADICTION","Strong upstream claim is not supported by linked downstream capability/evidence. Trigger: Curriculum mapping review.",IF(J132="DEPENDENCY GAP","Downstream capability materially trails upstream expectation. Trigger: Curriculum mapping review.",""))</f>
        <v/>
      </c>
    </row>
    <row r="133">
      <c r="A133" s="18" t="inlineStr">
        <is>
          <t>CD08</t>
        </is>
      </c>
      <c r="B133" s="18" t="inlineStr">
        <is>
          <t>D03-I17</t>
        </is>
      </c>
      <c r="C133" s="18" t="inlineStr">
        <is>
          <t>D04-I02</t>
        </is>
      </c>
      <c r="D133" s="18">
        <f>'P0-3_Scorecard'!L42</f>
        <v/>
      </c>
      <c r="E133" s="18">
        <f>'P0-3_Scorecard'!L44</f>
        <v/>
      </c>
      <c r="F133" s="18">
        <f>'P0-3_Scorecard'!M42</f>
        <v/>
      </c>
      <c r="G133" s="18">
        <f>'P0-3_Scorecard'!M44</f>
        <v/>
      </c>
      <c r="H133" s="18">
        <f>IF(OR(D133="",F133=""),"",D133-(F133*20))</f>
        <v/>
      </c>
      <c r="I133" s="18">
        <f>IF(OR(E133="",G133=""),"",E133-(G133*20))</f>
        <v/>
      </c>
      <c r="J133" s="18">
        <f>IF(OR(D133="",E133=""),"INCOMPLETE",IF(AND(D133&gt;=80,E133&lt;50),"CONTRADICTION",IF(AND(D133&gt;=70,E133&lt;70),"DEPENDENCY GAP","NO TRIGGER")))</f>
        <v/>
      </c>
      <c r="K133" s="18">
        <f>IF(J133="CONTRADICTION","HIGH",IF(J133="DEPENDENCY GAP","MEDIUM","—"))</f>
        <v/>
      </c>
      <c r="L133" s="18">
        <f>IF(J133="CONTRADICTION","Strong upstream claim is not supported by linked downstream capability/evidence. Trigger: Curriculum mapping review.",IF(J133="DEPENDENCY GAP","Downstream capability materially trails upstream expectation. Trigger: Curriculum mapping review.",""))</f>
        <v/>
      </c>
    </row>
    <row r="134">
      <c r="A134" s="18" t="inlineStr">
        <is>
          <t>CD08</t>
        </is>
      </c>
      <c r="B134" s="18" t="inlineStr">
        <is>
          <t>D03-I17</t>
        </is>
      </c>
      <c r="C134" s="18" t="inlineStr">
        <is>
          <t>D04-I04</t>
        </is>
      </c>
      <c r="D134" s="18">
        <f>'P0-3_Scorecard'!L42</f>
        <v/>
      </c>
      <c r="E134" s="18">
        <f>'P0-3_Scorecard'!L46</f>
        <v/>
      </c>
      <c r="F134" s="18">
        <f>'P0-3_Scorecard'!M42</f>
        <v/>
      </c>
      <c r="G134" s="18">
        <f>'P0-3_Scorecard'!M46</f>
        <v/>
      </c>
      <c r="H134" s="18">
        <f>IF(OR(D134="",F134=""),"",D134-(F134*20))</f>
        <v/>
      </c>
      <c r="I134" s="18">
        <f>IF(OR(E134="",G134=""),"",E134-(G134*20))</f>
        <v/>
      </c>
      <c r="J134" s="18">
        <f>IF(OR(D134="",E134=""),"INCOMPLETE",IF(AND(D134&gt;=80,E134&lt;50),"CONTRADICTION",IF(AND(D134&gt;=70,E134&lt;70),"DEPENDENCY GAP","NO TRIGGER")))</f>
        <v/>
      </c>
      <c r="K134" s="18">
        <f>IF(J134="CONTRADICTION","HIGH",IF(J134="DEPENDENCY GAP","MEDIUM","—"))</f>
        <v/>
      </c>
      <c r="L134" s="18">
        <f>IF(J134="CONTRADICTION","Strong upstream claim is not supported by linked downstream capability/evidence. Trigger: Curriculum mapping review.",IF(J134="DEPENDENCY GAP","Downstream capability materially trails upstream expectation. Trigger: Curriculum mapping review.",""))</f>
        <v/>
      </c>
    </row>
    <row r="135">
      <c r="A135" s="18" t="inlineStr">
        <is>
          <t>CD08</t>
        </is>
      </c>
      <c r="B135" s="18" t="inlineStr">
        <is>
          <t>D03-I17</t>
        </is>
      </c>
      <c r="C135" s="18" t="inlineStr">
        <is>
          <t>D04-I07</t>
        </is>
      </c>
      <c r="D135" s="18">
        <f>'P0-3_Scorecard'!L42</f>
        <v/>
      </c>
      <c r="E135" s="18">
        <f>'P0-3_Scorecard'!L49</f>
        <v/>
      </c>
      <c r="F135" s="18">
        <f>'P0-3_Scorecard'!M42</f>
        <v/>
      </c>
      <c r="G135" s="18">
        <f>'P0-3_Scorecard'!M49</f>
        <v/>
      </c>
      <c r="H135" s="18">
        <f>IF(OR(D135="",F135=""),"",D135-(F135*20))</f>
        <v/>
      </c>
      <c r="I135" s="18">
        <f>IF(OR(E135="",G135=""),"",E135-(G135*20))</f>
        <v/>
      </c>
      <c r="J135" s="18">
        <f>IF(OR(D135="",E135=""),"INCOMPLETE",IF(AND(D135&gt;=80,E135&lt;50),"CONTRADICTION",IF(AND(D135&gt;=70,E135&lt;70),"DEPENDENCY GAP","NO TRIGGER")))</f>
        <v/>
      </c>
      <c r="K135" s="18">
        <f>IF(J135="CONTRADICTION","HIGH",IF(J135="DEPENDENCY GAP","MEDIUM","—"))</f>
        <v/>
      </c>
      <c r="L135" s="18">
        <f>IF(J135="CONTRADICTION","Strong upstream claim is not supported by linked downstream capability/evidence. Trigger: Curriculum mapping review.",IF(J135="DEPENDENCY GAP","Downstream capability materially trails upstream expectation. Trigger: Curriculum mapping review.",""))</f>
        <v/>
      </c>
    </row>
    <row r="136">
      <c r="A136" s="18" t="inlineStr">
        <is>
          <t>CD08</t>
        </is>
      </c>
      <c r="B136" s="18" t="inlineStr">
        <is>
          <t>D03-I17</t>
        </is>
      </c>
      <c r="C136" s="18" t="inlineStr">
        <is>
          <t>D04-I11</t>
        </is>
      </c>
      <c r="D136" s="18">
        <f>'P0-3_Scorecard'!L42</f>
        <v/>
      </c>
      <c r="E136" s="18">
        <f>'P0-3_Scorecard'!L53</f>
        <v/>
      </c>
      <c r="F136" s="18">
        <f>'P0-3_Scorecard'!M42</f>
        <v/>
      </c>
      <c r="G136" s="18">
        <f>'P0-3_Scorecard'!M53</f>
        <v/>
      </c>
      <c r="H136" s="18">
        <f>IF(OR(D136="",F136=""),"",D136-(F136*20))</f>
        <v/>
      </c>
      <c r="I136" s="18">
        <f>IF(OR(E136="",G136=""),"",E136-(G136*20))</f>
        <v/>
      </c>
      <c r="J136" s="18">
        <f>IF(OR(D136="",E136=""),"INCOMPLETE",IF(AND(D136&gt;=80,E136&lt;50),"CONTRADICTION",IF(AND(D136&gt;=70,E136&lt;70),"DEPENDENCY GAP","NO TRIGGER")))</f>
        <v/>
      </c>
      <c r="K136" s="18">
        <f>IF(J136="CONTRADICTION","HIGH",IF(J136="DEPENDENCY GAP","MEDIUM","—"))</f>
        <v/>
      </c>
      <c r="L136" s="18">
        <f>IF(J136="CONTRADICTION","Strong upstream claim is not supported by linked downstream capability/evidence. Trigger: Curriculum mapping review.",IF(J136="DEPENDENCY GAP","Downstream capability materially trails upstream expectation. Trigger: Curriculum mapping review.",""))</f>
        <v/>
      </c>
    </row>
    <row r="137">
      <c r="A137" s="18" t="inlineStr">
        <is>
          <t>CD09</t>
        </is>
      </c>
      <c r="B137" s="18" t="inlineStr">
        <is>
          <t>D03-I02</t>
        </is>
      </c>
      <c r="C137" s="18" t="inlineStr">
        <is>
          <t>D06-I02</t>
        </is>
      </c>
      <c r="D137" s="18">
        <f>'P0-3_Scorecard'!L27</f>
        <v/>
      </c>
      <c r="E137" s="18">
        <f>'P0-3_Scorecard'!L68</f>
        <v/>
      </c>
      <c r="F137" s="18">
        <f>'P0-3_Scorecard'!M27</f>
        <v/>
      </c>
      <c r="G137" s="18">
        <f>'P0-3_Scorecard'!M68</f>
        <v/>
      </c>
      <c r="H137" s="18">
        <f>IF(OR(D137="",F137=""),"",D137-(F137*20))</f>
        <v/>
      </c>
      <c r="I137" s="18">
        <f>IF(OR(E137="",G137=""),"",E137-(G137*20))</f>
        <v/>
      </c>
      <c r="J137" s="18">
        <f>IF(OR(D137="",E137=""),"INCOMPLETE",IF(AND(D137&gt;=80,E137&lt;50),"CONTRADICTION",IF(AND(D137&gt;=70,E137&lt;70),"DEPENDENCY GAP","NO TRIGGER")))</f>
        <v/>
      </c>
      <c r="K137" s="18">
        <f>IF(J137="CONTRADICTION","HIGH",IF(J137="DEPENDENCY GAP","MEDIUM","—"))</f>
        <v/>
      </c>
      <c r="L137" s="18">
        <f>IF(J137="CONTRADICTION","Strong upstream claim is not supported by linked downstream capability/evidence. Trigger: Student capability review.",IF(J137="DEPENDENCY GAP","Downstream capability materially trails upstream expectation. Trigger: Student capability review.",""))</f>
        <v/>
      </c>
    </row>
    <row r="138">
      <c r="A138" s="18" t="inlineStr">
        <is>
          <t>CD09</t>
        </is>
      </c>
      <c r="B138" s="18" t="inlineStr">
        <is>
          <t>D03-I02</t>
        </is>
      </c>
      <c r="C138" s="18" t="inlineStr">
        <is>
          <t>D06-I03</t>
        </is>
      </c>
      <c r="D138" s="18">
        <f>'P0-3_Scorecard'!L27</f>
        <v/>
      </c>
      <c r="E138" s="18">
        <f>'P0-3_Scorecard'!L69</f>
        <v/>
      </c>
      <c r="F138" s="18">
        <f>'P0-3_Scorecard'!M27</f>
        <v/>
      </c>
      <c r="G138" s="18">
        <f>'P0-3_Scorecard'!M69</f>
        <v/>
      </c>
      <c r="H138" s="18">
        <f>IF(OR(D138="",F138=""),"",D138-(F138*20))</f>
        <v/>
      </c>
      <c r="I138" s="18">
        <f>IF(OR(E138="",G138=""),"",E138-(G138*20))</f>
        <v/>
      </c>
      <c r="J138" s="18">
        <f>IF(OR(D138="",E138=""),"INCOMPLETE",IF(AND(D138&gt;=80,E138&lt;50),"CONTRADICTION",IF(AND(D138&gt;=70,E138&lt;70),"DEPENDENCY GAP","NO TRIGGER")))</f>
        <v/>
      </c>
      <c r="K138" s="18">
        <f>IF(J138="CONTRADICTION","HIGH",IF(J138="DEPENDENCY GAP","MEDIUM","—"))</f>
        <v/>
      </c>
      <c r="L138" s="18">
        <f>IF(J138="CONTRADICTION","Strong upstream claim is not supported by linked downstream capability/evidence. Trigger: Student capability review.",IF(J138="DEPENDENCY GAP","Downstream capability materially trails upstream expectation. Trigger: Student capability review.",""))</f>
        <v/>
      </c>
    </row>
    <row r="139">
      <c r="A139" s="18" t="inlineStr">
        <is>
          <t>CD09</t>
        </is>
      </c>
      <c r="B139" s="18" t="inlineStr">
        <is>
          <t>D03-I02</t>
        </is>
      </c>
      <c r="C139" s="18" t="inlineStr">
        <is>
          <t>D06-I04</t>
        </is>
      </c>
      <c r="D139" s="18">
        <f>'P0-3_Scorecard'!L27</f>
        <v/>
      </c>
      <c r="E139" s="18">
        <f>'P0-3_Scorecard'!L70</f>
        <v/>
      </c>
      <c r="F139" s="18">
        <f>'P0-3_Scorecard'!M27</f>
        <v/>
      </c>
      <c r="G139" s="18">
        <f>'P0-3_Scorecard'!M70</f>
        <v/>
      </c>
      <c r="H139" s="18">
        <f>IF(OR(D139="",F139=""),"",D139-(F139*20))</f>
        <v/>
      </c>
      <c r="I139" s="18">
        <f>IF(OR(E139="",G139=""),"",E139-(G139*20))</f>
        <v/>
      </c>
      <c r="J139" s="18">
        <f>IF(OR(D139="",E139=""),"INCOMPLETE",IF(AND(D139&gt;=80,E139&lt;50),"CONTRADICTION",IF(AND(D139&gt;=70,E139&lt;70),"DEPENDENCY GAP","NO TRIGGER")))</f>
        <v/>
      </c>
      <c r="K139" s="18">
        <f>IF(J139="CONTRADICTION","HIGH",IF(J139="DEPENDENCY GAP","MEDIUM","—"))</f>
        <v/>
      </c>
      <c r="L139" s="18">
        <f>IF(J139="CONTRADICTION","Strong upstream claim is not supported by linked downstream capability/evidence. Trigger: Student capability review.",IF(J139="DEPENDENCY GAP","Downstream capability materially trails upstream expectation. Trigger: Student capability review.",""))</f>
        <v/>
      </c>
    </row>
    <row r="140">
      <c r="A140" s="18" t="inlineStr">
        <is>
          <t>CD09</t>
        </is>
      </c>
      <c r="B140" s="18" t="inlineStr">
        <is>
          <t>D03-I02</t>
        </is>
      </c>
      <c r="C140" s="18" t="inlineStr">
        <is>
          <t>D06-I10</t>
        </is>
      </c>
      <c r="D140" s="18">
        <f>'P0-3_Scorecard'!L27</f>
        <v/>
      </c>
      <c r="E140" s="18">
        <f>'P0-3_Scorecard'!L76</f>
        <v/>
      </c>
      <c r="F140" s="18">
        <f>'P0-3_Scorecard'!M27</f>
        <v/>
      </c>
      <c r="G140" s="18">
        <f>'P0-3_Scorecard'!M76</f>
        <v/>
      </c>
      <c r="H140" s="18">
        <f>IF(OR(D140="",F140=""),"",D140-(F140*20))</f>
        <v/>
      </c>
      <c r="I140" s="18">
        <f>IF(OR(E140="",G140=""),"",E140-(G140*20))</f>
        <v/>
      </c>
      <c r="J140" s="18">
        <f>IF(OR(D140="",E140=""),"INCOMPLETE",IF(AND(D140&gt;=80,E140&lt;50),"CONTRADICTION",IF(AND(D140&gt;=70,E140&lt;70),"DEPENDENCY GAP","NO TRIGGER")))</f>
        <v/>
      </c>
      <c r="K140" s="18">
        <f>IF(J140="CONTRADICTION","HIGH",IF(J140="DEPENDENCY GAP","MEDIUM","—"))</f>
        <v/>
      </c>
      <c r="L140" s="18">
        <f>IF(J140="CONTRADICTION","Strong upstream claim is not supported by linked downstream capability/evidence. Trigger: Student capability review.",IF(J140="DEPENDENCY GAP","Downstream capability materially trails upstream expectation. Trigger: Student capability review.",""))</f>
        <v/>
      </c>
    </row>
    <row r="141">
      <c r="A141" s="18" t="inlineStr">
        <is>
          <t>CD09</t>
        </is>
      </c>
      <c r="B141" s="18" t="inlineStr">
        <is>
          <t>D03-I02</t>
        </is>
      </c>
      <c r="C141" s="18" t="inlineStr">
        <is>
          <t>D06-I14</t>
        </is>
      </c>
      <c r="D141" s="18">
        <f>'P0-3_Scorecard'!L27</f>
        <v/>
      </c>
      <c r="E141" s="18">
        <f>'P0-3_Scorecard'!L80</f>
        <v/>
      </c>
      <c r="F141" s="18">
        <f>'P0-3_Scorecard'!M27</f>
        <v/>
      </c>
      <c r="G141" s="18">
        <f>'P0-3_Scorecard'!M80</f>
        <v/>
      </c>
      <c r="H141" s="18">
        <f>IF(OR(D141="",F141=""),"",D141-(F141*20))</f>
        <v/>
      </c>
      <c r="I141" s="18">
        <f>IF(OR(E141="",G141=""),"",E141-(G141*20))</f>
        <v/>
      </c>
      <c r="J141" s="18">
        <f>IF(OR(D141="",E141=""),"INCOMPLETE",IF(AND(D141&gt;=80,E141&lt;50),"CONTRADICTION",IF(AND(D141&gt;=70,E141&lt;70),"DEPENDENCY GAP","NO TRIGGER")))</f>
        <v/>
      </c>
      <c r="K141" s="18">
        <f>IF(J141="CONTRADICTION","HIGH",IF(J141="DEPENDENCY GAP","MEDIUM","—"))</f>
        <v/>
      </c>
      <c r="L141" s="18">
        <f>IF(J141="CONTRADICTION","Strong upstream claim is not supported by linked downstream capability/evidence. Trigger: Student capability review.",IF(J141="DEPENDENCY GAP","Downstream capability materially trails upstream expectation. Trigger: Student capability review.",""))</f>
        <v/>
      </c>
    </row>
    <row r="142">
      <c r="A142" s="18" t="inlineStr">
        <is>
          <t>CD09</t>
        </is>
      </c>
      <c r="B142" s="18" t="inlineStr">
        <is>
          <t>D03-I05</t>
        </is>
      </c>
      <c r="C142" s="18" t="inlineStr">
        <is>
          <t>D06-I02</t>
        </is>
      </c>
      <c r="D142" s="18">
        <f>'P0-3_Scorecard'!L30</f>
        <v/>
      </c>
      <c r="E142" s="18">
        <f>'P0-3_Scorecard'!L68</f>
        <v/>
      </c>
      <c r="F142" s="18">
        <f>'P0-3_Scorecard'!M30</f>
        <v/>
      </c>
      <c r="G142" s="18">
        <f>'P0-3_Scorecard'!M68</f>
        <v/>
      </c>
      <c r="H142" s="18">
        <f>IF(OR(D142="",F142=""),"",D142-(F142*20))</f>
        <v/>
      </c>
      <c r="I142" s="18">
        <f>IF(OR(E142="",G142=""),"",E142-(G142*20))</f>
        <v/>
      </c>
      <c r="J142" s="18">
        <f>IF(OR(D142="",E142=""),"INCOMPLETE",IF(AND(D142&gt;=80,E142&lt;50),"CONTRADICTION",IF(AND(D142&gt;=70,E142&lt;70),"DEPENDENCY GAP","NO TRIGGER")))</f>
        <v/>
      </c>
      <c r="K142" s="18">
        <f>IF(J142="CONTRADICTION","HIGH",IF(J142="DEPENDENCY GAP","MEDIUM","—"))</f>
        <v/>
      </c>
      <c r="L142" s="18">
        <f>IF(J142="CONTRADICTION","Strong upstream claim is not supported by linked downstream capability/evidence. Trigger: Student capability review.",IF(J142="DEPENDENCY GAP","Downstream capability materially trails upstream expectation. Trigger: Student capability review.",""))</f>
        <v/>
      </c>
    </row>
    <row r="143">
      <c r="A143" s="18" t="inlineStr">
        <is>
          <t>CD09</t>
        </is>
      </c>
      <c r="B143" s="18" t="inlineStr">
        <is>
          <t>D03-I05</t>
        </is>
      </c>
      <c r="C143" s="18" t="inlineStr">
        <is>
          <t>D06-I03</t>
        </is>
      </c>
      <c r="D143" s="18">
        <f>'P0-3_Scorecard'!L30</f>
        <v/>
      </c>
      <c r="E143" s="18">
        <f>'P0-3_Scorecard'!L69</f>
        <v/>
      </c>
      <c r="F143" s="18">
        <f>'P0-3_Scorecard'!M30</f>
        <v/>
      </c>
      <c r="G143" s="18">
        <f>'P0-3_Scorecard'!M69</f>
        <v/>
      </c>
      <c r="H143" s="18">
        <f>IF(OR(D143="",F143=""),"",D143-(F143*20))</f>
        <v/>
      </c>
      <c r="I143" s="18">
        <f>IF(OR(E143="",G143=""),"",E143-(G143*20))</f>
        <v/>
      </c>
      <c r="J143" s="18">
        <f>IF(OR(D143="",E143=""),"INCOMPLETE",IF(AND(D143&gt;=80,E143&lt;50),"CONTRADICTION",IF(AND(D143&gt;=70,E143&lt;70),"DEPENDENCY GAP","NO TRIGGER")))</f>
        <v/>
      </c>
      <c r="K143" s="18">
        <f>IF(J143="CONTRADICTION","HIGH",IF(J143="DEPENDENCY GAP","MEDIUM","—"))</f>
        <v/>
      </c>
      <c r="L143" s="18">
        <f>IF(J143="CONTRADICTION","Strong upstream claim is not supported by linked downstream capability/evidence. Trigger: Student capability review.",IF(J143="DEPENDENCY GAP","Downstream capability materially trails upstream expectation. Trigger: Student capability review.",""))</f>
        <v/>
      </c>
    </row>
    <row r="144">
      <c r="A144" s="18" t="inlineStr">
        <is>
          <t>CD09</t>
        </is>
      </c>
      <c r="B144" s="18" t="inlineStr">
        <is>
          <t>D03-I05</t>
        </is>
      </c>
      <c r="C144" s="18" t="inlineStr">
        <is>
          <t>D06-I04</t>
        </is>
      </c>
      <c r="D144" s="18">
        <f>'P0-3_Scorecard'!L30</f>
        <v/>
      </c>
      <c r="E144" s="18">
        <f>'P0-3_Scorecard'!L70</f>
        <v/>
      </c>
      <c r="F144" s="18">
        <f>'P0-3_Scorecard'!M30</f>
        <v/>
      </c>
      <c r="G144" s="18">
        <f>'P0-3_Scorecard'!M70</f>
        <v/>
      </c>
      <c r="H144" s="18">
        <f>IF(OR(D144="",F144=""),"",D144-(F144*20))</f>
        <v/>
      </c>
      <c r="I144" s="18">
        <f>IF(OR(E144="",G144=""),"",E144-(G144*20))</f>
        <v/>
      </c>
      <c r="J144" s="18">
        <f>IF(OR(D144="",E144=""),"INCOMPLETE",IF(AND(D144&gt;=80,E144&lt;50),"CONTRADICTION",IF(AND(D144&gt;=70,E144&lt;70),"DEPENDENCY GAP","NO TRIGGER")))</f>
        <v/>
      </c>
      <c r="K144" s="18">
        <f>IF(J144="CONTRADICTION","HIGH",IF(J144="DEPENDENCY GAP","MEDIUM","—"))</f>
        <v/>
      </c>
      <c r="L144" s="18">
        <f>IF(J144="CONTRADICTION","Strong upstream claim is not supported by linked downstream capability/evidence. Trigger: Student capability review.",IF(J144="DEPENDENCY GAP","Downstream capability materially trails upstream expectation. Trigger: Student capability review.",""))</f>
        <v/>
      </c>
    </row>
    <row r="145">
      <c r="A145" s="18" t="inlineStr">
        <is>
          <t>CD09</t>
        </is>
      </c>
      <c r="B145" s="18" t="inlineStr">
        <is>
          <t>D03-I05</t>
        </is>
      </c>
      <c r="C145" s="18" t="inlineStr">
        <is>
          <t>D06-I10</t>
        </is>
      </c>
      <c r="D145" s="18">
        <f>'P0-3_Scorecard'!L30</f>
        <v/>
      </c>
      <c r="E145" s="18">
        <f>'P0-3_Scorecard'!L76</f>
        <v/>
      </c>
      <c r="F145" s="18">
        <f>'P0-3_Scorecard'!M30</f>
        <v/>
      </c>
      <c r="G145" s="18">
        <f>'P0-3_Scorecard'!M76</f>
        <v/>
      </c>
      <c r="H145" s="18">
        <f>IF(OR(D145="",F145=""),"",D145-(F145*20))</f>
        <v/>
      </c>
      <c r="I145" s="18">
        <f>IF(OR(E145="",G145=""),"",E145-(G145*20))</f>
        <v/>
      </c>
      <c r="J145" s="18">
        <f>IF(OR(D145="",E145=""),"INCOMPLETE",IF(AND(D145&gt;=80,E145&lt;50),"CONTRADICTION",IF(AND(D145&gt;=70,E145&lt;70),"DEPENDENCY GAP","NO TRIGGER")))</f>
        <v/>
      </c>
      <c r="K145" s="18">
        <f>IF(J145="CONTRADICTION","HIGH",IF(J145="DEPENDENCY GAP","MEDIUM","—"))</f>
        <v/>
      </c>
      <c r="L145" s="18">
        <f>IF(J145="CONTRADICTION","Strong upstream claim is not supported by linked downstream capability/evidence. Trigger: Student capability review.",IF(J145="DEPENDENCY GAP","Downstream capability materially trails upstream expectation. Trigger: Student capability review.",""))</f>
        <v/>
      </c>
    </row>
    <row r="146">
      <c r="A146" s="18" t="inlineStr">
        <is>
          <t>CD09</t>
        </is>
      </c>
      <c r="B146" s="18" t="inlineStr">
        <is>
          <t>D03-I05</t>
        </is>
      </c>
      <c r="C146" s="18" t="inlineStr">
        <is>
          <t>D06-I14</t>
        </is>
      </c>
      <c r="D146" s="18">
        <f>'P0-3_Scorecard'!L30</f>
        <v/>
      </c>
      <c r="E146" s="18">
        <f>'P0-3_Scorecard'!L80</f>
        <v/>
      </c>
      <c r="F146" s="18">
        <f>'P0-3_Scorecard'!M30</f>
        <v/>
      </c>
      <c r="G146" s="18">
        <f>'P0-3_Scorecard'!M80</f>
        <v/>
      </c>
      <c r="H146" s="18">
        <f>IF(OR(D146="",F146=""),"",D146-(F146*20))</f>
        <v/>
      </c>
      <c r="I146" s="18">
        <f>IF(OR(E146="",G146=""),"",E146-(G146*20))</f>
        <v/>
      </c>
      <c r="J146" s="18">
        <f>IF(OR(D146="",E146=""),"INCOMPLETE",IF(AND(D146&gt;=80,E146&lt;50),"CONTRADICTION",IF(AND(D146&gt;=70,E146&lt;70),"DEPENDENCY GAP","NO TRIGGER")))</f>
        <v/>
      </c>
      <c r="K146" s="18">
        <f>IF(J146="CONTRADICTION","HIGH",IF(J146="DEPENDENCY GAP","MEDIUM","—"))</f>
        <v/>
      </c>
      <c r="L146" s="18">
        <f>IF(J146="CONTRADICTION","Strong upstream claim is not supported by linked downstream capability/evidence. Trigger: Student capability review.",IF(J146="DEPENDENCY GAP","Downstream capability materially trails upstream expectation. Trigger: Student capability review.",""))</f>
        <v/>
      </c>
    </row>
    <row r="147">
      <c r="A147" s="18" t="inlineStr">
        <is>
          <t>CD09</t>
        </is>
      </c>
      <c r="B147" s="18" t="inlineStr">
        <is>
          <t>D03-I08</t>
        </is>
      </c>
      <c r="C147" s="18" t="inlineStr">
        <is>
          <t>D06-I02</t>
        </is>
      </c>
      <c r="D147" s="18">
        <f>'P0-3_Scorecard'!L33</f>
        <v/>
      </c>
      <c r="E147" s="18">
        <f>'P0-3_Scorecard'!L68</f>
        <v/>
      </c>
      <c r="F147" s="18">
        <f>'P0-3_Scorecard'!M33</f>
        <v/>
      </c>
      <c r="G147" s="18">
        <f>'P0-3_Scorecard'!M68</f>
        <v/>
      </c>
      <c r="H147" s="18">
        <f>IF(OR(D147="",F147=""),"",D147-(F147*20))</f>
        <v/>
      </c>
      <c r="I147" s="18">
        <f>IF(OR(E147="",G147=""),"",E147-(G147*20))</f>
        <v/>
      </c>
      <c r="J147" s="18">
        <f>IF(OR(D147="",E147=""),"INCOMPLETE",IF(AND(D147&gt;=80,E147&lt;50),"CONTRADICTION",IF(AND(D147&gt;=70,E147&lt;70),"DEPENDENCY GAP","NO TRIGGER")))</f>
        <v/>
      </c>
      <c r="K147" s="18">
        <f>IF(J147="CONTRADICTION","HIGH",IF(J147="DEPENDENCY GAP","MEDIUM","—"))</f>
        <v/>
      </c>
      <c r="L147" s="18">
        <f>IF(J147="CONTRADICTION","Strong upstream claim is not supported by linked downstream capability/evidence. Trigger: Student capability review.",IF(J147="DEPENDENCY GAP","Downstream capability materially trails upstream expectation. Trigger: Student capability review.",""))</f>
        <v/>
      </c>
    </row>
    <row r="148">
      <c r="A148" s="18" t="inlineStr">
        <is>
          <t>CD09</t>
        </is>
      </c>
      <c r="B148" s="18" t="inlineStr">
        <is>
          <t>D03-I08</t>
        </is>
      </c>
      <c r="C148" s="18" t="inlineStr">
        <is>
          <t>D06-I03</t>
        </is>
      </c>
      <c r="D148" s="18">
        <f>'P0-3_Scorecard'!L33</f>
        <v/>
      </c>
      <c r="E148" s="18">
        <f>'P0-3_Scorecard'!L69</f>
        <v/>
      </c>
      <c r="F148" s="18">
        <f>'P0-3_Scorecard'!M33</f>
        <v/>
      </c>
      <c r="G148" s="18">
        <f>'P0-3_Scorecard'!M69</f>
        <v/>
      </c>
      <c r="H148" s="18">
        <f>IF(OR(D148="",F148=""),"",D148-(F148*20))</f>
        <v/>
      </c>
      <c r="I148" s="18">
        <f>IF(OR(E148="",G148=""),"",E148-(G148*20))</f>
        <v/>
      </c>
      <c r="J148" s="18">
        <f>IF(OR(D148="",E148=""),"INCOMPLETE",IF(AND(D148&gt;=80,E148&lt;50),"CONTRADICTION",IF(AND(D148&gt;=70,E148&lt;70),"DEPENDENCY GAP","NO TRIGGER")))</f>
        <v/>
      </c>
      <c r="K148" s="18">
        <f>IF(J148="CONTRADICTION","HIGH",IF(J148="DEPENDENCY GAP","MEDIUM","—"))</f>
        <v/>
      </c>
      <c r="L148" s="18">
        <f>IF(J148="CONTRADICTION","Strong upstream claim is not supported by linked downstream capability/evidence. Trigger: Student capability review.",IF(J148="DEPENDENCY GAP","Downstream capability materially trails upstream expectation. Trigger: Student capability review.",""))</f>
        <v/>
      </c>
    </row>
    <row r="149">
      <c r="A149" s="18" t="inlineStr">
        <is>
          <t>CD09</t>
        </is>
      </c>
      <c r="B149" s="18" t="inlineStr">
        <is>
          <t>D03-I08</t>
        </is>
      </c>
      <c r="C149" s="18" t="inlineStr">
        <is>
          <t>D06-I04</t>
        </is>
      </c>
      <c r="D149" s="18">
        <f>'P0-3_Scorecard'!L33</f>
        <v/>
      </c>
      <c r="E149" s="18">
        <f>'P0-3_Scorecard'!L70</f>
        <v/>
      </c>
      <c r="F149" s="18">
        <f>'P0-3_Scorecard'!M33</f>
        <v/>
      </c>
      <c r="G149" s="18">
        <f>'P0-3_Scorecard'!M70</f>
        <v/>
      </c>
      <c r="H149" s="18">
        <f>IF(OR(D149="",F149=""),"",D149-(F149*20))</f>
        <v/>
      </c>
      <c r="I149" s="18">
        <f>IF(OR(E149="",G149=""),"",E149-(G149*20))</f>
        <v/>
      </c>
      <c r="J149" s="18">
        <f>IF(OR(D149="",E149=""),"INCOMPLETE",IF(AND(D149&gt;=80,E149&lt;50),"CONTRADICTION",IF(AND(D149&gt;=70,E149&lt;70),"DEPENDENCY GAP","NO TRIGGER")))</f>
        <v/>
      </c>
      <c r="K149" s="18">
        <f>IF(J149="CONTRADICTION","HIGH",IF(J149="DEPENDENCY GAP","MEDIUM","—"))</f>
        <v/>
      </c>
      <c r="L149" s="18">
        <f>IF(J149="CONTRADICTION","Strong upstream claim is not supported by linked downstream capability/evidence. Trigger: Student capability review.",IF(J149="DEPENDENCY GAP","Downstream capability materially trails upstream expectation. Trigger: Student capability review.",""))</f>
        <v/>
      </c>
    </row>
    <row r="150">
      <c r="A150" s="18" t="inlineStr">
        <is>
          <t>CD09</t>
        </is>
      </c>
      <c r="B150" s="18" t="inlineStr">
        <is>
          <t>D03-I08</t>
        </is>
      </c>
      <c r="C150" s="18" t="inlineStr">
        <is>
          <t>D06-I10</t>
        </is>
      </c>
      <c r="D150" s="18">
        <f>'P0-3_Scorecard'!L33</f>
        <v/>
      </c>
      <c r="E150" s="18">
        <f>'P0-3_Scorecard'!L76</f>
        <v/>
      </c>
      <c r="F150" s="18">
        <f>'P0-3_Scorecard'!M33</f>
        <v/>
      </c>
      <c r="G150" s="18">
        <f>'P0-3_Scorecard'!M76</f>
        <v/>
      </c>
      <c r="H150" s="18">
        <f>IF(OR(D150="",F150=""),"",D150-(F150*20))</f>
        <v/>
      </c>
      <c r="I150" s="18">
        <f>IF(OR(E150="",G150=""),"",E150-(G150*20))</f>
        <v/>
      </c>
      <c r="J150" s="18">
        <f>IF(OR(D150="",E150=""),"INCOMPLETE",IF(AND(D150&gt;=80,E150&lt;50),"CONTRADICTION",IF(AND(D150&gt;=70,E150&lt;70),"DEPENDENCY GAP","NO TRIGGER")))</f>
        <v/>
      </c>
      <c r="K150" s="18">
        <f>IF(J150="CONTRADICTION","HIGH",IF(J150="DEPENDENCY GAP","MEDIUM","—"))</f>
        <v/>
      </c>
      <c r="L150" s="18">
        <f>IF(J150="CONTRADICTION","Strong upstream claim is not supported by linked downstream capability/evidence. Trigger: Student capability review.",IF(J150="DEPENDENCY GAP","Downstream capability materially trails upstream expectation. Trigger: Student capability review.",""))</f>
        <v/>
      </c>
    </row>
    <row r="151">
      <c r="A151" s="18" t="inlineStr">
        <is>
          <t>CD09</t>
        </is>
      </c>
      <c r="B151" s="18" t="inlineStr">
        <is>
          <t>D03-I08</t>
        </is>
      </c>
      <c r="C151" s="18" t="inlineStr">
        <is>
          <t>D06-I14</t>
        </is>
      </c>
      <c r="D151" s="18">
        <f>'P0-3_Scorecard'!L33</f>
        <v/>
      </c>
      <c r="E151" s="18">
        <f>'P0-3_Scorecard'!L80</f>
        <v/>
      </c>
      <c r="F151" s="18">
        <f>'P0-3_Scorecard'!M33</f>
        <v/>
      </c>
      <c r="G151" s="18">
        <f>'P0-3_Scorecard'!M80</f>
        <v/>
      </c>
      <c r="H151" s="18">
        <f>IF(OR(D151="",F151=""),"",D151-(F151*20))</f>
        <v/>
      </c>
      <c r="I151" s="18">
        <f>IF(OR(E151="",G151=""),"",E151-(G151*20))</f>
        <v/>
      </c>
      <c r="J151" s="18">
        <f>IF(OR(D151="",E151=""),"INCOMPLETE",IF(AND(D151&gt;=80,E151&lt;50),"CONTRADICTION",IF(AND(D151&gt;=70,E151&lt;70),"DEPENDENCY GAP","NO TRIGGER")))</f>
        <v/>
      </c>
      <c r="K151" s="18">
        <f>IF(J151="CONTRADICTION","HIGH",IF(J151="DEPENDENCY GAP","MEDIUM","—"))</f>
        <v/>
      </c>
      <c r="L151" s="18">
        <f>IF(J151="CONTRADICTION","Strong upstream claim is not supported by linked downstream capability/evidence. Trigger: Student capability review.",IF(J151="DEPENDENCY GAP","Downstream capability materially trails upstream expectation. Trigger: Student capability review.",""))</f>
        <v/>
      </c>
    </row>
    <row r="152">
      <c r="A152" s="18" t="inlineStr">
        <is>
          <t>CD09</t>
        </is>
      </c>
      <c r="B152" s="18" t="inlineStr">
        <is>
          <t>D03-I15</t>
        </is>
      </c>
      <c r="C152" s="18" t="inlineStr">
        <is>
          <t>D06-I02</t>
        </is>
      </c>
      <c r="D152" s="18">
        <f>'P0-3_Scorecard'!L40</f>
        <v/>
      </c>
      <c r="E152" s="18">
        <f>'P0-3_Scorecard'!L68</f>
        <v/>
      </c>
      <c r="F152" s="18">
        <f>'P0-3_Scorecard'!M40</f>
        <v/>
      </c>
      <c r="G152" s="18">
        <f>'P0-3_Scorecard'!M68</f>
        <v/>
      </c>
      <c r="H152" s="18">
        <f>IF(OR(D152="",F152=""),"",D152-(F152*20))</f>
        <v/>
      </c>
      <c r="I152" s="18">
        <f>IF(OR(E152="",G152=""),"",E152-(G152*20))</f>
        <v/>
      </c>
      <c r="J152" s="18">
        <f>IF(OR(D152="",E152=""),"INCOMPLETE",IF(AND(D152&gt;=80,E152&lt;50),"CONTRADICTION",IF(AND(D152&gt;=70,E152&lt;70),"DEPENDENCY GAP","NO TRIGGER")))</f>
        <v/>
      </c>
      <c r="K152" s="18">
        <f>IF(J152="CONTRADICTION","HIGH",IF(J152="DEPENDENCY GAP","MEDIUM","—"))</f>
        <v/>
      </c>
      <c r="L152" s="18">
        <f>IF(J152="CONTRADICTION","Strong upstream claim is not supported by linked downstream capability/evidence. Trigger: Student capability review.",IF(J152="DEPENDENCY GAP","Downstream capability materially trails upstream expectation. Trigger: Student capability review.",""))</f>
        <v/>
      </c>
    </row>
    <row r="153">
      <c r="A153" s="18" t="inlineStr">
        <is>
          <t>CD09</t>
        </is>
      </c>
      <c r="B153" s="18" t="inlineStr">
        <is>
          <t>D03-I15</t>
        </is>
      </c>
      <c r="C153" s="18" t="inlineStr">
        <is>
          <t>D06-I03</t>
        </is>
      </c>
      <c r="D153" s="18">
        <f>'P0-3_Scorecard'!L40</f>
        <v/>
      </c>
      <c r="E153" s="18">
        <f>'P0-3_Scorecard'!L69</f>
        <v/>
      </c>
      <c r="F153" s="18">
        <f>'P0-3_Scorecard'!M40</f>
        <v/>
      </c>
      <c r="G153" s="18">
        <f>'P0-3_Scorecard'!M69</f>
        <v/>
      </c>
      <c r="H153" s="18">
        <f>IF(OR(D153="",F153=""),"",D153-(F153*20))</f>
        <v/>
      </c>
      <c r="I153" s="18">
        <f>IF(OR(E153="",G153=""),"",E153-(G153*20))</f>
        <v/>
      </c>
      <c r="J153" s="18">
        <f>IF(OR(D153="",E153=""),"INCOMPLETE",IF(AND(D153&gt;=80,E153&lt;50),"CONTRADICTION",IF(AND(D153&gt;=70,E153&lt;70),"DEPENDENCY GAP","NO TRIGGER")))</f>
        <v/>
      </c>
      <c r="K153" s="18">
        <f>IF(J153="CONTRADICTION","HIGH",IF(J153="DEPENDENCY GAP","MEDIUM","—"))</f>
        <v/>
      </c>
      <c r="L153" s="18">
        <f>IF(J153="CONTRADICTION","Strong upstream claim is not supported by linked downstream capability/evidence. Trigger: Student capability review.",IF(J153="DEPENDENCY GAP","Downstream capability materially trails upstream expectation. Trigger: Student capability review.",""))</f>
        <v/>
      </c>
    </row>
    <row r="154">
      <c r="A154" s="18" t="inlineStr">
        <is>
          <t>CD09</t>
        </is>
      </c>
      <c r="B154" s="18" t="inlineStr">
        <is>
          <t>D03-I15</t>
        </is>
      </c>
      <c r="C154" s="18" t="inlineStr">
        <is>
          <t>D06-I04</t>
        </is>
      </c>
      <c r="D154" s="18">
        <f>'P0-3_Scorecard'!L40</f>
        <v/>
      </c>
      <c r="E154" s="18">
        <f>'P0-3_Scorecard'!L70</f>
        <v/>
      </c>
      <c r="F154" s="18">
        <f>'P0-3_Scorecard'!M40</f>
        <v/>
      </c>
      <c r="G154" s="18">
        <f>'P0-3_Scorecard'!M70</f>
        <v/>
      </c>
      <c r="H154" s="18">
        <f>IF(OR(D154="",F154=""),"",D154-(F154*20))</f>
        <v/>
      </c>
      <c r="I154" s="18">
        <f>IF(OR(E154="",G154=""),"",E154-(G154*20))</f>
        <v/>
      </c>
      <c r="J154" s="18">
        <f>IF(OR(D154="",E154=""),"INCOMPLETE",IF(AND(D154&gt;=80,E154&lt;50),"CONTRADICTION",IF(AND(D154&gt;=70,E154&lt;70),"DEPENDENCY GAP","NO TRIGGER")))</f>
        <v/>
      </c>
      <c r="K154" s="18">
        <f>IF(J154="CONTRADICTION","HIGH",IF(J154="DEPENDENCY GAP","MEDIUM","—"))</f>
        <v/>
      </c>
      <c r="L154" s="18">
        <f>IF(J154="CONTRADICTION","Strong upstream claim is not supported by linked downstream capability/evidence. Trigger: Student capability review.",IF(J154="DEPENDENCY GAP","Downstream capability materially trails upstream expectation. Trigger: Student capability review.",""))</f>
        <v/>
      </c>
    </row>
    <row r="155">
      <c r="A155" s="18" t="inlineStr">
        <is>
          <t>CD09</t>
        </is>
      </c>
      <c r="B155" s="18" t="inlineStr">
        <is>
          <t>D03-I15</t>
        </is>
      </c>
      <c r="C155" s="18" t="inlineStr">
        <is>
          <t>D06-I10</t>
        </is>
      </c>
      <c r="D155" s="18">
        <f>'P0-3_Scorecard'!L40</f>
        <v/>
      </c>
      <c r="E155" s="18">
        <f>'P0-3_Scorecard'!L76</f>
        <v/>
      </c>
      <c r="F155" s="18">
        <f>'P0-3_Scorecard'!M40</f>
        <v/>
      </c>
      <c r="G155" s="18">
        <f>'P0-3_Scorecard'!M76</f>
        <v/>
      </c>
      <c r="H155" s="18">
        <f>IF(OR(D155="",F155=""),"",D155-(F155*20))</f>
        <v/>
      </c>
      <c r="I155" s="18">
        <f>IF(OR(E155="",G155=""),"",E155-(G155*20))</f>
        <v/>
      </c>
      <c r="J155" s="18">
        <f>IF(OR(D155="",E155=""),"INCOMPLETE",IF(AND(D155&gt;=80,E155&lt;50),"CONTRADICTION",IF(AND(D155&gt;=70,E155&lt;70),"DEPENDENCY GAP","NO TRIGGER")))</f>
        <v/>
      </c>
      <c r="K155" s="18">
        <f>IF(J155="CONTRADICTION","HIGH",IF(J155="DEPENDENCY GAP","MEDIUM","—"))</f>
        <v/>
      </c>
      <c r="L155" s="18">
        <f>IF(J155="CONTRADICTION","Strong upstream claim is not supported by linked downstream capability/evidence. Trigger: Student capability review.",IF(J155="DEPENDENCY GAP","Downstream capability materially trails upstream expectation. Trigger: Student capability review.",""))</f>
        <v/>
      </c>
    </row>
    <row r="156">
      <c r="A156" s="18" t="inlineStr">
        <is>
          <t>CD09</t>
        </is>
      </c>
      <c r="B156" s="18" t="inlineStr">
        <is>
          <t>D03-I15</t>
        </is>
      </c>
      <c r="C156" s="18" t="inlineStr">
        <is>
          <t>D06-I14</t>
        </is>
      </c>
      <c r="D156" s="18">
        <f>'P0-3_Scorecard'!L40</f>
        <v/>
      </c>
      <c r="E156" s="18">
        <f>'P0-3_Scorecard'!L80</f>
        <v/>
      </c>
      <c r="F156" s="18">
        <f>'P0-3_Scorecard'!M40</f>
        <v/>
      </c>
      <c r="G156" s="18">
        <f>'P0-3_Scorecard'!M80</f>
        <v/>
      </c>
      <c r="H156" s="18">
        <f>IF(OR(D156="",F156=""),"",D156-(F156*20))</f>
        <v/>
      </c>
      <c r="I156" s="18">
        <f>IF(OR(E156="",G156=""),"",E156-(G156*20))</f>
        <v/>
      </c>
      <c r="J156" s="18">
        <f>IF(OR(D156="",E156=""),"INCOMPLETE",IF(AND(D156&gt;=80,E156&lt;50),"CONTRADICTION",IF(AND(D156&gt;=70,E156&lt;70),"DEPENDENCY GAP","NO TRIGGER")))</f>
        <v/>
      </c>
      <c r="K156" s="18">
        <f>IF(J156="CONTRADICTION","HIGH",IF(J156="DEPENDENCY GAP","MEDIUM","—"))</f>
        <v/>
      </c>
      <c r="L156" s="18">
        <f>IF(J156="CONTRADICTION","Strong upstream claim is not supported by linked downstream capability/evidence. Trigger: Student capability review.",IF(J156="DEPENDENCY GAP","Downstream capability materially trails upstream expectation. Trigger: Student capability review.",""))</f>
        <v/>
      </c>
    </row>
    <row r="157">
      <c r="A157" s="18" t="inlineStr">
        <is>
          <t>CD09</t>
        </is>
      </c>
      <c r="B157" s="18" t="inlineStr">
        <is>
          <t>D03-I16</t>
        </is>
      </c>
      <c r="C157" s="18" t="inlineStr">
        <is>
          <t>D06-I02</t>
        </is>
      </c>
      <c r="D157" s="18">
        <f>'P0-3_Scorecard'!L41</f>
        <v/>
      </c>
      <c r="E157" s="18">
        <f>'P0-3_Scorecard'!L68</f>
        <v/>
      </c>
      <c r="F157" s="18">
        <f>'P0-3_Scorecard'!M41</f>
        <v/>
      </c>
      <c r="G157" s="18">
        <f>'P0-3_Scorecard'!M68</f>
        <v/>
      </c>
      <c r="H157" s="18">
        <f>IF(OR(D157="",F157=""),"",D157-(F157*20))</f>
        <v/>
      </c>
      <c r="I157" s="18">
        <f>IF(OR(E157="",G157=""),"",E157-(G157*20))</f>
        <v/>
      </c>
      <c r="J157" s="18">
        <f>IF(OR(D157="",E157=""),"INCOMPLETE",IF(AND(D157&gt;=80,E157&lt;50),"CONTRADICTION",IF(AND(D157&gt;=70,E157&lt;70),"DEPENDENCY GAP","NO TRIGGER")))</f>
        <v/>
      </c>
      <c r="K157" s="18">
        <f>IF(J157="CONTRADICTION","HIGH",IF(J157="DEPENDENCY GAP","MEDIUM","—"))</f>
        <v/>
      </c>
      <c r="L157" s="18">
        <f>IF(J157="CONTRADICTION","Strong upstream claim is not supported by linked downstream capability/evidence. Trigger: Student capability review.",IF(J157="DEPENDENCY GAP","Downstream capability materially trails upstream expectation. Trigger: Student capability review.",""))</f>
        <v/>
      </c>
    </row>
    <row r="158">
      <c r="A158" s="18" t="inlineStr">
        <is>
          <t>CD09</t>
        </is>
      </c>
      <c r="B158" s="18" t="inlineStr">
        <is>
          <t>D03-I16</t>
        </is>
      </c>
      <c r="C158" s="18" t="inlineStr">
        <is>
          <t>D06-I03</t>
        </is>
      </c>
      <c r="D158" s="18">
        <f>'P0-3_Scorecard'!L41</f>
        <v/>
      </c>
      <c r="E158" s="18">
        <f>'P0-3_Scorecard'!L69</f>
        <v/>
      </c>
      <c r="F158" s="18">
        <f>'P0-3_Scorecard'!M41</f>
        <v/>
      </c>
      <c r="G158" s="18">
        <f>'P0-3_Scorecard'!M69</f>
        <v/>
      </c>
      <c r="H158" s="18">
        <f>IF(OR(D158="",F158=""),"",D158-(F158*20))</f>
        <v/>
      </c>
      <c r="I158" s="18">
        <f>IF(OR(E158="",G158=""),"",E158-(G158*20))</f>
        <v/>
      </c>
      <c r="J158" s="18">
        <f>IF(OR(D158="",E158=""),"INCOMPLETE",IF(AND(D158&gt;=80,E158&lt;50),"CONTRADICTION",IF(AND(D158&gt;=70,E158&lt;70),"DEPENDENCY GAP","NO TRIGGER")))</f>
        <v/>
      </c>
      <c r="K158" s="18">
        <f>IF(J158="CONTRADICTION","HIGH",IF(J158="DEPENDENCY GAP","MEDIUM","—"))</f>
        <v/>
      </c>
      <c r="L158" s="18">
        <f>IF(J158="CONTRADICTION","Strong upstream claim is not supported by linked downstream capability/evidence. Trigger: Student capability review.",IF(J158="DEPENDENCY GAP","Downstream capability materially trails upstream expectation. Trigger: Student capability review.",""))</f>
        <v/>
      </c>
    </row>
    <row r="159">
      <c r="A159" s="18" t="inlineStr">
        <is>
          <t>CD09</t>
        </is>
      </c>
      <c r="B159" s="18" t="inlineStr">
        <is>
          <t>D03-I16</t>
        </is>
      </c>
      <c r="C159" s="18" t="inlineStr">
        <is>
          <t>D06-I04</t>
        </is>
      </c>
      <c r="D159" s="18">
        <f>'P0-3_Scorecard'!L41</f>
        <v/>
      </c>
      <c r="E159" s="18">
        <f>'P0-3_Scorecard'!L70</f>
        <v/>
      </c>
      <c r="F159" s="18">
        <f>'P0-3_Scorecard'!M41</f>
        <v/>
      </c>
      <c r="G159" s="18">
        <f>'P0-3_Scorecard'!M70</f>
        <v/>
      </c>
      <c r="H159" s="18">
        <f>IF(OR(D159="",F159=""),"",D159-(F159*20))</f>
        <v/>
      </c>
      <c r="I159" s="18">
        <f>IF(OR(E159="",G159=""),"",E159-(G159*20))</f>
        <v/>
      </c>
      <c r="J159" s="18">
        <f>IF(OR(D159="",E159=""),"INCOMPLETE",IF(AND(D159&gt;=80,E159&lt;50),"CONTRADICTION",IF(AND(D159&gt;=70,E159&lt;70),"DEPENDENCY GAP","NO TRIGGER")))</f>
        <v/>
      </c>
      <c r="K159" s="18">
        <f>IF(J159="CONTRADICTION","HIGH",IF(J159="DEPENDENCY GAP","MEDIUM","—"))</f>
        <v/>
      </c>
      <c r="L159" s="18">
        <f>IF(J159="CONTRADICTION","Strong upstream claim is not supported by linked downstream capability/evidence. Trigger: Student capability review.",IF(J159="DEPENDENCY GAP","Downstream capability materially trails upstream expectation. Trigger: Student capability review.",""))</f>
        <v/>
      </c>
    </row>
    <row r="160">
      <c r="A160" s="18" t="inlineStr">
        <is>
          <t>CD09</t>
        </is>
      </c>
      <c r="B160" s="18" t="inlineStr">
        <is>
          <t>D03-I16</t>
        </is>
      </c>
      <c r="C160" s="18" t="inlineStr">
        <is>
          <t>D06-I10</t>
        </is>
      </c>
      <c r="D160" s="18">
        <f>'P0-3_Scorecard'!L41</f>
        <v/>
      </c>
      <c r="E160" s="18">
        <f>'P0-3_Scorecard'!L76</f>
        <v/>
      </c>
      <c r="F160" s="18">
        <f>'P0-3_Scorecard'!M41</f>
        <v/>
      </c>
      <c r="G160" s="18">
        <f>'P0-3_Scorecard'!M76</f>
        <v/>
      </c>
      <c r="H160" s="18">
        <f>IF(OR(D160="",F160=""),"",D160-(F160*20))</f>
        <v/>
      </c>
      <c r="I160" s="18">
        <f>IF(OR(E160="",G160=""),"",E160-(G160*20))</f>
        <v/>
      </c>
      <c r="J160" s="18">
        <f>IF(OR(D160="",E160=""),"INCOMPLETE",IF(AND(D160&gt;=80,E160&lt;50),"CONTRADICTION",IF(AND(D160&gt;=70,E160&lt;70),"DEPENDENCY GAP","NO TRIGGER")))</f>
        <v/>
      </c>
      <c r="K160" s="18">
        <f>IF(J160="CONTRADICTION","HIGH",IF(J160="DEPENDENCY GAP","MEDIUM","—"))</f>
        <v/>
      </c>
      <c r="L160" s="18">
        <f>IF(J160="CONTRADICTION","Strong upstream claim is not supported by linked downstream capability/evidence. Trigger: Student capability review.",IF(J160="DEPENDENCY GAP","Downstream capability materially trails upstream expectation. Trigger: Student capability review.",""))</f>
        <v/>
      </c>
    </row>
    <row r="161">
      <c r="A161" s="18" t="inlineStr">
        <is>
          <t>CD09</t>
        </is>
      </c>
      <c r="B161" s="18" t="inlineStr">
        <is>
          <t>D03-I16</t>
        </is>
      </c>
      <c r="C161" s="18" t="inlineStr">
        <is>
          <t>D06-I14</t>
        </is>
      </c>
      <c r="D161" s="18">
        <f>'P0-3_Scorecard'!L41</f>
        <v/>
      </c>
      <c r="E161" s="18">
        <f>'P0-3_Scorecard'!L80</f>
        <v/>
      </c>
      <c r="F161" s="18">
        <f>'P0-3_Scorecard'!M41</f>
        <v/>
      </c>
      <c r="G161" s="18">
        <f>'P0-3_Scorecard'!M80</f>
        <v/>
      </c>
      <c r="H161" s="18">
        <f>IF(OR(D161="",F161=""),"",D161-(F161*20))</f>
        <v/>
      </c>
      <c r="I161" s="18">
        <f>IF(OR(E161="",G161=""),"",E161-(G161*20))</f>
        <v/>
      </c>
      <c r="J161" s="18">
        <f>IF(OR(D161="",E161=""),"INCOMPLETE",IF(AND(D161&gt;=80,E161&lt;50),"CONTRADICTION",IF(AND(D161&gt;=70,E161&lt;70),"DEPENDENCY GAP","NO TRIGGER")))</f>
        <v/>
      </c>
      <c r="K161" s="18">
        <f>IF(J161="CONTRADICTION","HIGH",IF(J161="DEPENDENCY GAP","MEDIUM","—"))</f>
        <v/>
      </c>
      <c r="L161" s="18">
        <f>IF(J161="CONTRADICTION","Strong upstream claim is not supported by linked downstream capability/evidence. Trigger: Student capability review.",IF(J161="DEPENDENCY GAP","Downstream capability materially trails upstream expectation. Trigger: Student capability review.",""))</f>
        <v/>
      </c>
    </row>
    <row r="162">
      <c r="A162" s="18" t="inlineStr">
        <is>
          <t>CD10</t>
        </is>
      </c>
      <c r="B162" s="18" t="inlineStr">
        <is>
          <t>D03-I02</t>
        </is>
      </c>
      <c r="C162" s="18" t="inlineStr">
        <is>
          <t>D07-I02</t>
        </is>
      </c>
      <c r="D162" s="18">
        <f>'P0-3_Scorecard'!L27</f>
        <v/>
      </c>
      <c r="E162" s="18">
        <f>'P0-3_Scorecard'!L82</f>
        <v/>
      </c>
      <c r="F162" s="18">
        <f>'P0-3_Scorecard'!M27</f>
        <v/>
      </c>
      <c r="G162" s="18">
        <f>'P0-3_Scorecard'!M82</f>
        <v/>
      </c>
      <c r="H162" s="18">
        <f>IF(OR(D162="",F162=""),"",D162-(F162*20))</f>
        <v/>
      </c>
      <c r="I162" s="18">
        <f>IF(OR(E162="",G162=""),"",E162-(G162*20))</f>
        <v/>
      </c>
      <c r="J162" s="18">
        <f>IF(OR(D162="",E162=""),"INCOMPLETE",IF(AND(D162&gt;=80,E162&lt;50),"CONTRADICTION",IF(AND(D162&gt;=70,E162&lt;70),"DEPENDENCY GAP","NO TRIGGER")))</f>
        <v/>
      </c>
      <c r="K162" s="18">
        <f>IF(J162="CONTRADICTION","HIGH",IF(J162="DEPENDENCY GAP","MEDIUM","—"))</f>
        <v/>
      </c>
      <c r="L162" s="18">
        <f>IF(J162="CONTRADICTION","Strong upstream claim is not supported by linked downstream capability/evidence. Trigger: Assessment alignment review.",IF(J162="DEPENDENCY GAP","Downstream capability materially trails upstream expectation. Trigger: Assessment alignment review.",""))</f>
        <v/>
      </c>
    </row>
    <row r="163">
      <c r="A163" s="18" t="inlineStr">
        <is>
          <t>CD10</t>
        </is>
      </c>
      <c r="B163" s="18" t="inlineStr">
        <is>
          <t>D03-I02</t>
        </is>
      </c>
      <c r="C163" s="18" t="inlineStr">
        <is>
          <t>D07-I03</t>
        </is>
      </c>
      <c r="D163" s="18">
        <f>'P0-3_Scorecard'!L27</f>
        <v/>
      </c>
      <c r="E163" s="18">
        <f>'P0-3_Scorecard'!L83</f>
        <v/>
      </c>
      <c r="F163" s="18">
        <f>'P0-3_Scorecard'!M27</f>
        <v/>
      </c>
      <c r="G163" s="18">
        <f>'P0-3_Scorecard'!M83</f>
        <v/>
      </c>
      <c r="H163" s="18">
        <f>IF(OR(D163="",F163=""),"",D163-(F163*20))</f>
        <v/>
      </c>
      <c r="I163" s="18">
        <f>IF(OR(E163="",G163=""),"",E163-(G163*20))</f>
        <v/>
      </c>
      <c r="J163" s="18">
        <f>IF(OR(D163="",E163=""),"INCOMPLETE",IF(AND(D163&gt;=80,E163&lt;50),"CONTRADICTION",IF(AND(D163&gt;=70,E163&lt;70),"DEPENDENCY GAP","NO TRIGGER")))</f>
        <v/>
      </c>
      <c r="K163" s="18">
        <f>IF(J163="CONTRADICTION","HIGH",IF(J163="DEPENDENCY GAP","MEDIUM","—"))</f>
        <v/>
      </c>
      <c r="L163" s="18">
        <f>IF(J163="CONTRADICTION","Strong upstream claim is not supported by linked downstream capability/evidence. Trigger: Assessment alignment review.",IF(J163="DEPENDENCY GAP","Downstream capability materially trails upstream expectation. Trigger: Assessment alignment review.",""))</f>
        <v/>
      </c>
    </row>
    <row r="164">
      <c r="A164" s="18" t="inlineStr">
        <is>
          <t>CD10</t>
        </is>
      </c>
      <c r="B164" s="18" t="inlineStr">
        <is>
          <t>D03-I02</t>
        </is>
      </c>
      <c r="C164" s="18" t="inlineStr">
        <is>
          <t>D07-I05</t>
        </is>
      </c>
      <c r="D164" s="18">
        <f>'P0-3_Scorecard'!L27</f>
        <v/>
      </c>
      <c r="E164" s="18">
        <f>'P0-3_Scorecard'!L85</f>
        <v/>
      </c>
      <c r="F164" s="18">
        <f>'P0-3_Scorecard'!M27</f>
        <v/>
      </c>
      <c r="G164" s="18">
        <f>'P0-3_Scorecard'!M85</f>
        <v/>
      </c>
      <c r="H164" s="18">
        <f>IF(OR(D164="",F164=""),"",D164-(F164*20))</f>
        <v/>
      </c>
      <c r="I164" s="18">
        <f>IF(OR(E164="",G164=""),"",E164-(G164*20))</f>
        <v/>
      </c>
      <c r="J164" s="18">
        <f>IF(OR(D164="",E164=""),"INCOMPLETE",IF(AND(D164&gt;=80,E164&lt;50),"CONTRADICTION",IF(AND(D164&gt;=70,E164&lt;70),"DEPENDENCY GAP","NO TRIGGER")))</f>
        <v/>
      </c>
      <c r="K164" s="18">
        <f>IF(J164="CONTRADICTION","HIGH",IF(J164="DEPENDENCY GAP","MEDIUM","—"))</f>
        <v/>
      </c>
      <c r="L164" s="18">
        <f>IF(J164="CONTRADICTION","Strong upstream claim is not supported by linked downstream capability/evidence. Trigger: Assessment alignment review.",IF(J164="DEPENDENCY GAP","Downstream capability materially trails upstream expectation. Trigger: Assessment alignment review.",""))</f>
        <v/>
      </c>
    </row>
    <row r="165">
      <c r="A165" s="18" t="inlineStr">
        <is>
          <t>CD10</t>
        </is>
      </c>
      <c r="B165" s="18" t="inlineStr">
        <is>
          <t>D03-I02</t>
        </is>
      </c>
      <c r="C165" s="18" t="inlineStr">
        <is>
          <t>D07-I07</t>
        </is>
      </c>
      <c r="D165" s="18">
        <f>'P0-3_Scorecard'!L27</f>
        <v/>
      </c>
      <c r="E165" s="18">
        <f>'P0-3_Scorecard'!L87</f>
        <v/>
      </c>
      <c r="F165" s="18">
        <f>'P0-3_Scorecard'!M27</f>
        <v/>
      </c>
      <c r="G165" s="18">
        <f>'P0-3_Scorecard'!M87</f>
        <v/>
      </c>
      <c r="H165" s="18">
        <f>IF(OR(D165="",F165=""),"",D165-(F165*20))</f>
        <v/>
      </c>
      <c r="I165" s="18">
        <f>IF(OR(E165="",G165=""),"",E165-(G165*20))</f>
        <v/>
      </c>
      <c r="J165" s="18">
        <f>IF(OR(D165="",E165=""),"INCOMPLETE",IF(AND(D165&gt;=80,E165&lt;50),"CONTRADICTION",IF(AND(D165&gt;=70,E165&lt;70),"DEPENDENCY GAP","NO TRIGGER")))</f>
        <v/>
      </c>
      <c r="K165" s="18">
        <f>IF(J165="CONTRADICTION","HIGH",IF(J165="DEPENDENCY GAP","MEDIUM","—"))</f>
        <v/>
      </c>
      <c r="L165" s="18">
        <f>IF(J165="CONTRADICTION","Strong upstream claim is not supported by linked downstream capability/evidence. Trigger: Assessment alignment review.",IF(J165="DEPENDENCY GAP","Downstream capability materially trails upstream expectation. Trigger: Assessment alignment review.",""))</f>
        <v/>
      </c>
    </row>
    <row r="166">
      <c r="A166" s="18" t="inlineStr">
        <is>
          <t>CD10</t>
        </is>
      </c>
      <c r="B166" s="18" t="inlineStr">
        <is>
          <t>D03-I02</t>
        </is>
      </c>
      <c r="C166" s="18" t="inlineStr">
        <is>
          <t>D07-I08</t>
        </is>
      </c>
      <c r="D166" s="18">
        <f>'P0-3_Scorecard'!L27</f>
        <v/>
      </c>
      <c r="E166" s="18">
        <f>'P0-3_Scorecard'!L88</f>
        <v/>
      </c>
      <c r="F166" s="18">
        <f>'P0-3_Scorecard'!M27</f>
        <v/>
      </c>
      <c r="G166" s="18">
        <f>'P0-3_Scorecard'!M88</f>
        <v/>
      </c>
      <c r="H166" s="18">
        <f>IF(OR(D166="",F166=""),"",D166-(F166*20))</f>
        <v/>
      </c>
      <c r="I166" s="18">
        <f>IF(OR(E166="",G166=""),"",E166-(G166*20))</f>
        <v/>
      </c>
      <c r="J166" s="18">
        <f>IF(OR(D166="",E166=""),"INCOMPLETE",IF(AND(D166&gt;=80,E166&lt;50),"CONTRADICTION",IF(AND(D166&gt;=70,E166&lt;70),"DEPENDENCY GAP","NO TRIGGER")))</f>
        <v/>
      </c>
      <c r="K166" s="18">
        <f>IF(J166="CONTRADICTION","HIGH",IF(J166="DEPENDENCY GAP","MEDIUM","—"))</f>
        <v/>
      </c>
      <c r="L166" s="18">
        <f>IF(J166="CONTRADICTION","Strong upstream claim is not supported by linked downstream capability/evidence. Trigger: Assessment alignment review.",IF(J166="DEPENDENCY GAP","Downstream capability materially trails upstream expectation. Trigger: Assessment alignment review.",""))</f>
        <v/>
      </c>
    </row>
    <row r="167">
      <c r="A167" s="18" t="inlineStr">
        <is>
          <t>CD10</t>
        </is>
      </c>
      <c r="B167" s="18" t="inlineStr">
        <is>
          <t>D03-I05</t>
        </is>
      </c>
      <c r="C167" s="18" t="inlineStr">
        <is>
          <t>D07-I02</t>
        </is>
      </c>
      <c r="D167" s="18">
        <f>'P0-3_Scorecard'!L30</f>
        <v/>
      </c>
      <c r="E167" s="18">
        <f>'P0-3_Scorecard'!L82</f>
        <v/>
      </c>
      <c r="F167" s="18">
        <f>'P0-3_Scorecard'!M30</f>
        <v/>
      </c>
      <c r="G167" s="18">
        <f>'P0-3_Scorecard'!M82</f>
        <v/>
      </c>
      <c r="H167" s="18">
        <f>IF(OR(D167="",F167=""),"",D167-(F167*20))</f>
        <v/>
      </c>
      <c r="I167" s="18">
        <f>IF(OR(E167="",G167=""),"",E167-(G167*20))</f>
        <v/>
      </c>
      <c r="J167" s="18">
        <f>IF(OR(D167="",E167=""),"INCOMPLETE",IF(AND(D167&gt;=80,E167&lt;50),"CONTRADICTION",IF(AND(D167&gt;=70,E167&lt;70),"DEPENDENCY GAP","NO TRIGGER")))</f>
        <v/>
      </c>
      <c r="K167" s="18">
        <f>IF(J167="CONTRADICTION","HIGH",IF(J167="DEPENDENCY GAP","MEDIUM","—"))</f>
        <v/>
      </c>
      <c r="L167" s="18">
        <f>IF(J167="CONTRADICTION","Strong upstream claim is not supported by linked downstream capability/evidence. Trigger: Assessment alignment review.",IF(J167="DEPENDENCY GAP","Downstream capability materially trails upstream expectation. Trigger: Assessment alignment review.",""))</f>
        <v/>
      </c>
    </row>
    <row r="168">
      <c r="A168" s="18" t="inlineStr">
        <is>
          <t>CD10</t>
        </is>
      </c>
      <c r="B168" s="18" t="inlineStr">
        <is>
          <t>D03-I05</t>
        </is>
      </c>
      <c r="C168" s="18" t="inlineStr">
        <is>
          <t>D07-I03</t>
        </is>
      </c>
      <c r="D168" s="18">
        <f>'P0-3_Scorecard'!L30</f>
        <v/>
      </c>
      <c r="E168" s="18">
        <f>'P0-3_Scorecard'!L83</f>
        <v/>
      </c>
      <c r="F168" s="18">
        <f>'P0-3_Scorecard'!M30</f>
        <v/>
      </c>
      <c r="G168" s="18">
        <f>'P0-3_Scorecard'!M83</f>
        <v/>
      </c>
      <c r="H168" s="18">
        <f>IF(OR(D168="",F168=""),"",D168-(F168*20))</f>
        <v/>
      </c>
      <c r="I168" s="18">
        <f>IF(OR(E168="",G168=""),"",E168-(G168*20))</f>
        <v/>
      </c>
      <c r="J168" s="18">
        <f>IF(OR(D168="",E168=""),"INCOMPLETE",IF(AND(D168&gt;=80,E168&lt;50),"CONTRADICTION",IF(AND(D168&gt;=70,E168&lt;70),"DEPENDENCY GAP","NO TRIGGER")))</f>
        <v/>
      </c>
      <c r="K168" s="18">
        <f>IF(J168="CONTRADICTION","HIGH",IF(J168="DEPENDENCY GAP","MEDIUM","—"))</f>
        <v/>
      </c>
      <c r="L168" s="18">
        <f>IF(J168="CONTRADICTION","Strong upstream claim is not supported by linked downstream capability/evidence. Trigger: Assessment alignment review.",IF(J168="DEPENDENCY GAP","Downstream capability materially trails upstream expectation. Trigger: Assessment alignment review.",""))</f>
        <v/>
      </c>
    </row>
    <row r="169">
      <c r="A169" s="18" t="inlineStr">
        <is>
          <t>CD10</t>
        </is>
      </c>
      <c r="B169" s="18" t="inlineStr">
        <is>
          <t>D03-I05</t>
        </is>
      </c>
      <c r="C169" s="18" t="inlineStr">
        <is>
          <t>D07-I05</t>
        </is>
      </c>
      <c r="D169" s="18">
        <f>'P0-3_Scorecard'!L30</f>
        <v/>
      </c>
      <c r="E169" s="18">
        <f>'P0-3_Scorecard'!L85</f>
        <v/>
      </c>
      <c r="F169" s="18">
        <f>'P0-3_Scorecard'!M30</f>
        <v/>
      </c>
      <c r="G169" s="18">
        <f>'P0-3_Scorecard'!M85</f>
        <v/>
      </c>
      <c r="H169" s="18">
        <f>IF(OR(D169="",F169=""),"",D169-(F169*20))</f>
        <v/>
      </c>
      <c r="I169" s="18">
        <f>IF(OR(E169="",G169=""),"",E169-(G169*20))</f>
        <v/>
      </c>
      <c r="J169" s="18">
        <f>IF(OR(D169="",E169=""),"INCOMPLETE",IF(AND(D169&gt;=80,E169&lt;50),"CONTRADICTION",IF(AND(D169&gt;=70,E169&lt;70),"DEPENDENCY GAP","NO TRIGGER")))</f>
        <v/>
      </c>
      <c r="K169" s="18">
        <f>IF(J169="CONTRADICTION","HIGH",IF(J169="DEPENDENCY GAP","MEDIUM","—"))</f>
        <v/>
      </c>
      <c r="L169" s="18">
        <f>IF(J169="CONTRADICTION","Strong upstream claim is not supported by linked downstream capability/evidence. Trigger: Assessment alignment review.",IF(J169="DEPENDENCY GAP","Downstream capability materially trails upstream expectation. Trigger: Assessment alignment review.",""))</f>
        <v/>
      </c>
    </row>
    <row r="170">
      <c r="A170" s="18" t="inlineStr">
        <is>
          <t>CD10</t>
        </is>
      </c>
      <c r="B170" s="18" t="inlineStr">
        <is>
          <t>D03-I05</t>
        </is>
      </c>
      <c r="C170" s="18" t="inlineStr">
        <is>
          <t>D07-I07</t>
        </is>
      </c>
      <c r="D170" s="18">
        <f>'P0-3_Scorecard'!L30</f>
        <v/>
      </c>
      <c r="E170" s="18">
        <f>'P0-3_Scorecard'!L87</f>
        <v/>
      </c>
      <c r="F170" s="18">
        <f>'P0-3_Scorecard'!M30</f>
        <v/>
      </c>
      <c r="G170" s="18">
        <f>'P0-3_Scorecard'!M87</f>
        <v/>
      </c>
      <c r="H170" s="18">
        <f>IF(OR(D170="",F170=""),"",D170-(F170*20))</f>
        <v/>
      </c>
      <c r="I170" s="18">
        <f>IF(OR(E170="",G170=""),"",E170-(G170*20))</f>
        <v/>
      </c>
      <c r="J170" s="18">
        <f>IF(OR(D170="",E170=""),"INCOMPLETE",IF(AND(D170&gt;=80,E170&lt;50),"CONTRADICTION",IF(AND(D170&gt;=70,E170&lt;70),"DEPENDENCY GAP","NO TRIGGER")))</f>
        <v/>
      </c>
      <c r="K170" s="18">
        <f>IF(J170="CONTRADICTION","HIGH",IF(J170="DEPENDENCY GAP","MEDIUM","—"))</f>
        <v/>
      </c>
      <c r="L170" s="18">
        <f>IF(J170="CONTRADICTION","Strong upstream claim is not supported by linked downstream capability/evidence. Trigger: Assessment alignment review.",IF(J170="DEPENDENCY GAP","Downstream capability materially trails upstream expectation. Trigger: Assessment alignment review.",""))</f>
        <v/>
      </c>
    </row>
    <row r="171">
      <c r="A171" s="18" t="inlineStr">
        <is>
          <t>CD10</t>
        </is>
      </c>
      <c r="B171" s="18" t="inlineStr">
        <is>
          <t>D03-I05</t>
        </is>
      </c>
      <c r="C171" s="18" t="inlineStr">
        <is>
          <t>D07-I08</t>
        </is>
      </c>
      <c r="D171" s="18">
        <f>'P0-3_Scorecard'!L30</f>
        <v/>
      </c>
      <c r="E171" s="18">
        <f>'P0-3_Scorecard'!L88</f>
        <v/>
      </c>
      <c r="F171" s="18">
        <f>'P0-3_Scorecard'!M30</f>
        <v/>
      </c>
      <c r="G171" s="18">
        <f>'P0-3_Scorecard'!M88</f>
        <v/>
      </c>
      <c r="H171" s="18">
        <f>IF(OR(D171="",F171=""),"",D171-(F171*20))</f>
        <v/>
      </c>
      <c r="I171" s="18">
        <f>IF(OR(E171="",G171=""),"",E171-(G171*20))</f>
        <v/>
      </c>
      <c r="J171" s="18">
        <f>IF(OR(D171="",E171=""),"INCOMPLETE",IF(AND(D171&gt;=80,E171&lt;50),"CONTRADICTION",IF(AND(D171&gt;=70,E171&lt;70),"DEPENDENCY GAP","NO TRIGGER")))</f>
        <v/>
      </c>
      <c r="K171" s="18">
        <f>IF(J171="CONTRADICTION","HIGH",IF(J171="DEPENDENCY GAP","MEDIUM","—"))</f>
        <v/>
      </c>
      <c r="L171" s="18">
        <f>IF(J171="CONTRADICTION","Strong upstream claim is not supported by linked downstream capability/evidence. Trigger: Assessment alignment review.",IF(J171="DEPENDENCY GAP","Downstream capability materially trails upstream expectation. Trigger: Assessment alignment review.",""))</f>
        <v/>
      </c>
    </row>
    <row r="172">
      <c r="A172" s="18" t="inlineStr">
        <is>
          <t>CD10</t>
        </is>
      </c>
      <c r="B172" s="18" t="inlineStr">
        <is>
          <t>D03-I07</t>
        </is>
      </c>
      <c r="C172" s="18" t="inlineStr">
        <is>
          <t>D07-I02</t>
        </is>
      </c>
      <c r="D172" s="18">
        <f>'P0-3_Scorecard'!L32</f>
        <v/>
      </c>
      <c r="E172" s="18">
        <f>'P0-3_Scorecard'!L82</f>
        <v/>
      </c>
      <c r="F172" s="18">
        <f>'P0-3_Scorecard'!M32</f>
        <v/>
      </c>
      <c r="G172" s="18">
        <f>'P0-3_Scorecard'!M82</f>
        <v/>
      </c>
      <c r="H172" s="18">
        <f>IF(OR(D172="",F172=""),"",D172-(F172*20))</f>
        <v/>
      </c>
      <c r="I172" s="18">
        <f>IF(OR(E172="",G172=""),"",E172-(G172*20))</f>
        <v/>
      </c>
      <c r="J172" s="18">
        <f>IF(OR(D172="",E172=""),"INCOMPLETE",IF(AND(D172&gt;=80,E172&lt;50),"CONTRADICTION",IF(AND(D172&gt;=70,E172&lt;70),"DEPENDENCY GAP","NO TRIGGER")))</f>
        <v/>
      </c>
      <c r="K172" s="18">
        <f>IF(J172="CONTRADICTION","HIGH",IF(J172="DEPENDENCY GAP","MEDIUM","—"))</f>
        <v/>
      </c>
      <c r="L172" s="18">
        <f>IF(J172="CONTRADICTION","Strong upstream claim is not supported by linked downstream capability/evidence. Trigger: Assessment alignment review.",IF(J172="DEPENDENCY GAP","Downstream capability materially trails upstream expectation. Trigger: Assessment alignment review.",""))</f>
        <v/>
      </c>
    </row>
    <row r="173">
      <c r="A173" s="18" t="inlineStr">
        <is>
          <t>CD10</t>
        </is>
      </c>
      <c r="B173" s="18" t="inlineStr">
        <is>
          <t>D03-I07</t>
        </is>
      </c>
      <c r="C173" s="18" t="inlineStr">
        <is>
          <t>D07-I03</t>
        </is>
      </c>
      <c r="D173" s="18">
        <f>'P0-3_Scorecard'!L32</f>
        <v/>
      </c>
      <c r="E173" s="18">
        <f>'P0-3_Scorecard'!L83</f>
        <v/>
      </c>
      <c r="F173" s="18">
        <f>'P0-3_Scorecard'!M32</f>
        <v/>
      </c>
      <c r="G173" s="18">
        <f>'P0-3_Scorecard'!M83</f>
        <v/>
      </c>
      <c r="H173" s="18">
        <f>IF(OR(D173="",F173=""),"",D173-(F173*20))</f>
        <v/>
      </c>
      <c r="I173" s="18">
        <f>IF(OR(E173="",G173=""),"",E173-(G173*20))</f>
        <v/>
      </c>
      <c r="J173" s="18">
        <f>IF(OR(D173="",E173=""),"INCOMPLETE",IF(AND(D173&gt;=80,E173&lt;50),"CONTRADICTION",IF(AND(D173&gt;=70,E173&lt;70),"DEPENDENCY GAP","NO TRIGGER")))</f>
        <v/>
      </c>
      <c r="K173" s="18">
        <f>IF(J173="CONTRADICTION","HIGH",IF(J173="DEPENDENCY GAP","MEDIUM","—"))</f>
        <v/>
      </c>
      <c r="L173" s="18">
        <f>IF(J173="CONTRADICTION","Strong upstream claim is not supported by linked downstream capability/evidence. Trigger: Assessment alignment review.",IF(J173="DEPENDENCY GAP","Downstream capability materially trails upstream expectation. Trigger: Assessment alignment review.",""))</f>
        <v/>
      </c>
    </row>
    <row r="174">
      <c r="A174" s="18" t="inlineStr">
        <is>
          <t>CD10</t>
        </is>
      </c>
      <c r="B174" s="18" t="inlineStr">
        <is>
          <t>D03-I07</t>
        </is>
      </c>
      <c r="C174" s="18" t="inlineStr">
        <is>
          <t>D07-I05</t>
        </is>
      </c>
      <c r="D174" s="18">
        <f>'P0-3_Scorecard'!L32</f>
        <v/>
      </c>
      <c r="E174" s="18">
        <f>'P0-3_Scorecard'!L85</f>
        <v/>
      </c>
      <c r="F174" s="18">
        <f>'P0-3_Scorecard'!M32</f>
        <v/>
      </c>
      <c r="G174" s="18">
        <f>'P0-3_Scorecard'!M85</f>
        <v/>
      </c>
      <c r="H174" s="18">
        <f>IF(OR(D174="",F174=""),"",D174-(F174*20))</f>
        <v/>
      </c>
      <c r="I174" s="18">
        <f>IF(OR(E174="",G174=""),"",E174-(G174*20))</f>
        <v/>
      </c>
      <c r="J174" s="18">
        <f>IF(OR(D174="",E174=""),"INCOMPLETE",IF(AND(D174&gt;=80,E174&lt;50),"CONTRADICTION",IF(AND(D174&gt;=70,E174&lt;70),"DEPENDENCY GAP","NO TRIGGER")))</f>
        <v/>
      </c>
      <c r="K174" s="18">
        <f>IF(J174="CONTRADICTION","HIGH",IF(J174="DEPENDENCY GAP","MEDIUM","—"))</f>
        <v/>
      </c>
      <c r="L174" s="18">
        <f>IF(J174="CONTRADICTION","Strong upstream claim is not supported by linked downstream capability/evidence. Trigger: Assessment alignment review.",IF(J174="DEPENDENCY GAP","Downstream capability materially trails upstream expectation. Trigger: Assessment alignment review.",""))</f>
        <v/>
      </c>
    </row>
    <row r="175">
      <c r="A175" s="18" t="inlineStr">
        <is>
          <t>CD10</t>
        </is>
      </c>
      <c r="B175" s="18" t="inlineStr">
        <is>
          <t>D03-I07</t>
        </is>
      </c>
      <c r="C175" s="18" t="inlineStr">
        <is>
          <t>D07-I07</t>
        </is>
      </c>
      <c r="D175" s="18">
        <f>'P0-3_Scorecard'!L32</f>
        <v/>
      </c>
      <c r="E175" s="18">
        <f>'P0-3_Scorecard'!L87</f>
        <v/>
      </c>
      <c r="F175" s="18">
        <f>'P0-3_Scorecard'!M32</f>
        <v/>
      </c>
      <c r="G175" s="18">
        <f>'P0-3_Scorecard'!M87</f>
        <v/>
      </c>
      <c r="H175" s="18">
        <f>IF(OR(D175="",F175=""),"",D175-(F175*20))</f>
        <v/>
      </c>
      <c r="I175" s="18">
        <f>IF(OR(E175="",G175=""),"",E175-(G175*20))</f>
        <v/>
      </c>
      <c r="J175" s="18">
        <f>IF(OR(D175="",E175=""),"INCOMPLETE",IF(AND(D175&gt;=80,E175&lt;50),"CONTRADICTION",IF(AND(D175&gt;=70,E175&lt;70),"DEPENDENCY GAP","NO TRIGGER")))</f>
        <v/>
      </c>
      <c r="K175" s="18">
        <f>IF(J175="CONTRADICTION","HIGH",IF(J175="DEPENDENCY GAP","MEDIUM","—"))</f>
        <v/>
      </c>
      <c r="L175" s="18">
        <f>IF(J175="CONTRADICTION","Strong upstream claim is not supported by linked downstream capability/evidence. Trigger: Assessment alignment review.",IF(J175="DEPENDENCY GAP","Downstream capability materially trails upstream expectation. Trigger: Assessment alignment review.",""))</f>
        <v/>
      </c>
    </row>
    <row r="176">
      <c r="A176" s="18" t="inlineStr">
        <is>
          <t>CD10</t>
        </is>
      </c>
      <c r="B176" s="18" t="inlineStr">
        <is>
          <t>D03-I07</t>
        </is>
      </c>
      <c r="C176" s="18" t="inlineStr">
        <is>
          <t>D07-I08</t>
        </is>
      </c>
      <c r="D176" s="18">
        <f>'P0-3_Scorecard'!L32</f>
        <v/>
      </c>
      <c r="E176" s="18">
        <f>'P0-3_Scorecard'!L88</f>
        <v/>
      </c>
      <c r="F176" s="18">
        <f>'P0-3_Scorecard'!M32</f>
        <v/>
      </c>
      <c r="G176" s="18">
        <f>'P0-3_Scorecard'!M88</f>
        <v/>
      </c>
      <c r="H176" s="18">
        <f>IF(OR(D176="",F176=""),"",D176-(F176*20))</f>
        <v/>
      </c>
      <c r="I176" s="18">
        <f>IF(OR(E176="",G176=""),"",E176-(G176*20))</f>
        <v/>
      </c>
      <c r="J176" s="18">
        <f>IF(OR(D176="",E176=""),"INCOMPLETE",IF(AND(D176&gt;=80,E176&lt;50),"CONTRADICTION",IF(AND(D176&gt;=70,E176&lt;70),"DEPENDENCY GAP","NO TRIGGER")))</f>
        <v/>
      </c>
      <c r="K176" s="18">
        <f>IF(J176="CONTRADICTION","HIGH",IF(J176="DEPENDENCY GAP","MEDIUM","—"))</f>
        <v/>
      </c>
      <c r="L176" s="18">
        <f>IF(J176="CONTRADICTION","Strong upstream claim is not supported by linked downstream capability/evidence. Trigger: Assessment alignment review.",IF(J176="DEPENDENCY GAP","Downstream capability materially trails upstream expectation. Trigger: Assessment alignment review.",""))</f>
        <v/>
      </c>
    </row>
    <row r="177">
      <c r="A177" s="18" t="inlineStr">
        <is>
          <t>CD10</t>
        </is>
      </c>
      <c r="B177" s="18" t="inlineStr">
        <is>
          <t>D03-I16</t>
        </is>
      </c>
      <c r="C177" s="18" t="inlineStr">
        <is>
          <t>D07-I02</t>
        </is>
      </c>
      <c r="D177" s="18">
        <f>'P0-3_Scorecard'!L41</f>
        <v/>
      </c>
      <c r="E177" s="18">
        <f>'P0-3_Scorecard'!L82</f>
        <v/>
      </c>
      <c r="F177" s="18">
        <f>'P0-3_Scorecard'!M41</f>
        <v/>
      </c>
      <c r="G177" s="18">
        <f>'P0-3_Scorecard'!M82</f>
        <v/>
      </c>
      <c r="H177" s="18">
        <f>IF(OR(D177="",F177=""),"",D177-(F177*20))</f>
        <v/>
      </c>
      <c r="I177" s="18">
        <f>IF(OR(E177="",G177=""),"",E177-(G177*20))</f>
        <v/>
      </c>
      <c r="J177" s="18">
        <f>IF(OR(D177="",E177=""),"INCOMPLETE",IF(AND(D177&gt;=80,E177&lt;50),"CONTRADICTION",IF(AND(D177&gt;=70,E177&lt;70),"DEPENDENCY GAP","NO TRIGGER")))</f>
        <v/>
      </c>
      <c r="K177" s="18">
        <f>IF(J177="CONTRADICTION","HIGH",IF(J177="DEPENDENCY GAP","MEDIUM","—"))</f>
        <v/>
      </c>
      <c r="L177" s="18">
        <f>IF(J177="CONTRADICTION","Strong upstream claim is not supported by linked downstream capability/evidence. Trigger: Assessment alignment review.",IF(J177="DEPENDENCY GAP","Downstream capability materially trails upstream expectation. Trigger: Assessment alignment review.",""))</f>
        <v/>
      </c>
    </row>
    <row r="178">
      <c r="A178" s="18" t="inlineStr">
        <is>
          <t>CD10</t>
        </is>
      </c>
      <c r="B178" s="18" t="inlineStr">
        <is>
          <t>D03-I16</t>
        </is>
      </c>
      <c r="C178" s="18" t="inlineStr">
        <is>
          <t>D07-I03</t>
        </is>
      </c>
      <c r="D178" s="18">
        <f>'P0-3_Scorecard'!L41</f>
        <v/>
      </c>
      <c r="E178" s="18">
        <f>'P0-3_Scorecard'!L83</f>
        <v/>
      </c>
      <c r="F178" s="18">
        <f>'P0-3_Scorecard'!M41</f>
        <v/>
      </c>
      <c r="G178" s="18">
        <f>'P0-3_Scorecard'!M83</f>
        <v/>
      </c>
      <c r="H178" s="18">
        <f>IF(OR(D178="",F178=""),"",D178-(F178*20))</f>
        <v/>
      </c>
      <c r="I178" s="18">
        <f>IF(OR(E178="",G178=""),"",E178-(G178*20))</f>
        <v/>
      </c>
      <c r="J178" s="18">
        <f>IF(OR(D178="",E178=""),"INCOMPLETE",IF(AND(D178&gt;=80,E178&lt;50),"CONTRADICTION",IF(AND(D178&gt;=70,E178&lt;70),"DEPENDENCY GAP","NO TRIGGER")))</f>
        <v/>
      </c>
      <c r="K178" s="18">
        <f>IF(J178="CONTRADICTION","HIGH",IF(J178="DEPENDENCY GAP","MEDIUM","—"))</f>
        <v/>
      </c>
      <c r="L178" s="18">
        <f>IF(J178="CONTRADICTION","Strong upstream claim is not supported by linked downstream capability/evidence. Trigger: Assessment alignment review.",IF(J178="DEPENDENCY GAP","Downstream capability materially trails upstream expectation. Trigger: Assessment alignment review.",""))</f>
        <v/>
      </c>
    </row>
    <row r="179">
      <c r="A179" s="18" t="inlineStr">
        <is>
          <t>CD10</t>
        </is>
      </c>
      <c r="B179" s="18" t="inlineStr">
        <is>
          <t>D03-I16</t>
        </is>
      </c>
      <c r="C179" s="18" t="inlineStr">
        <is>
          <t>D07-I05</t>
        </is>
      </c>
      <c r="D179" s="18">
        <f>'P0-3_Scorecard'!L41</f>
        <v/>
      </c>
      <c r="E179" s="18">
        <f>'P0-3_Scorecard'!L85</f>
        <v/>
      </c>
      <c r="F179" s="18">
        <f>'P0-3_Scorecard'!M41</f>
        <v/>
      </c>
      <c r="G179" s="18">
        <f>'P0-3_Scorecard'!M85</f>
        <v/>
      </c>
      <c r="H179" s="18">
        <f>IF(OR(D179="",F179=""),"",D179-(F179*20))</f>
        <v/>
      </c>
      <c r="I179" s="18">
        <f>IF(OR(E179="",G179=""),"",E179-(G179*20))</f>
        <v/>
      </c>
      <c r="J179" s="18">
        <f>IF(OR(D179="",E179=""),"INCOMPLETE",IF(AND(D179&gt;=80,E179&lt;50),"CONTRADICTION",IF(AND(D179&gt;=70,E179&lt;70),"DEPENDENCY GAP","NO TRIGGER")))</f>
        <v/>
      </c>
      <c r="K179" s="18">
        <f>IF(J179="CONTRADICTION","HIGH",IF(J179="DEPENDENCY GAP","MEDIUM","—"))</f>
        <v/>
      </c>
      <c r="L179" s="18">
        <f>IF(J179="CONTRADICTION","Strong upstream claim is not supported by linked downstream capability/evidence. Trigger: Assessment alignment review.",IF(J179="DEPENDENCY GAP","Downstream capability materially trails upstream expectation. Trigger: Assessment alignment review.",""))</f>
        <v/>
      </c>
    </row>
    <row r="180">
      <c r="A180" s="18" t="inlineStr">
        <is>
          <t>CD10</t>
        </is>
      </c>
      <c r="B180" s="18" t="inlineStr">
        <is>
          <t>D03-I16</t>
        </is>
      </c>
      <c r="C180" s="18" t="inlineStr">
        <is>
          <t>D07-I07</t>
        </is>
      </c>
      <c r="D180" s="18">
        <f>'P0-3_Scorecard'!L41</f>
        <v/>
      </c>
      <c r="E180" s="18">
        <f>'P0-3_Scorecard'!L87</f>
        <v/>
      </c>
      <c r="F180" s="18">
        <f>'P0-3_Scorecard'!M41</f>
        <v/>
      </c>
      <c r="G180" s="18">
        <f>'P0-3_Scorecard'!M87</f>
        <v/>
      </c>
      <c r="H180" s="18">
        <f>IF(OR(D180="",F180=""),"",D180-(F180*20))</f>
        <v/>
      </c>
      <c r="I180" s="18">
        <f>IF(OR(E180="",G180=""),"",E180-(G180*20))</f>
        <v/>
      </c>
      <c r="J180" s="18">
        <f>IF(OR(D180="",E180=""),"INCOMPLETE",IF(AND(D180&gt;=80,E180&lt;50),"CONTRADICTION",IF(AND(D180&gt;=70,E180&lt;70),"DEPENDENCY GAP","NO TRIGGER")))</f>
        <v/>
      </c>
      <c r="K180" s="18">
        <f>IF(J180="CONTRADICTION","HIGH",IF(J180="DEPENDENCY GAP","MEDIUM","—"))</f>
        <v/>
      </c>
      <c r="L180" s="18">
        <f>IF(J180="CONTRADICTION","Strong upstream claim is not supported by linked downstream capability/evidence. Trigger: Assessment alignment review.",IF(J180="DEPENDENCY GAP","Downstream capability materially trails upstream expectation. Trigger: Assessment alignment review.",""))</f>
        <v/>
      </c>
    </row>
    <row r="181">
      <c r="A181" s="18" t="inlineStr">
        <is>
          <t>CD10</t>
        </is>
      </c>
      <c r="B181" s="18" t="inlineStr">
        <is>
          <t>D03-I16</t>
        </is>
      </c>
      <c r="C181" s="18" t="inlineStr">
        <is>
          <t>D07-I08</t>
        </is>
      </c>
      <c r="D181" s="18">
        <f>'P0-3_Scorecard'!L41</f>
        <v/>
      </c>
      <c r="E181" s="18">
        <f>'P0-3_Scorecard'!L88</f>
        <v/>
      </c>
      <c r="F181" s="18">
        <f>'P0-3_Scorecard'!M41</f>
        <v/>
      </c>
      <c r="G181" s="18">
        <f>'P0-3_Scorecard'!M88</f>
        <v/>
      </c>
      <c r="H181" s="18">
        <f>IF(OR(D181="",F181=""),"",D181-(F181*20))</f>
        <v/>
      </c>
      <c r="I181" s="18">
        <f>IF(OR(E181="",G181=""),"",E181-(G181*20))</f>
        <v/>
      </c>
      <c r="J181" s="18">
        <f>IF(OR(D181="",E181=""),"INCOMPLETE",IF(AND(D181&gt;=80,E181&lt;50),"CONTRADICTION",IF(AND(D181&gt;=70,E181&lt;70),"DEPENDENCY GAP","NO TRIGGER")))</f>
        <v/>
      </c>
      <c r="K181" s="18">
        <f>IF(J181="CONTRADICTION","HIGH",IF(J181="DEPENDENCY GAP","MEDIUM","—"))</f>
        <v/>
      </c>
      <c r="L181" s="18">
        <f>IF(J181="CONTRADICTION","Strong upstream claim is not supported by linked downstream capability/evidence. Trigger: Assessment alignment review.",IF(J181="DEPENDENCY GAP","Downstream capability materially trails upstream expectation. Trigger: Assessment alignment review.",""))</f>
        <v/>
      </c>
    </row>
    <row r="182">
      <c r="A182" s="18" t="inlineStr">
        <is>
          <t>CD11</t>
        </is>
      </c>
      <c r="B182" s="18" t="inlineStr">
        <is>
          <t>D04-I02</t>
        </is>
      </c>
      <c r="C182" s="18" t="inlineStr">
        <is>
          <t>D07-I01</t>
        </is>
      </c>
      <c r="D182" s="18">
        <f>'P0-3_Scorecard'!L44</f>
        <v/>
      </c>
      <c r="E182" s="18">
        <f>'P0-3_Scorecard'!L81</f>
        <v/>
      </c>
      <c r="F182" s="18">
        <f>'P0-3_Scorecard'!M44</f>
        <v/>
      </c>
      <c r="G182" s="18">
        <f>'P0-3_Scorecard'!M81</f>
        <v/>
      </c>
      <c r="H182" s="18">
        <f>IF(OR(D182="",F182=""),"",D182-(F182*20))</f>
        <v/>
      </c>
      <c r="I182" s="18">
        <f>IF(OR(E182="",G182=""),"",E182-(G182*20))</f>
        <v/>
      </c>
      <c r="J182" s="18">
        <f>IF(OR(D182="",E182=""),"INCOMPLETE",IF(AND(D182&gt;=80,E182&lt;50),"CONTRADICTION",IF(AND(D182&gt;=70,E182&lt;70),"DEPENDENCY GAP","NO TRIGGER")))</f>
        <v/>
      </c>
      <c r="K182" s="18">
        <f>IF(J182="CONTRADICTION","HIGH",IF(J182="DEPENDENCY GAP","MEDIUM","—"))</f>
        <v/>
      </c>
      <c r="L182" s="18">
        <f>IF(J182="CONTRADICTION","Strong upstream claim is not supported by linked downstream capability/evidence. Trigger: Assessment redesign.",IF(J182="DEPENDENCY GAP","Downstream capability materially trails upstream expectation. Trigger: Assessment redesign.",""))</f>
        <v/>
      </c>
    </row>
    <row r="183">
      <c r="A183" s="18" t="inlineStr">
        <is>
          <t>CD11</t>
        </is>
      </c>
      <c r="B183" s="18" t="inlineStr">
        <is>
          <t>D04-I02</t>
        </is>
      </c>
      <c r="C183" s="18" t="inlineStr">
        <is>
          <t>D07-I02</t>
        </is>
      </c>
      <c r="D183" s="18">
        <f>'P0-3_Scorecard'!L44</f>
        <v/>
      </c>
      <c r="E183" s="18">
        <f>'P0-3_Scorecard'!L82</f>
        <v/>
      </c>
      <c r="F183" s="18">
        <f>'P0-3_Scorecard'!M44</f>
        <v/>
      </c>
      <c r="G183" s="18">
        <f>'P0-3_Scorecard'!M82</f>
        <v/>
      </c>
      <c r="H183" s="18">
        <f>IF(OR(D183="",F183=""),"",D183-(F183*20))</f>
        <v/>
      </c>
      <c r="I183" s="18">
        <f>IF(OR(E183="",G183=""),"",E183-(G183*20))</f>
        <v/>
      </c>
      <c r="J183" s="18">
        <f>IF(OR(D183="",E183=""),"INCOMPLETE",IF(AND(D183&gt;=80,E183&lt;50),"CONTRADICTION",IF(AND(D183&gt;=70,E183&lt;70),"DEPENDENCY GAP","NO TRIGGER")))</f>
        <v/>
      </c>
      <c r="K183" s="18">
        <f>IF(J183="CONTRADICTION","HIGH",IF(J183="DEPENDENCY GAP","MEDIUM","—"))</f>
        <v/>
      </c>
      <c r="L183" s="18">
        <f>IF(J183="CONTRADICTION","Strong upstream claim is not supported by linked downstream capability/evidence. Trigger: Assessment redesign.",IF(J183="DEPENDENCY GAP","Downstream capability materially trails upstream expectation. Trigger: Assessment redesign.",""))</f>
        <v/>
      </c>
    </row>
    <row r="184">
      <c r="A184" s="18" t="inlineStr">
        <is>
          <t>CD11</t>
        </is>
      </c>
      <c r="B184" s="18" t="inlineStr">
        <is>
          <t>D04-I02</t>
        </is>
      </c>
      <c r="C184" s="18" t="inlineStr">
        <is>
          <t>D07-I04</t>
        </is>
      </c>
      <c r="D184" s="18">
        <f>'P0-3_Scorecard'!L44</f>
        <v/>
      </c>
      <c r="E184" s="18">
        <f>'P0-3_Scorecard'!L84</f>
        <v/>
      </c>
      <c r="F184" s="18">
        <f>'P0-3_Scorecard'!M44</f>
        <v/>
      </c>
      <c r="G184" s="18">
        <f>'P0-3_Scorecard'!M84</f>
        <v/>
      </c>
      <c r="H184" s="18">
        <f>IF(OR(D184="",F184=""),"",D184-(F184*20))</f>
        <v/>
      </c>
      <c r="I184" s="18">
        <f>IF(OR(E184="",G184=""),"",E184-(G184*20))</f>
        <v/>
      </c>
      <c r="J184" s="18">
        <f>IF(OR(D184="",E184=""),"INCOMPLETE",IF(AND(D184&gt;=80,E184&lt;50),"CONTRADICTION",IF(AND(D184&gt;=70,E184&lt;70),"DEPENDENCY GAP","NO TRIGGER")))</f>
        <v/>
      </c>
      <c r="K184" s="18">
        <f>IF(J184="CONTRADICTION","HIGH",IF(J184="DEPENDENCY GAP","MEDIUM","—"))</f>
        <v/>
      </c>
      <c r="L184" s="18">
        <f>IF(J184="CONTRADICTION","Strong upstream claim is not supported by linked downstream capability/evidence. Trigger: Assessment redesign.",IF(J184="DEPENDENCY GAP","Downstream capability materially trails upstream expectation. Trigger: Assessment redesign.",""))</f>
        <v/>
      </c>
    </row>
    <row r="185">
      <c r="A185" s="18" t="inlineStr">
        <is>
          <t>CD11</t>
        </is>
      </c>
      <c r="B185" s="18" t="inlineStr">
        <is>
          <t>D04-I02</t>
        </is>
      </c>
      <c r="C185" s="18" t="inlineStr">
        <is>
          <t>D07-I07</t>
        </is>
      </c>
      <c r="D185" s="18">
        <f>'P0-3_Scorecard'!L44</f>
        <v/>
      </c>
      <c r="E185" s="18">
        <f>'P0-3_Scorecard'!L87</f>
        <v/>
      </c>
      <c r="F185" s="18">
        <f>'P0-3_Scorecard'!M44</f>
        <v/>
      </c>
      <c r="G185" s="18">
        <f>'P0-3_Scorecard'!M87</f>
        <v/>
      </c>
      <c r="H185" s="18">
        <f>IF(OR(D185="",F185=""),"",D185-(F185*20))</f>
        <v/>
      </c>
      <c r="I185" s="18">
        <f>IF(OR(E185="",G185=""),"",E185-(G185*20))</f>
        <v/>
      </c>
      <c r="J185" s="18">
        <f>IF(OR(D185="",E185=""),"INCOMPLETE",IF(AND(D185&gt;=80,E185&lt;50),"CONTRADICTION",IF(AND(D185&gt;=70,E185&lt;70),"DEPENDENCY GAP","NO TRIGGER")))</f>
        <v/>
      </c>
      <c r="K185" s="18">
        <f>IF(J185="CONTRADICTION","HIGH",IF(J185="DEPENDENCY GAP","MEDIUM","—"))</f>
        <v/>
      </c>
      <c r="L185" s="18">
        <f>IF(J185="CONTRADICTION","Strong upstream claim is not supported by linked downstream capability/evidence. Trigger: Assessment redesign.",IF(J185="DEPENDENCY GAP","Downstream capability materially trails upstream expectation. Trigger: Assessment redesign.",""))</f>
        <v/>
      </c>
    </row>
    <row r="186">
      <c r="A186" s="18" t="inlineStr">
        <is>
          <t>CD11</t>
        </is>
      </c>
      <c r="B186" s="18" t="inlineStr">
        <is>
          <t>D04-I02</t>
        </is>
      </c>
      <c r="C186" s="18" t="inlineStr">
        <is>
          <t>D07-I08</t>
        </is>
      </c>
      <c r="D186" s="18">
        <f>'P0-3_Scorecard'!L44</f>
        <v/>
      </c>
      <c r="E186" s="18">
        <f>'P0-3_Scorecard'!L88</f>
        <v/>
      </c>
      <c r="F186" s="18">
        <f>'P0-3_Scorecard'!M44</f>
        <v/>
      </c>
      <c r="G186" s="18">
        <f>'P0-3_Scorecard'!M88</f>
        <v/>
      </c>
      <c r="H186" s="18">
        <f>IF(OR(D186="",F186=""),"",D186-(F186*20))</f>
        <v/>
      </c>
      <c r="I186" s="18">
        <f>IF(OR(E186="",G186=""),"",E186-(G186*20))</f>
        <v/>
      </c>
      <c r="J186" s="18">
        <f>IF(OR(D186="",E186=""),"INCOMPLETE",IF(AND(D186&gt;=80,E186&lt;50),"CONTRADICTION",IF(AND(D186&gt;=70,E186&lt;70),"DEPENDENCY GAP","NO TRIGGER")))</f>
        <v/>
      </c>
      <c r="K186" s="18">
        <f>IF(J186="CONTRADICTION","HIGH",IF(J186="DEPENDENCY GAP","MEDIUM","—"))</f>
        <v/>
      </c>
      <c r="L186" s="18">
        <f>IF(J186="CONTRADICTION","Strong upstream claim is not supported by linked downstream capability/evidence. Trigger: Assessment redesign.",IF(J186="DEPENDENCY GAP","Downstream capability materially trails upstream expectation. Trigger: Assessment redesign.",""))</f>
        <v/>
      </c>
    </row>
    <row r="187">
      <c r="A187" s="18" t="inlineStr">
        <is>
          <t>CD11</t>
        </is>
      </c>
      <c r="B187" s="18" t="inlineStr">
        <is>
          <t>D04-I04</t>
        </is>
      </c>
      <c r="C187" s="18" t="inlineStr">
        <is>
          <t>D07-I01</t>
        </is>
      </c>
      <c r="D187" s="18">
        <f>'P0-3_Scorecard'!L46</f>
        <v/>
      </c>
      <c r="E187" s="18">
        <f>'P0-3_Scorecard'!L81</f>
        <v/>
      </c>
      <c r="F187" s="18">
        <f>'P0-3_Scorecard'!M46</f>
        <v/>
      </c>
      <c r="G187" s="18">
        <f>'P0-3_Scorecard'!M81</f>
        <v/>
      </c>
      <c r="H187" s="18">
        <f>IF(OR(D187="",F187=""),"",D187-(F187*20))</f>
        <v/>
      </c>
      <c r="I187" s="18">
        <f>IF(OR(E187="",G187=""),"",E187-(G187*20))</f>
        <v/>
      </c>
      <c r="J187" s="18">
        <f>IF(OR(D187="",E187=""),"INCOMPLETE",IF(AND(D187&gt;=80,E187&lt;50),"CONTRADICTION",IF(AND(D187&gt;=70,E187&lt;70),"DEPENDENCY GAP","NO TRIGGER")))</f>
        <v/>
      </c>
      <c r="K187" s="18">
        <f>IF(J187="CONTRADICTION","HIGH",IF(J187="DEPENDENCY GAP","MEDIUM","—"))</f>
        <v/>
      </c>
      <c r="L187" s="18">
        <f>IF(J187="CONTRADICTION","Strong upstream claim is not supported by linked downstream capability/evidence. Trigger: Assessment redesign.",IF(J187="DEPENDENCY GAP","Downstream capability materially trails upstream expectation. Trigger: Assessment redesign.",""))</f>
        <v/>
      </c>
    </row>
    <row r="188">
      <c r="A188" s="18" t="inlineStr">
        <is>
          <t>CD11</t>
        </is>
      </c>
      <c r="B188" s="18" t="inlineStr">
        <is>
          <t>D04-I04</t>
        </is>
      </c>
      <c r="C188" s="18" t="inlineStr">
        <is>
          <t>D07-I02</t>
        </is>
      </c>
      <c r="D188" s="18">
        <f>'P0-3_Scorecard'!L46</f>
        <v/>
      </c>
      <c r="E188" s="18">
        <f>'P0-3_Scorecard'!L82</f>
        <v/>
      </c>
      <c r="F188" s="18">
        <f>'P0-3_Scorecard'!M46</f>
        <v/>
      </c>
      <c r="G188" s="18">
        <f>'P0-3_Scorecard'!M82</f>
        <v/>
      </c>
      <c r="H188" s="18">
        <f>IF(OR(D188="",F188=""),"",D188-(F188*20))</f>
        <v/>
      </c>
      <c r="I188" s="18">
        <f>IF(OR(E188="",G188=""),"",E188-(G188*20))</f>
        <v/>
      </c>
      <c r="J188" s="18">
        <f>IF(OR(D188="",E188=""),"INCOMPLETE",IF(AND(D188&gt;=80,E188&lt;50),"CONTRADICTION",IF(AND(D188&gt;=70,E188&lt;70),"DEPENDENCY GAP","NO TRIGGER")))</f>
        <v/>
      </c>
      <c r="K188" s="18">
        <f>IF(J188="CONTRADICTION","HIGH",IF(J188="DEPENDENCY GAP","MEDIUM","—"))</f>
        <v/>
      </c>
      <c r="L188" s="18">
        <f>IF(J188="CONTRADICTION","Strong upstream claim is not supported by linked downstream capability/evidence. Trigger: Assessment redesign.",IF(J188="DEPENDENCY GAP","Downstream capability materially trails upstream expectation. Trigger: Assessment redesign.",""))</f>
        <v/>
      </c>
    </row>
    <row r="189">
      <c r="A189" s="18" t="inlineStr">
        <is>
          <t>CD11</t>
        </is>
      </c>
      <c r="B189" s="18" t="inlineStr">
        <is>
          <t>D04-I04</t>
        </is>
      </c>
      <c r="C189" s="18" t="inlineStr">
        <is>
          <t>D07-I04</t>
        </is>
      </c>
      <c r="D189" s="18">
        <f>'P0-3_Scorecard'!L46</f>
        <v/>
      </c>
      <c r="E189" s="18">
        <f>'P0-3_Scorecard'!L84</f>
        <v/>
      </c>
      <c r="F189" s="18">
        <f>'P0-3_Scorecard'!M46</f>
        <v/>
      </c>
      <c r="G189" s="18">
        <f>'P0-3_Scorecard'!M84</f>
        <v/>
      </c>
      <c r="H189" s="18">
        <f>IF(OR(D189="",F189=""),"",D189-(F189*20))</f>
        <v/>
      </c>
      <c r="I189" s="18">
        <f>IF(OR(E189="",G189=""),"",E189-(G189*20))</f>
        <v/>
      </c>
      <c r="J189" s="18">
        <f>IF(OR(D189="",E189=""),"INCOMPLETE",IF(AND(D189&gt;=80,E189&lt;50),"CONTRADICTION",IF(AND(D189&gt;=70,E189&lt;70),"DEPENDENCY GAP","NO TRIGGER")))</f>
        <v/>
      </c>
      <c r="K189" s="18">
        <f>IF(J189="CONTRADICTION","HIGH",IF(J189="DEPENDENCY GAP","MEDIUM","—"))</f>
        <v/>
      </c>
      <c r="L189" s="18">
        <f>IF(J189="CONTRADICTION","Strong upstream claim is not supported by linked downstream capability/evidence. Trigger: Assessment redesign.",IF(J189="DEPENDENCY GAP","Downstream capability materially trails upstream expectation. Trigger: Assessment redesign.",""))</f>
        <v/>
      </c>
    </row>
    <row r="190">
      <c r="A190" s="18" t="inlineStr">
        <is>
          <t>CD11</t>
        </is>
      </c>
      <c r="B190" s="18" t="inlineStr">
        <is>
          <t>D04-I04</t>
        </is>
      </c>
      <c r="C190" s="18" t="inlineStr">
        <is>
          <t>D07-I07</t>
        </is>
      </c>
      <c r="D190" s="18">
        <f>'P0-3_Scorecard'!L46</f>
        <v/>
      </c>
      <c r="E190" s="18">
        <f>'P0-3_Scorecard'!L87</f>
        <v/>
      </c>
      <c r="F190" s="18">
        <f>'P0-3_Scorecard'!M46</f>
        <v/>
      </c>
      <c r="G190" s="18">
        <f>'P0-3_Scorecard'!M87</f>
        <v/>
      </c>
      <c r="H190" s="18">
        <f>IF(OR(D190="",F190=""),"",D190-(F190*20))</f>
        <v/>
      </c>
      <c r="I190" s="18">
        <f>IF(OR(E190="",G190=""),"",E190-(G190*20))</f>
        <v/>
      </c>
      <c r="J190" s="18">
        <f>IF(OR(D190="",E190=""),"INCOMPLETE",IF(AND(D190&gt;=80,E190&lt;50),"CONTRADICTION",IF(AND(D190&gt;=70,E190&lt;70),"DEPENDENCY GAP","NO TRIGGER")))</f>
        <v/>
      </c>
      <c r="K190" s="18">
        <f>IF(J190="CONTRADICTION","HIGH",IF(J190="DEPENDENCY GAP","MEDIUM","—"))</f>
        <v/>
      </c>
      <c r="L190" s="18">
        <f>IF(J190="CONTRADICTION","Strong upstream claim is not supported by linked downstream capability/evidence. Trigger: Assessment redesign.",IF(J190="DEPENDENCY GAP","Downstream capability materially trails upstream expectation. Trigger: Assessment redesign.",""))</f>
        <v/>
      </c>
    </row>
    <row r="191">
      <c r="A191" s="18" t="inlineStr">
        <is>
          <t>CD11</t>
        </is>
      </c>
      <c r="B191" s="18" t="inlineStr">
        <is>
          <t>D04-I04</t>
        </is>
      </c>
      <c r="C191" s="18" t="inlineStr">
        <is>
          <t>D07-I08</t>
        </is>
      </c>
      <c r="D191" s="18">
        <f>'P0-3_Scorecard'!L46</f>
        <v/>
      </c>
      <c r="E191" s="18">
        <f>'P0-3_Scorecard'!L88</f>
        <v/>
      </c>
      <c r="F191" s="18">
        <f>'P0-3_Scorecard'!M46</f>
        <v/>
      </c>
      <c r="G191" s="18">
        <f>'P0-3_Scorecard'!M88</f>
        <v/>
      </c>
      <c r="H191" s="18">
        <f>IF(OR(D191="",F191=""),"",D191-(F191*20))</f>
        <v/>
      </c>
      <c r="I191" s="18">
        <f>IF(OR(E191="",G191=""),"",E191-(G191*20))</f>
        <v/>
      </c>
      <c r="J191" s="18">
        <f>IF(OR(D191="",E191=""),"INCOMPLETE",IF(AND(D191&gt;=80,E191&lt;50),"CONTRADICTION",IF(AND(D191&gt;=70,E191&lt;70),"DEPENDENCY GAP","NO TRIGGER")))</f>
        <v/>
      </c>
      <c r="K191" s="18">
        <f>IF(J191="CONTRADICTION","HIGH",IF(J191="DEPENDENCY GAP","MEDIUM","—"))</f>
        <v/>
      </c>
      <c r="L191" s="18">
        <f>IF(J191="CONTRADICTION","Strong upstream claim is not supported by linked downstream capability/evidence. Trigger: Assessment redesign.",IF(J191="DEPENDENCY GAP","Downstream capability materially trails upstream expectation. Trigger: Assessment redesign.",""))</f>
        <v/>
      </c>
    </row>
    <row r="192">
      <c r="A192" s="18" t="inlineStr">
        <is>
          <t>CD11</t>
        </is>
      </c>
      <c r="B192" s="18" t="inlineStr">
        <is>
          <t>D04-I05</t>
        </is>
      </c>
      <c r="C192" s="18" t="inlineStr">
        <is>
          <t>D07-I01</t>
        </is>
      </c>
      <c r="D192" s="18">
        <f>'P0-3_Scorecard'!L47</f>
        <v/>
      </c>
      <c r="E192" s="18">
        <f>'P0-3_Scorecard'!L81</f>
        <v/>
      </c>
      <c r="F192" s="18">
        <f>'P0-3_Scorecard'!M47</f>
        <v/>
      </c>
      <c r="G192" s="18">
        <f>'P0-3_Scorecard'!M81</f>
        <v/>
      </c>
      <c r="H192" s="18">
        <f>IF(OR(D192="",F192=""),"",D192-(F192*20))</f>
        <v/>
      </c>
      <c r="I192" s="18">
        <f>IF(OR(E192="",G192=""),"",E192-(G192*20))</f>
        <v/>
      </c>
      <c r="J192" s="18">
        <f>IF(OR(D192="",E192=""),"INCOMPLETE",IF(AND(D192&gt;=80,E192&lt;50),"CONTRADICTION",IF(AND(D192&gt;=70,E192&lt;70),"DEPENDENCY GAP","NO TRIGGER")))</f>
        <v/>
      </c>
      <c r="K192" s="18">
        <f>IF(J192="CONTRADICTION","HIGH",IF(J192="DEPENDENCY GAP","MEDIUM","—"))</f>
        <v/>
      </c>
      <c r="L192" s="18">
        <f>IF(J192="CONTRADICTION","Strong upstream claim is not supported by linked downstream capability/evidence. Trigger: Assessment redesign.",IF(J192="DEPENDENCY GAP","Downstream capability materially trails upstream expectation. Trigger: Assessment redesign.",""))</f>
        <v/>
      </c>
    </row>
    <row r="193">
      <c r="A193" s="18" t="inlineStr">
        <is>
          <t>CD11</t>
        </is>
      </c>
      <c r="B193" s="18" t="inlineStr">
        <is>
          <t>D04-I05</t>
        </is>
      </c>
      <c r="C193" s="18" t="inlineStr">
        <is>
          <t>D07-I02</t>
        </is>
      </c>
      <c r="D193" s="18">
        <f>'P0-3_Scorecard'!L47</f>
        <v/>
      </c>
      <c r="E193" s="18">
        <f>'P0-3_Scorecard'!L82</f>
        <v/>
      </c>
      <c r="F193" s="18">
        <f>'P0-3_Scorecard'!M47</f>
        <v/>
      </c>
      <c r="G193" s="18">
        <f>'P0-3_Scorecard'!M82</f>
        <v/>
      </c>
      <c r="H193" s="18">
        <f>IF(OR(D193="",F193=""),"",D193-(F193*20))</f>
        <v/>
      </c>
      <c r="I193" s="18">
        <f>IF(OR(E193="",G193=""),"",E193-(G193*20))</f>
        <v/>
      </c>
      <c r="J193" s="18">
        <f>IF(OR(D193="",E193=""),"INCOMPLETE",IF(AND(D193&gt;=80,E193&lt;50),"CONTRADICTION",IF(AND(D193&gt;=70,E193&lt;70),"DEPENDENCY GAP","NO TRIGGER")))</f>
        <v/>
      </c>
      <c r="K193" s="18">
        <f>IF(J193="CONTRADICTION","HIGH",IF(J193="DEPENDENCY GAP","MEDIUM","—"))</f>
        <v/>
      </c>
      <c r="L193" s="18">
        <f>IF(J193="CONTRADICTION","Strong upstream claim is not supported by linked downstream capability/evidence. Trigger: Assessment redesign.",IF(J193="DEPENDENCY GAP","Downstream capability materially trails upstream expectation. Trigger: Assessment redesign.",""))</f>
        <v/>
      </c>
    </row>
    <row r="194">
      <c r="A194" s="18" t="inlineStr">
        <is>
          <t>CD11</t>
        </is>
      </c>
      <c r="B194" s="18" t="inlineStr">
        <is>
          <t>D04-I05</t>
        </is>
      </c>
      <c r="C194" s="18" t="inlineStr">
        <is>
          <t>D07-I04</t>
        </is>
      </c>
      <c r="D194" s="18">
        <f>'P0-3_Scorecard'!L47</f>
        <v/>
      </c>
      <c r="E194" s="18">
        <f>'P0-3_Scorecard'!L84</f>
        <v/>
      </c>
      <c r="F194" s="18">
        <f>'P0-3_Scorecard'!M47</f>
        <v/>
      </c>
      <c r="G194" s="18">
        <f>'P0-3_Scorecard'!M84</f>
        <v/>
      </c>
      <c r="H194" s="18">
        <f>IF(OR(D194="",F194=""),"",D194-(F194*20))</f>
        <v/>
      </c>
      <c r="I194" s="18">
        <f>IF(OR(E194="",G194=""),"",E194-(G194*20))</f>
        <v/>
      </c>
      <c r="J194" s="18">
        <f>IF(OR(D194="",E194=""),"INCOMPLETE",IF(AND(D194&gt;=80,E194&lt;50),"CONTRADICTION",IF(AND(D194&gt;=70,E194&lt;70),"DEPENDENCY GAP","NO TRIGGER")))</f>
        <v/>
      </c>
      <c r="K194" s="18">
        <f>IF(J194="CONTRADICTION","HIGH",IF(J194="DEPENDENCY GAP","MEDIUM","—"))</f>
        <v/>
      </c>
      <c r="L194" s="18">
        <f>IF(J194="CONTRADICTION","Strong upstream claim is not supported by linked downstream capability/evidence. Trigger: Assessment redesign.",IF(J194="DEPENDENCY GAP","Downstream capability materially trails upstream expectation. Trigger: Assessment redesign.",""))</f>
        <v/>
      </c>
    </row>
    <row r="195">
      <c r="A195" s="18" t="inlineStr">
        <is>
          <t>CD11</t>
        </is>
      </c>
      <c r="B195" s="18" t="inlineStr">
        <is>
          <t>D04-I05</t>
        </is>
      </c>
      <c r="C195" s="18" t="inlineStr">
        <is>
          <t>D07-I07</t>
        </is>
      </c>
      <c r="D195" s="18">
        <f>'P0-3_Scorecard'!L47</f>
        <v/>
      </c>
      <c r="E195" s="18">
        <f>'P0-3_Scorecard'!L87</f>
        <v/>
      </c>
      <c r="F195" s="18">
        <f>'P0-3_Scorecard'!M47</f>
        <v/>
      </c>
      <c r="G195" s="18">
        <f>'P0-3_Scorecard'!M87</f>
        <v/>
      </c>
      <c r="H195" s="18">
        <f>IF(OR(D195="",F195=""),"",D195-(F195*20))</f>
        <v/>
      </c>
      <c r="I195" s="18">
        <f>IF(OR(E195="",G195=""),"",E195-(G195*20))</f>
        <v/>
      </c>
      <c r="J195" s="18">
        <f>IF(OR(D195="",E195=""),"INCOMPLETE",IF(AND(D195&gt;=80,E195&lt;50),"CONTRADICTION",IF(AND(D195&gt;=70,E195&lt;70),"DEPENDENCY GAP","NO TRIGGER")))</f>
        <v/>
      </c>
      <c r="K195" s="18">
        <f>IF(J195="CONTRADICTION","HIGH",IF(J195="DEPENDENCY GAP","MEDIUM","—"))</f>
        <v/>
      </c>
      <c r="L195" s="18">
        <f>IF(J195="CONTRADICTION","Strong upstream claim is not supported by linked downstream capability/evidence. Trigger: Assessment redesign.",IF(J195="DEPENDENCY GAP","Downstream capability materially trails upstream expectation. Trigger: Assessment redesign.",""))</f>
        <v/>
      </c>
    </row>
    <row r="196">
      <c r="A196" s="18" t="inlineStr">
        <is>
          <t>CD11</t>
        </is>
      </c>
      <c r="B196" s="18" t="inlineStr">
        <is>
          <t>D04-I05</t>
        </is>
      </c>
      <c r="C196" s="18" t="inlineStr">
        <is>
          <t>D07-I08</t>
        </is>
      </c>
      <c r="D196" s="18">
        <f>'P0-3_Scorecard'!L47</f>
        <v/>
      </c>
      <c r="E196" s="18">
        <f>'P0-3_Scorecard'!L88</f>
        <v/>
      </c>
      <c r="F196" s="18">
        <f>'P0-3_Scorecard'!M47</f>
        <v/>
      </c>
      <c r="G196" s="18">
        <f>'P0-3_Scorecard'!M88</f>
        <v/>
      </c>
      <c r="H196" s="18">
        <f>IF(OR(D196="",F196=""),"",D196-(F196*20))</f>
        <v/>
      </c>
      <c r="I196" s="18">
        <f>IF(OR(E196="",G196=""),"",E196-(G196*20))</f>
        <v/>
      </c>
      <c r="J196" s="18">
        <f>IF(OR(D196="",E196=""),"INCOMPLETE",IF(AND(D196&gt;=80,E196&lt;50),"CONTRADICTION",IF(AND(D196&gt;=70,E196&lt;70),"DEPENDENCY GAP","NO TRIGGER")))</f>
        <v/>
      </c>
      <c r="K196" s="18">
        <f>IF(J196="CONTRADICTION","HIGH",IF(J196="DEPENDENCY GAP","MEDIUM","—"))</f>
        <v/>
      </c>
      <c r="L196" s="18">
        <f>IF(J196="CONTRADICTION","Strong upstream claim is not supported by linked downstream capability/evidence. Trigger: Assessment redesign.",IF(J196="DEPENDENCY GAP","Downstream capability materially trails upstream expectation. Trigger: Assessment redesign.",""))</f>
        <v/>
      </c>
    </row>
    <row r="197">
      <c r="A197" s="18" t="inlineStr">
        <is>
          <t>CD11</t>
        </is>
      </c>
      <c r="B197" s="18" t="inlineStr">
        <is>
          <t>D04-I08</t>
        </is>
      </c>
      <c r="C197" s="18" t="inlineStr">
        <is>
          <t>D07-I01</t>
        </is>
      </c>
      <c r="D197" s="18">
        <f>'P0-3_Scorecard'!L50</f>
        <v/>
      </c>
      <c r="E197" s="18">
        <f>'P0-3_Scorecard'!L81</f>
        <v/>
      </c>
      <c r="F197" s="18">
        <f>'P0-3_Scorecard'!M50</f>
        <v/>
      </c>
      <c r="G197" s="18">
        <f>'P0-3_Scorecard'!M81</f>
        <v/>
      </c>
      <c r="H197" s="18">
        <f>IF(OR(D197="",F197=""),"",D197-(F197*20))</f>
        <v/>
      </c>
      <c r="I197" s="18">
        <f>IF(OR(E197="",G197=""),"",E197-(G197*20))</f>
        <v/>
      </c>
      <c r="J197" s="18">
        <f>IF(OR(D197="",E197=""),"INCOMPLETE",IF(AND(D197&gt;=80,E197&lt;50),"CONTRADICTION",IF(AND(D197&gt;=70,E197&lt;70),"DEPENDENCY GAP","NO TRIGGER")))</f>
        <v/>
      </c>
      <c r="K197" s="18">
        <f>IF(J197="CONTRADICTION","HIGH",IF(J197="DEPENDENCY GAP","MEDIUM","—"))</f>
        <v/>
      </c>
      <c r="L197" s="18">
        <f>IF(J197="CONTRADICTION","Strong upstream claim is not supported by linked downstream capability/evidence. Trigger: Assessment redesign.",IF(J197="DEPENDENCY GAP","Downstream capability materially trails upstream expectation. Trigger: Assessment redesign.",""))</f>
        <v/>
      </c>
    </row>
    <row r="198">
      <c r="A198" s="18" t="inlineStr">
        <is>
          <t>CD11</t>
        </is>
      </c>
      <c r="B198" s="18" t="inlineStr">
        <is>
          <t>D04-I08</t>
        </is>
      </c>
      <c r="C198" s="18" t="inlineStr">
        <is>
          <t>D07-I02</t>
        </is>
      </c>
      <c r="D198" s="18">
        <f>'P0-3_Scorecard'!L50</f>
        <v/>
      </c>
      <c r="E198" s="18">
        <f>'P0-3_Scorecard'!L82</f>
        <v/>
      </c>
      <c r="F198" s="18">
        <f>'P0-3_Scorecard'!M50</f>
        <v/>
      </c>
      <c r="G198" s="18">
        <f>'P0-3_Scorecard'!M82</f>
        <v/>
      </c>
      <c r="H198" s="18">
        <f>IF(OR(D198="",F198=""),"",D198-(F198*20))</f>
        <v/>
      </c>
      <c r="I198" s="18">
        <f>IF(OR(E198="",G198=""),"",E198-(G198*20))</f>
        <v/>
      </c>
      <c r="J198" s="18">
        <f>IF(OR(D198="",E198=""),"INCOMPLETE",IF(AND(D198&gt;=80,E198&lt;50),"CONTRADICTION",IF(AND(D198&gt;=70,E198&lt;70),"DEPENDENCY GAP","NO TRIGGER")))</f>
        <v/>
      </c>
      <c r="K198" s="18">
        <f>IF(J198="CONTRADICTION","HIGH",IF(J198="DEPENDENCY GAP","MEDIUM","—"))</f>
        <v/>
      </c>
      <c r="L198" s="18">
        <f>IF(J198="CONTRADICTION","Strong upstream claim is not supported by linked downstream capability/evidence. Trigger: Assessment redesign.",IF(J198="DEPENDENCY GAP","Downstream capability materially trails upstream expectation. Trigger: Assessment redesign.",""))</f>
        <v/>
      </c>
    </row>
    <row r="199">
      <c r="A199" s="18" t="inlineStr">
        <is>
          <t>CD11</t>
        </is>
      </c>
      <c r="B199" s="18" t="inlineStr">
        <is>
          <t>D04-I08</t>
        </is>
      </c>
      <c r="C199" s="18" t="inlineStr">
        <is>
          <t>D07-I04</t>
        </is>
      </c>
      <c r="D199" s="18">
        <f>'P0-3_Scorecard'!L50</f>
        <v/>
      </c>
      <c r="E199" s="18">
        <f>'P0-3_Scorecard'!L84</f>
        <v/>
      </c>
      <c r="F199" s="18">
        <f>'P0-3_Scorecard'!M50</f>
        <v/>
      </c>
      <c r="G199" s="18">
        <f>'P0-3_Scorecard'!M84</f>
        <v/>
      </c>
      <c r="H199" s="18">
        <f>IF(OR(D199="",F199=""),"",D199-(F199*20))</f>
        <v/>
      </c>
      <c r="I199" s="18">
        <f>IF(OR(E199="",G199=""),"",E199-(G199*20))</f>
        <v/>
      </c>
      <c r="J199" s="18">
        <f>IF(OR(D199="",E199=""),"INCOMPLETE",IF(AND(D199&gt;=80,E199&lt;50),"CONTRADICTION",IF(AND(D199&gt;=70,E199&lt;70),"DEPENDENCY GAP","NO TRIGGER")))</f>
        <v/>
      </c>
      <c r="K199" s="18">
        <f>IF(J199="CONTRADICTION","HIGH",IF(J199="DEPENDENCY GAP","MEDIUM","—"))</f>
        <v/>
      </c>
      <c r="L199" s="18">
        <f>IF(J199="CONTRADICTION","Strong upstream claim is not supported by linked downstream capability/evidence. Trigger: Assessment redesign.",IF(J199="DEPENDENCY GAP","Downstream capability materially trails upstream expectation. Trigger: Assessment redesign.",""))</f>
        <v/>
      </c>
    </row>
    <row r="200">
      <c r="A200" s="18" t="inlineStr">
        <is>
          <t>CD11</t>
        </is>
      </c>
      <c r="B200" s="18" t="inlineStr">
        <is>
          <t>D04-I08</t>
        </is>
      </c>
      <c r="C200" s="18" t="inlineStr">
        <is>
          <t>D07-I07</t>
        </is>
      </c>
      <c r="D200" s="18">
        <f>'P0-3_Scorecard'!L50</f>
        <v/>
      </c>
      <c r="E200" s="18">
        <f>'P0-3_Scorecard'!L87</f>
        <v/>
      </c>
      <c r="F200" s="18">
        <f>'P0-3_Scorecard'!M50</f>
        <v/>
      </c>
      <c r="G200" s="18">
        <f>'P0-3_Scorecard'!M87</f>
        <v/>
      </c>
      <c r="H200" s="18">
        <f>IF(OR(D200="",F200=""),"",D200-(F200*20))</f>
        <v/>
      </c>
      <c r="I200" s="18">
        <f>IF(OR(E200="",G200=""),"",E200-(G200*20))</f>
        <v/>
      </c>
      <c r="J200" s="18">
        <f>IF(OR(D200="",E200=""),"INCOMPLETE",IF(AND(D200&gt;=80,E200&lt;50),"CONTRADICTION",IF(AND(D200&gt;=70,E200&lt;70),"DEPENDENCY GAP","NO TRIGGER")))</f>
        <v/>
      </c>
      <c r="K200" s="18">
        <f>IF(J200="CONTRADICTION","HIGH",IF(J200="DEPENDENCY GAP","MEDIUM","—"))</f>
        <v/>
      </c>
      <c r="L200" s="18">
        <f>IF(J200="CONTRADICTION","Strong upstream claim is not supported by linked downstream capability/evidence. Trigger: Assessment redesign.",IF(J200="DEPENDENCY GAP","Downstream capability materially trails upstream expectation. Trigger: Assessment redesign.",""))</f>
        <v/>
      </c>
    </row>
    <row r="201">
      <c r="A201" s="18" t="inlineStr">
        <is>
          <t>CD11</t>
        </is>
      </c>
      <c r="B201" s="18" t="inlineStr">
        <is>
          <t>D04-I08</t>
        </is>
      </c>
      <c r="C201" s="18" t="inlineStr">
        <is>
          <t>D07-I08</t>
        </is>
      </c>
      <c r="D201" s="18">
        <f>'P0-3_Scorecard'!L50</f>
        <v/>
      </c>
      <c r="E201" s="18">
        <f>'P0-3_Scorecard'!L88</f>
        <v/>
      </c>
      <c r="F201" s="18">
        <f>'P0-3_Scorecard'!M50</f>
        <v/>
      </c>
      <c r="G201" s="18">
        <f>'P0-3_Scorecard'!M88</f>
        <v/>
      </c>
      <c r="H201" s="18">
        <f>IF(OR(D201="",F201=""),"",D201-(F201*20))</f>
        <v/>
      </c>
      <c r="I201" s="18">
        <f>IF(OR(E201="",G201=""),"",E201-(G201*20))</f>
        <v/>
      </c>
      <c r="J201" s="18">
        <f>IF(OR(D201="",E201=""),"INCOMPLETE",IF(AND(D201&gt;=80,E201&lt;50),"CONTRADICTION",IF(AND(D201&gt;=70,E201&lt;70),"DEPENDENCY GAP","NO TRIGGER")))</f>
        <v/>
      </c>
      <c r="K201" s="18">
        <f>IF(J201="CONTRADICTION","HIGH",IF(J201="DEPENDENCY GAP","MEDIUM","—"))</f>
        <v/>
      </c>
      <c r="L201" s="18">
        <f>IF(J201="CONTRADICTION","Strong upstream claim is not supported by linked downstream capability/evidence. Trigger: Assessment redesign.",IF(J201="DEPENDENCY GAP","Downstream capability materially trails upstream expectation. Trigger: Assessment redesign.",""))</f>
        <v/>
      </c>
    </row>
    <row r="202">
      <c r="A202" s="18" t="inlineStr">
        <is>
          <t>CD11</t>
        </is>
      </c>
      <c r="B202" s="18" t="inlineStr">
        <is>
          <t>D04-I12</t>
        </is>
      </c>
      <c r="C202" s="18" t="inlineStr">
        <is>
          <t>D07-I01</t>
        </is>
      </c>
      <c r="D202" s="18">
        <f>'P0-3_Scorecard'!L54</f>
        <v/>
      </c>
      <c r="E202" s="18">
        <f>'P0-3_Scorecard'!L81</f>
        <v/>
      </c>
      <c r="F202" s="18">
        <f>'P0-3_Scorecard'!M54</f>
        <v/>
      </c>
      <c r="G202" s="18">
        <f>'P0-3_Scorecard'!M81</f>
        <v/>
      </c>
      <c r="H202" s="18">
        <f>IF(OR(D202="",F202=""),"",D202-(F202*20))</f>
        <v/>
      </c>
      <c r="I202" s="18">
        <f>IF(OR(E202="",G202=""),"",E202-(G202*20))</f>
        <v/>
      </c>
      <c r="J202" s="18">
        <f>IF(OR(D202="",E202=""),"INCOMPLETE",IF(AND(D202&gt;=80,E202&lt;50),"CONTRADICTION",IF(AND(D202&gt;=70,E202&lt;70),"DEPENDENCY GAP","NO TRIGGER")))</f>
        <v/>
      </c>
      <c r="K202" s="18">
        <f>IF(J202="CONTRADICTION","HIGH",IF(J202="DEPENDENCY GAP","MEDIUM","—"))</f>
        <v/>
      </c>
      <c r="L202" s="18">
        <f>IF(J202="CONTRADICTION","Strong upstream claim is not supported by linked downstream capability/evidence. Trigger: Assessment redesign.",IF(J202="DEPENDENCY GAP","Downstream capability materially trails upstream expectation. Trigger: Assessment redesign.",""))</f>
        <v/>
      </c>
    </row>
    <row r="203">
      <c r="A203" s="18" t="inlineStr">
        <is>
          <t>CD11</t>
        </is>
      </c>
      <c r="B203" s="18" t="inlineStr">
        <is>
          <t>D04-I12</t>
        </is>
      </c>
      <c r="C203" s="18" t="inlineStr">
        <is>
          <t>D07-I02</t>
        </is>
      </c>
      <c r="D203" s="18">
        <f>'P0-3_Scorecard'!L54</f>
        <v/>
      </c>
      <c r="E203" s="18">
        <f>'P0-3_Scorecard'!L82</f>
        <v/>
      </c>
      <c r="F203" s="18">
        <f>'P0-3_Scorecard'!M54</f>
        <v/>
      </c>
      <c r="G203" s="18">
        <f>'P0-3_Scorecard'!M82</f>
        <v/>
      </c>
      <c r="H203" s="18">
        <f>IF(OR(D203="",F203=""),"",D203-(F203*20))</f>
        <v/>
      </c>
      <c r="I203" s="18">
        <f>IF(OR(E203="",G203=""),"",E203-(G203*20))</f>
        <v/>
      </c>
      <c r="J203" s="18">
        <f>IF(OR(D203="",E203=""),"INCOMPLETE",IF(AND(D203&gt;=80,E203&lt;50),"CONTRADICTION",IF(AND(D203&gt;=70,E203&lt;70),"DEPENDENCY GAP","NO TRIGGER")))</f>
        <v/>
      </c>
      <c r="K203" s="18">
        <f>IF(J203="CONTRADICTION","HIGH",IF(J203="DEPENDENCY GAP","MEDIUM","—"))</f>
        <v/>
      </c>
      <c r="L203" s="18">
        <f>IF(J203="CONTRADICTION","Strong upstream claim is not supported by linked downstream capability/evidence. Trigger: Assessment redesign.",IF(J203="DEPENDENCY GAP","Downstream capability materially trails upstream expectation. Trigger: Assessment redesign.",""))</f>
        <v/>
      </c>
    </row>
    <row r="204">
      <c r="A204" s="18" t="inlineStr">
        <is>
          <t>CD11</t>
        </is>
      </c>
      <c r="B204" s="18" t="inlineStr">
        <is>
          <t>D04-I12</t>
        </is>
      </c>
      <c r="C204" s="18" t="inlineStr">
        <is>
          <t>D07-I04</t>
        </is>
      </c>
      <c r="D204" s="18">
        <f>'P0-3_Scorecard'!L54</f>
        <v/>
      </c>
      <c r="E204" s="18">
        <f>'P0-3_Scorecard'!L84</f>
        <v/>
      </c>
      <c r="F204" s="18">
        <f>'P0-3_Scorecard'!M54</f>
        <v/>
      </c>
      <c r="G204" s="18">
        <f>'P0-3_Scorecard'!M84</f>
        <v/>
      </c>
      <c r="H204" s="18">
        <f>IF(OR(D204="",F204=""),"",D204-(F204*20))</f>
        <v/>
      </c>
      <c r="I204" s="18">
        <f>IF(OR(E204="",G204=""),"",E204-(G204*20))</f>
        <v/>
      </c>
      <c r="J204" s="18">
        <f>IF(OR(D204="",E204=""),"INCOMPLETE",IF(AND(D204&gt;=80,E204&lt;50),"CONTRADICTION",IF(AND(D204&gt;=70,E204&lt;70),"DEPENDENCY GAP","NO TRIGGER")))</f>
        <v/>
      </c>
      <c r="K204" s="18">
        <f>IF(J204="CONTRADICTION","HIGH",IF(J204="DEPENDENCY GAP","MEDIUM","—"))</f>
        <v/>
      </c>
      <c r="L204" s="18">
        <f>IF(J204="CONTRADICTION","Strong upstream claim is not supported by linked downstream capability/evidence. Trigger: Assessment redesign.",IF(J204="DEPENDENCY GAP","Downstream capability materially trails upstream expectation. Trigger: Assessment redesign.",""))</f>
        <v/>
      </c>
    </row>
    <row r="205">
      <c r="A205" s="18" t="inlineStr">
        <is>
          <t>CD11</t>
        </is>
      </c>
      <c r="B205" s="18" t="inlineStr">
        <is>
          <t>D04-I12</t>
        </is>
      </c>
      <c r="C205" s="18" t="inlineStr">
        <is>
          <t>D07-I07</t>
        </is>
      </c>
      <c r="D205" s="18">
        <f>'P0-3_Scorecard'!L54</f>
        <v/>
      </c>
      <c r="E205" s="18">
        <f>'P0-3_Scorecard'!L87</f>
        <v/>
      </c>
      <c r="F205" s="18">
        <f>'P0-3_Scorecard'!M54</f>
        <v/>
      </c>
      <c r="G205" s="18">
        <f>'P0-3_Scorecard'!M87</f>
        <v/>
      </c>
      <c r="H205" s="18">
        <f>IF(OR(D205="",F205=""),"",D205-(F205*20))</f>
        <v/>
      </c>
      <c r="I205" s="18">
        <f>IF(OR(E205="",G205=""),"",E205-(G205*20))</f>
        <v/>
      </c>
      <c r="J205" s="18">
        <f>IF(OR(D205="",E205=""),"INCOMPLETE",IF(AND(D205&gt;=80,E205&lt;50),"CONTRADICTION",IF(AND(D205&gt;=70,E205&lt;70),"DEPENDENCY GAP","NO TRIGGER")))</f>
        <v/>
      </c>
      <c r="K205" s="18">
        <f>IF(J205="CONTRADICTION","HIGH",IF(J205="DEPENDENCY GAP","MEDIUM","—"))</f>
        <v/>
      </c>
      <c r="L205" s="18">
        <f>IF(J205="CONTRADICTION","Strong upstream claim is not supported by linked downstream capability/evidence. Trigger: Assessment redesign.",IF(J205="DEPENDENCY GAP","Downstream capability materially trails upstream expectation. Trigger: Assessment redesign.",""))</f>
        <v/>
      </c>
    </row>
    <row r="206">
      <c r="A206" s="18" t="inlineStr">
        <is>
          <t>CD11</t>
        </is>
      </c>
      <c r="B206" s="18" t="inlineStr">
        <is>
          <t>D04-I12</t>
        </is>
      </c>
      <c r="C206" s="18" t="inlineStr">
        <is>
          <t>D07-I08</t>
        </is>
      </c>
      <c r="D206" s="18">
        <f>'P0-3_Scorecard'!L54</f>
        <v/>
      </c>
      <c r="E206" s="18">
        <f>'P0-3_Scorecard'!L88</f>
        <v/>
      </c>
      <c r="F206" s="18">
        <f>'P0-3_Scorecard'!M54</f>
        <v/>
      </c>
      <c r="G206" s="18">
        <f>'P0-3_Scorecard'!M88</f>
        <v/>
      </c>
      <c r="H206" s="18">
        <f>IF(OR(D206="",F206=""),"",D206-(F206*20))</f>
        <v/>
      </c>
      <c r="I206" s="18">
        <f>IF(OR(E206="",G206=""),"",E206-(G206*20))</f>
        <v/>
      </c>
      <c r="J206" s="18">
        <f>IF(OR(D206="",E206=""),"INCOMPLETE",IF(AND(D206&gt;=80,E206&lt;50),"CONTRADICTION",IF(AND(D206&gt;=70,E206&lt;70),"DEPENDENCY GAP","NO TRIGGER")))</f>
        <v/>
      </c>
      <c r="K206" s="18">
        <f>IF(J206="CONTRADICTION","HIGH",IF(J206="DEPENDENCY GAP","MEDIUM","—"))</f>
        <v/>
      </c>
      <c r="L206" s="18">
        <f>IF(J206="CONTRADICTION","Strong upstream claim is not supported by linked downstream capability/evidence. Trigger: Assessment redesign.",IF(J206="DEPENDENCY GAP","Downstream capability materially trails upstream expectation. Trigger: Assessment redesign.",""))</f>
        <v/>
      </c>
    </row>
    <row r="207">
      <c r="A207" s="18" t="inlineStr">
        <is>
          <t>CD12</t>
        </is>
      </c>
      <c r="B207" s="18" t="inlineStr">
        <is>
          <t>D05-I03</t>
        </is>
      </c>
      <c r="C207" s="18" t="inlineStr">
        <is>
          <t>D07-I01</t>
        </is>
      </c>
      <c r="D207" s="18">
        <f>'P0-3_Scorecard'!L57</f>
        <v/>
      </c>
      <c r="E207" s="18">
        <f>'P0-3_Scorecard'!L81</f>
        <v/>
      </c>
      <c r="F207" s="18">
        <f>'P0-3_Scorecard'!M57</f>
        <v/>
      </c>
      <c r="G207" s="18">
        <f>'P0-3_Scorecard'!M81</f>
        <v/>
      </c>
      <c r="H207" s="18">
        <f>IF(OR(D207="",F207=""),"",D207-(F207*20))</f>
        <v/>
      </c>
      <c r="I207" s="18">
        <f>IF(OR(E207="",G207=""),"",E207-(G207*20))</f>
        <v/>
      </c>
      <c r="J207" s="18">
        <f>IF(OR(D207="",E207=""),"INCOMPLETE",IF(AND(D207&gt;=80,E207&lt;50),"CONTRADICTION",IF(AND(D207&gt;=70,E207&lt;70),"DEPENDENCY GAP","NO TRIGGER")))</f>
        <v/>
      </c>
      <c r="K207" s="18">
        <f>IF(J207="CONTRADICTION","HIGH",IF(J207="DEPENDENCY GAP","MEDIUM","—"))</f>
        <v/>
      </c>
      <c r="L207" s="18">
        <f>IF(J207="CONTRADICTION","Strong upstream claim is not supported by linked downstream capability/evidence. Trigger: Faculty practice review.",IF(J207="DEPENDENCY GAP","Downstream capability materially trails upstream expectation. Trigger: Faculty practice review.",""))</f>
        <v/>
      </c>
    </row>
    <row r="208">
      <c r="A208" s="18" t="inlineStr">
        <is>
          <t>CD12</t>
        </is>
      </c>
      <c r="B208" s="18" t="inlineStr">
        <is>
          <t>D05-I03</t>
        </is>
      </c>
      <c r="C208" s="18" t="inlineStr">
        <is>
          <t>D07-I04</t>
        </is>
      </c>
      <c r="D208" s="18">
        <f>'P0-3_Scorecard'!L57</f>
        <v/>
      </c>
      <c r="E208" s="18">
        <f>'P0-3_Scorecard'!L84</f>
        <v/>
      </c>
      <c r="F208" s="18">
        <f>'P0-3_Scorecard'!M57</f>
        <v/>
      </c>
      <c r="G208" s="18">
        <f>'P0-3_Scorecard'!M84</f>
        <v/>
      </c>
      <c r="H208" s="18">
        <f>IF(OR(D208="",F208=""),"",D208-(F208*20))</f>
        <v/>
      </c>
      <c r="I208" s="18">
        <f>IF(OR(E208="",G208=""),"",E208-(G208*20))</f>
        <v/>
      </c>
      <c r="J208" s="18">
        <f>IF(OR(D208="",E208=""),"INCOMPLETE",IF(AND(D208&gt;=80,E208&lt;50),"CONTRADICTION",IF(AND(D208&gt;=70,E208&lt;70),"DEPENDENCY GAP","NO TRIGGER")))</f>
        <v/>
      </c>
      <c r="K208" s="18">
        <f>IF(J208="CONTRADICTION","HIGH",IF(J208="DEPENDENCY GAP","MEDIUM","—"))</f>
        <v/>
      </c>
      <c r="L208" s="18">
        <f>IF(J208="CONTRADICTION","Strong upstream claim is not supported by linked downstream capability/evidence. Trigger: Faculty practice review.",IF(J208="DEPENDENCY GAP","Downstream capability materially trails upstream expectation. Trigger: Faculty practice review.",""))</f>
        <v/>
      </c>
    </row>
    <row r="209">
      <c r="A209" s="18" t="inlineStr">
        <is>
          <t>CD12</t>
        </is>
      </c>
      <c r="B209" s="18" t="inlineStr">
        <is>
          <t>D05-I03</t>
        </is>
      </c>
      <c r="C209" s="18" t="inlineStr">
        <is>
          <t>D07-I05</t>
        </is>
      </c>
      <c r="D209" s="18">
        <f>'P0-3_Scorecard'!L57</f>
        <v/>
      </c>
      <c r="E209" s="18">
        <f>'P0-3_Scorecard'!L85</f>
        <v/>
      </c>
      <c r="F209" s="18">
        <f>'P0-3_Scorecard'!M57</f>
        <v/>
      </c>
      <c r="G209" s="18">
        <f>'P0-3_Scorecard'!M85</f>
        <v/>
      </c>
      <c r="H209" s="18">
        <f>IF(OR(D209="",F209=""),"",D209-(F209*20))</f>
        <v/>
      </c>
      <c r="I209" s="18">
        <f>IF(OR(E209="",G209=""),"",E209-(G209*20))</f>
        <v/>
      </c>
      <c r="J209" s="18">
        <f>IF(OR(D209="",E209=""),"INCOMPLETE",IF(AND(D209&gt;=80,E209&lt;50),"CONTRADICTION",IF(AND(D209&gt;=70,E209&lt;70),"DEPENDENCY GAP","NO TRIGGER")))</f>
        <v/>
      </c>
      <c r="K209" s="18">
        <f>IF(J209="CONTRADICTION","HIGH",IF(J209="DEPENDENCY GAP","MEDIUM","—"))</f>
        <v/>
      </c>
      <c r="L209" s="18">
        <f>IF(J209="CONTRADICTION","Strong upstream claim is not supported by linked downstream capability/evidence. Trigger: Faculty practice review.",IF(J209="DEPENDENCY GAP","Downstream capability materially trails upstream expectation. Trigger: Faculty practice review.",""))</f>
        <v/>
      </c>
    </row>
    <row r="210">
      <c r="A210" s="18" t="inlineStr">
        <is>
          <t>CD12</t>
        </is>
      </c>
      <c r="B210" s="18" t="inlineStr">
        <is>
          <t>D05-I03</t>
        </is>
      </c>
      <c r="C210" s="18" t="inlineStr">
        <is>
          <t>D07-I11</t>
        </is>
      </c>
      <c r="D210" s="18">
        <f>'P0-3_Scorecard'!L57</f>
        <v/>
      </c>
      <c r="E210" s="18">
        <f>'P0-3_Scorecard'!L91</f>
        <v/>
      </c>
      <c r="F210" s="18">
        <f>'P0-3_Scorecard'!M57</f>
        <v/>
      </c>
      <c r="G210" s="18">
        <f>'P0-3_Scorecard'!M91</f>
        <v/>
      </c>
      <c r="H210" s="18">
        <f>IF(OR(D210="",F210=""),"",D210-(F210*20))</f>
        <v/>
      </c>
      <c r="I210" s="18">
        <f>IF(OR(E210="",G210=""),"",E210-(G210*20))</f>
        <v/>
      </c>
      <c r="J210" s="18">
        <f>IF(OR(D210="",E210=""),"INCOMPLETE",IF(AND(D210&gt;=80,E210&lt;50),"CONTRADICTION",IF(AND(D210&gt;=70,E210&lt;70),"DEPENDENCY GAP","NO TRIGGER")))</f>
        <v/>
      </c>
      <c r="K210" s="18">
        <f>IF(J210="CONTRADICTION","HIGH",IF(J210="DEPENDENCY GAP","MEDIUM","—"))</f>
        <v/>
      </c>
      <c r="L210" s="18">
        <f>IF(J210="CONTRADICTION","Strong upstream claim is not supported by linked downstream capability/evidence. Trigger: Faculty practice review.",IF(J210="DEPENDENCY GAP","Downstream capability materially trails upstream expectation. Trigger: Faculty practice review.",""))</f>
        <v/>
      </c>
    </row>
    <row r="211">
      <c r="A211" s="18" t="inlineStr">
        <is>
          <t>CD12</t>
        </is>
      </c>
      <c r="B211" s="18" t="inlineStr">
        <is>
          <t>D05-I04</t>
        </is>
      </c>
      <c r="C211" s="18" t="inlineStr">
        <is>
          <t>D07-I01</t>
        </is>
      </c>
      <c r="D211" s="18">
        <f>'P0-3_Scorecard'!L58</f>
        <v/>
      </c>
      <c r="E211" s="18">
        <f>'P0-3_Scorecard'!L81</f>
        <v/>
      </c>
      <c r="F211" s="18">
        <f>'P0-3_Scorecard'!M58</f>
        <v/>
      </c>
      <c r="G211" s="18">
        <f>'P0-3_Scorecard'!M81</f>
        <v/>
      </c>
      <c r="H211" s="18">
        <f>IF(OR(D211="",F211=""),"",D211-(F211*20))</f>
        <v/>
      </c>
      <c r="I211" s="18">
        <f>IF(OR(E211="",G211=""),"",E211-(G211*20))</f>
        <v/>
      </c>
      <c r="J211" s="18">
        <f>IF(OR(D211="",E211=""),"INCOMPLETE",IF(AND(D211&gt;=80,E211&lt;50),"CONTRADICTION",IF(AND(D211&gt;=70,E211&lt;70),"DEPENDENCY GAP","NO TRIGGER")))</f>
        <v/>
      </c>
      <c r="K211" s="18">
        <f>IF(J211="CONTRADICTION","HIGH",IF(J211="DEPENDENCY GAP","MEDIUM","—"))</f>
        <v/>
      </c>
      <c r="L211" s="18">
        <f>IF(J211="CONTRADICTION","Strong upstream claim is not supported by linked downstream capability/evidence. Trigger: Faculty practice review.",IF(J211="DEPENDENCY GAP","Downstream capability materially trails upstream expectation. Trigger: Faculty practice review.",""))</f>
        <v/>
      </c>
    </row>
    <row r="212">
      <c r="A212" s="18" t="inlineStr">
        <is>
          <t>CD12</t>
        </is>
      </c>
      <c r="B212" s="18" t="inlineStr">
        <is>
          <t>D05-I04</t>
        </is>
      </c>
      <c r="C212" s="18" t="inlineStr">
        <is>
          <t>D07-I04</t>
        </is>
      </c>
      <c r="D212" s="18">
        <f>'P0-3_Scorecard'!L58</f>
        <v/>
      </c>
      <c r="E212" s="18">
        <f>'P0-3_Scorecard'!L84</f>
        <v/>
      </c>
      <c r="F212" s="18">
        <f>'P0-3_Scorecard'!M58</f>
        <v/>
      </c>
      <c r="G212" s="18">
        <f>'P0-3_Scorecard'!M84</f>
        <v/>
      </c>
      <c r="H212" s="18">
        <f>IF(OR(D212="",F212=""),"",D212-(F212*20))</f>
        <v/>
      </c>
      <c r="I212" s="18">
        <f>IF(OR(E212="",G212=""),"",E212-(G212*20))</f>
        <v/>
      </c>
      <c r="J212" s="18">
        <f>IF(OR(D212="",E212=""),"INCOMPLETE",IF(AND(D212&gt;=80,E212&lt;50),"CONTRADICTION",IF(AND(D212&gt;=70,E212&lt;70),"DEPENDENCY GAP","NO TRIGGER")))</f>
        <v/>
      </c>
      <c r="K212" s="18">
        <f>IF(J212="CONTRADICTION","HIGH",IF(J212="DEPENDENCY GAP","MEDIUM","—"))</f>
        <v/>
      </c>
      <c r="L212" s="18">
        <f>IF(J212="CONTRADICTION","Strong upstream claim is not supported by linked downstream capability/evidence. Trigger: Faculty practice review.",IF(J212="DEPENDENCY GAP","Downstream capability materially trails upstream expectation. Trigger: Faculty practice review.",""))</f>
        <v/>
      </c>
    </row>
    <row r="213">
      <c r="A213" s="18" t="inlineStr">
        <is>
          <t>CD12</t>
        </is>
      </c>
      <c r="B213" s="18" t="inlineStr">
        <is>
          <t>D05-I04</t>
        </is>
      </c>
      <c r="C213" s="18" t="inlineStr">
        <is>
          <t>D07-I05</t>
        </is>
      </c>
      <c r="D213" s="18">
        <f>'P0-3_Scorecard'!L58</f>
        <v/>
      </c>
      <c r="E213" s="18">
        <f>'P0-3_Scorecard'!L85</f>
        <v/>
      </c>
      <c r="F213" s="18">
        <f>'P0-3_Scorecard'!M58</f>
        <v/>
      </c>
      <c r="G213" s="18">
        <f>'P0-3_Scorecard'!M85</f>
        <v/>
      </c>
      <c r="H213" s="18">
        <f>IF(OR(D213="",F213=""),"",D213-(F213*20))</f>
        <v/>
      </c>
      <c r="I213" s="18">
        <f>IF(OR(E213="",G213=""),"",E213-(G213*20))</f>
        <v/>
      </c>
      <c r="J213" s="18">
        <f>IF(OR(D213="",E213=""),"INCOMPLETE",IF(AND(D213&gt;=80,E213&lt;50),"CONTRADICTION",IF(AND(D213&gt;=70,E213&lt;70),"DEPENDENCY GAP","NO TRIGGER")))</f>
        <v/>
      </c>
      <c r="K213" s="18">
        <f>IF(J213="CONTRADICTION","HIGH",IF(J213="DEPENDENCY GAP","MEDIUM","—"))</f>
        <v/>
      </c>
      <c r="L213" s="18">
        <f>IF(J213="CONTRADICTION","Strong upstream claim is not supported by linked downstream capability/evidence. Trigger: Faculty practice review.",IF(J213="DEPENDENCY GAP","Downstream capability materially trails upstream expectation. Trigger: Faculty practice review.",""))</f>
        <v/>
      </c>
    </row>
    <row r="214">
      <c r="A214" s="18" t="inlineStr">
        <is>
          <t>CD12</t>
        </is>
      </c>
      <c r="B214" s="18" t="inlineStr">
        <is>
          <t>D05-I04</t>
        </is>
      </c>
      <c r="C214" s="18" t="inlineStr">
        <is>
          <t>D07-I11</t>
        </is>
      </c>
      <c r="D214" s="18">
        <f>'P0-3_Scorecard'!L58</f>
        <v/>
      </c>
      <c r="E214" s="18">
        <f>'P0-3_Scorecard'!L91</f>
        <v/>
      </c>
      <c r="F214" s="18">
        <f>'P0-3_Scorecard'!M58</f>
        <v/>
      </c>
      <c r="G214" s="18">
        <f>'P0-3_Scorecard'!M91</f>
        <v/>
      </c>
      <c r="H214" s="18">
        <f>IF(OR(D214="",F214=""),"",D214-(F214*20))</f>
        <v/>
      </c>
      <c r="I214" s="18">
        <f>IF(OR(E214="",G214=""),"",E214-(G214*20))</f>
        <v/>
      </c>
      <c r="J214" s="18">
        <f>IF(OR(D214="",E214=""),"INCOMPLETE",IF(AND(D214&gt;=80,E214&lt;50),"CONTRADICTION",IF(AND(D214&gt;=70,E214&lt;70),"DEPENDENCY GAP","NO TRIGGER")))</f>
        <v/>
      </c>
      <c r="K214" s="18">
        <f>IF(J214="CONTRADICTION","HIGH",IF(J214="DEPENDENCY GAP","MEDIUM","—"))</f>
        <v/>
      </c>
      <c r="L214" s="18">
        <f>IF(J214="CONTRADICTION","Strong upstream claim is not supported by linked downstream capability/evidence. Trigger: Faculty practice review.",IF(J214="DEPENDENCY GAP","Downstream capability materially trails upstream expectation. Trigger: Faculty practice review.",""))</f>
        <v/>
      </c>
    </row>
    <row r="215">
      <c r="A215" s="18" t="inlineStr">
        <is>
          <t>CD12</t>
        </is>
      </c>
      <c r="B215" s="18" t="inlineStr">
        <is>
          <t>D05-I05</t>
        </is>
      </c>
      <c r="C215" s="18" t="inlineStr">
        <is>
          <t>D07-I01</t>
        </is>
      </c>
      <c r="D215" s="18">
        <f>'P0-3_Scorecard'!L59</f>
        <v/>
      </c>
      <c r="E215" s="18">
        <f>'P0-3_Scorecard'!L81</f>
        <v/>
      </c>
      <c r="F215" s="18">
        <f>'P0-3_Scorecard'!M59</f>
        <v/>
      </c>
      <c r="G215" s="18">
        <f>'P0-3_Scorecard'!M81</f>
        <v/>
      </c>
      <c r="H215" s="18">
        <f>IF(OR(D215="",F215=""),"",D215-(F215*20))</f>
        <v/>
      </c>
      <c r="I215" s="18">
        <f>IF(OR(E215="",G215=""),"",E215-(G215*20))</f>
        <v/>
      </c>
      <c r="J215" s="18">
        <f>IF(OR(D215="",E215=""),"INCOMPLETE",IF(AND(D215&gt;=80,E215&lt;50),"CONTRADICTION",IF(AND(D215&gt;=70,E215&lt;70),"DEPENDENCY GAP","NO TRIGGER")))</f>
        <v/>
      </c>
      <c r="K215" s="18">
        <f>IF(J215="CONTRADICTION","HIGH",IF(J215="DEPENDENCY GAP","MEDIUM","—"))</f>
        <v/>
      </c>
      <c r="L215" s="18">
        <f>IF(J215="CONTRADICTION","Strong upstream claim is not supported by linked downstream capability/evidence. Trigger: Faculty practice review.",IF(J215="DEPENDENCY GAP","Downstream capability materially trails upstream expectation. Trigger: Faculty practice review.",""))</f>
        <v/>
      </c>
    </row>
    <row r="216">
      <c r="A216" s="18" t="inlineStr">
        <is>
          <t>CD12</t>
        </is>
      </c>
      <c r="B216" s="18" t="inlineStr">
        <is>
          <t>D05-I05</t>
        </is>
      </c>
      <c r="C216" s="18" t="inlineStr">
        <is>
          <t>D07-I04</t>
        </is>
      </c>
      <c r="D216" s="18">
        <f>'P0-3_Scorecard'!L59</f>
        <v/>
      </c>
      <c r="E216" s="18">
        <f>'P0-3_Scorecard'!L84</f>
        <v/>
      </c>
      <c r="F216" s="18">
        <f>'P0-3_Scorecard'!M59</f>
        <v/>
      </c>
      <c r="G216" s="18">
        <f>'P0-3_Scorecard'!M84</f>
        <v/>
      </c>
      <c r="H216" s="18">
        <f>IF(OR(D216="",F216=""),"",D216-(F216*20))</f>
        <v/>
      </c>
      <c r="I216" s="18">
        <f>IF(OR(E216="",G216=""),"",E216-(G216*20))</f>
        <v/>
      </c>
      <c r="J216" s="18">
        <f>IF(OR(D216="",E216=""),"INCOMPLETE",IF(AND(D216&gt;=80,E216&lt;50),"CONTRADICTION",IF(AND(D216&gt;=70,E216&lt;70),"DEPENDENCY GAP","NO TRIGGER")))</f>
        <v/>
      </c>
      <c r="K216" s="18">
        <f>IF(J216="CONTRADICTION","HIGH",IF(J216="DEPENDENCY GAP","MEDIUM","—"))</f>
        <v/>
      </c>
      <c r="L216" s="18">
        <f>IF(J216="CONTRADICTION","Strong upstream claim is not supported by linked downstream capability/evidence. Trigger: Faculty practice review.",IF(J216="DEPENDENCY GAP","Downstream capability materially trails upstream expectation. Trigger: Faculty practice review.",""))</f>
        <v/>
      </c>
    </row>
    <row r="217">
      <c r="A217" s="18" t="inlineStr">
        <is>
          <t>CD12</t>
        </is>
      </c>
      <c r="B217" s="18" t="inlineStr">
        <is>
          <t>D05-I05</t>
        </is>
      </c>
      <c r="C217" s="18" t="inlineStr">
        <is>
          <t>D07-I05</t>
        </is>
      </c>
      <c r="D217" s="18">
        <f>'P0-3_Scorecard'!L59</f>
        <v/>
      </c>
      <c r="E217" s="18">
        <f>'P0-3_Scorecard'!L85</f>
        <v/>
      </c>
      <c r="F217" s="18">
        <f>'P0-3_Scorecard'!M59</f>
        <v/>
      </c>
      <c r="G217" s="18">
        <f>'P0-3_Scorecard'!M85</f>
        <v/>
      </c>
      <c r="H217" s="18">
        <f>IF(OR(D217="",F217=""),"",D217-(F217*20))</f>
        <v/>
      </c>
      <c r="I217" s="18">
        <f>IF(OR(E217="",G217=""),"",E217-(G217*20))</f>
        <v/>
      </c>
      <c r="J217" s="18">
        <f>IF(OR(D217="",E217=""),"INCOMPLETE",IF(AND(D217&gt;=80,E217&lt;50),"CONTRADICTION",IF(AND(D217&gt;=70,E217&lt;70),"DEPENDENCY GAP","NO TRIGGER")))</f>
        <v/>
      </c>
      <c r="K217" s="18">
        <f>IF(J217="CONTRADICTION","HIGH",IF(J217="DEPENDENCY GAP","MEDIUM","—"))</f>
        <v/>
      </c>
      <c r="L217" s="18">
        <f>IF(J217="CONTRADICTION","Strong upstream claim is not supported by linked downstream capability/evidence. Trigger: Faculty practice review.",IF(J217="DEPENDENCY GAP","Downstream capability materially trails upstream expectation. Trigger: Faculty practice review.",""))</f>
        <v/>
      </c>
    </row>
    <row r="218">
      <c r="A218" s="18" t="inlineStr">
        <is>
          <t>CD12</t>
        </is>
      </c>
      <c r="B218" s="18" t="inlineStr">
        <is>
          <t>D05-I05</t>
        </is>
      </c>
      <c r="C218" s="18" t="inlineStr">
        <is>
          <t>D07-I11</t>
        </is>
      </c>
      <c r="D218" s="18">
        <f>'P0-3_Scorecard'!L59</f>
        <v/>
      </c>
      <c r="E218" s="18">
        <f>'P0-3_Scorecard'!L91</f>
        <v/>
      </c>
      <c r="F218" s="18">
        <f>'P0-3_Scorecard'!M59</f>
        <v/>
      </c>
      <c r="G218" s="18">
        <f>'P0-3_Scorecard'!M91</f>
        <v/>
      </c>
      <c r="H218" s="18">
        <f>IF(OR(D218="",F218=""),"",D218-(F218*20))</f>
        <v/>
      </c>
      <c r="I218" s="18">
        <f>IF(OR(E218="",G218=""),"",E218-(G218*20))</f>
        <v/>
      </c>
      <c r="J218" s="18">
        <f>IF(OR(D218="",E218=""),"INCOMPLETE",IF(AND(D218&gt;=80,E218&lt;50),"CONTRADICTION",IF(AND(D218&gt;=70,E218&lt;70),"DEPENDENCY GAP","NO TRIGGER")))</f>
        <v/>
      </c>
      <c r="K218" s="18">
        <f>IF(J218="CONTRADICTION","HIGH",IF(J218="DEPENDENCY GAP","MEDIUM","—"))</f>
        <v/>
      </c>
      <c r="L218" s="18">
        <f>IF(J218="CONTRADICTION","Strong upstream claim is not supported by linked downstream capability/evidence. Trigger: Faculty practice review.",IF(J218="DEPENDENCY GAP","Downstream capability materially trails upstream expectation. Trigger: Faculty practice review.",""))</f>
        <v/>
      </c>
    </row>
    <row r="219">
      <c r="A219" s="18" t="inlineStr">
        <is>
          <t>CD12</t>
        </is>
      </c>
      <c r="B219" s="18" t="inlineStr">
        <is>
          <t>D05-I12</t>
        </is>
      </c>
      <c r="C219" s="18" t="inlineStr">
        <is>
          <t>D07-I01</t>
        </is>
      </c>
      <c r="D219" s="18">
        <f>'P0-3_Scorecard'!L66</f>
        <v/>
      </c>
      <c r="E219" s="18">
        <f>'P0-3_Scorecard'!L81</f>
        <v/>
      </c>
      <c r="F219" s="18">
        <f>'P0-3_Scorecard'!M66</f>
        <v/>
      </c>
      <c r="G219" s="18">
        <f>'P0-3_Scorecard'!M81</f>
        <v/>
      </c>
      <c r="H219" s="18">
        <f>IF(OR(D219="",F219=""),"",D219-(F219*20))</f>
        <v/>
      </c>
      <c r="I219" s="18">
        <f>IF(OR(E219="",G219=""),"",E219-(G219*20))</f>
        <v/>
      </c>
      <c r="J219" s="18">
        <f>IF(OR(D219="",E219=""),"INCOMPLETE",IF(AND(D219&gt;=80,E219&lt;50),"CONTRADICTION",IF(AND(D219&gt;=70,E219&lt;70),"DEPENDENCY GAP","NO TRIGGER")))</f>
        <v/>
      </c>
      <c r="K219" s="18">
        <f>IF(J219="CONTRADICTION","HIGH",IF(J219="DEPENDENCY GAP","MEDIUM","—"))</f>
        <v/>
      </c>
      <c r="L219" s="18">
        <f>IF(J219="CONTRADICTION","Strong upstream claim is not supported by linked downstream capability/evidence. Trigger: Faculty practice review.",IF(J219="DEPENDENCY GAP","Downstream capability materially trails upstream expectation. Trigger: Faculty practice review.",""))</f>
        <v/>
      </c>
    </row>
    <row r="220">
      <c r="A220" s="18" t="inlineStr">
        <is>
          <t>CD12</t>
        </is>
      </c>
      <c r="B220" s="18" t="inlineStr">
        <is>
          <t>D05-I12</t>
        </is>
      </c>
      <c r="C220" s="18" t="inlineStr">
        <is>
          <t>D07-I04</t>
        </is>
      </c>
      <c r="D220" s="18">
        <f>'P0-3_Scorecard'!L66</f>
        <v/>
      </c>
      <c r="E220" s="18">
        <f>'P0-3_Scorecard'!L84</f>
        <v/>
      </c>
      <c r="F220" s="18">
        <f>'P0-3_Scorecard'!M66</f>
        <v/>
      </c>
      <c r="G220" s="18">
        <f>'P0-3_Scorecard'!M84</f>
        <v/>
      </c>
      <c r="H220" s="18">
        <f>IF(OR(D220="",F220=""),"",D220-(F220*20))</f>
        <v/>
      </c>
      <c r="I220" s="18">
        <f>IF(OR(E220="",G220=""),"",E220-(G220*20))</f>
        <v/>
      </c>
      <c r="J220" s="18">
        <f>IF(OR(D220="",E220=""),"INCOMPLETE",IF(AND(D220&gt;=80,E220&lt;50),"CONTRADICTION",IF(AND(D220&gt;=70,E220&lt;70),"DEPENDENCY GAP","NO TRIGGER")))</f>
        <v/>
      </c>
      <c r="K220" s="18">
        <f>IF(J220="CONTRADICTION","HIGH",IF(J220="DEPENDENCY GAP","MEDIUM","—"))</f>
        <v/>
      </c>
      <c r="L220" s="18">
        <f>IF(J220="CONTRADICTION","Strong upstream claim is not supported by linked downstream capability/evidence. Trigger: Faculty practice review.",IF(J220="DEPENDENCY GAP","Downstream capability materially trails upstream expectation. Trigger: Faculty practice review.",""))</f>
        <v/>
      </c>
    </row>
    <row r="221">
      <c r="A221" s="18" t="inlineStr">
        <is>
          <t>CD12</t>
        </is>
      </c>
      <c r="B221" s="18" t="inlineStr">
        <is>
          <t>D05-I12</t>
        </is>
      </c>
      <c r="C221" s="18" t="inlineStr">
        <is>
          <t>D07-I05</t>
        </is>
      </c>
      <c r="D221" s="18">
        <f>'P0-3_Scorecard'!L66</f>
        <v/>
      </c>
      <c r="E221" s="18">
        <f>'P0-3_Scorecard'!L85</f>
        <v/>
      </c>
      <c r="F221" s="18">
        <f>'P0-3_Scorecard'!M66</f>
        <v/>
      </c>
      <c r="G221" s="18">
        <f>'P0-3_Scorecard'!M85</f>
        <v/>
      </c>
      <c r="H221" s="18">
        <f>IF(OR(D221="",F221=""),"",D221-(F221*20))</f>
        <v/>
      </c>
      <c r="I221" s="18">
        <f>IF(OR(E221="",G221=""),"",E221-(G221*20))</f>
        <v/>
      </c>
      <c r="J221" s="18">
        <f>IF(OR(D221="",E221=""),"INCOMPLETE",IF(AND(D221&gt;=80,E221&lt;50),"CONTRADICTION",IF(AND(D221&gt;=70,E221&lt;70),"DEPENDENCY GAP","NO TRIGGER")))</f>
        <v/>
      </c>
      <c r="K221" s="18">
        <f>IF(J221="CONTRADICTION","HIGH",IF(J221="DEPENDENCY GAP","MEDIUM","—"))</f>
        <v/>
      </c>
      <c r="L221" s="18">
        <f>IF(J221="CONTRADICTION","Strong upstream claim is not supported by linked downstream capability/evidence. Trigger: Faculty practice review.",IF(J221="DEPENDENCY GAP","Downstream capability materially trails upstream expectation. Trigger: Faculty practice review.",""))</f>
        <v/>
      </c>
    </row>
    <row r="222">
      <c r="A222" s="18" t="inlineStr">
        <is>
          <t>CD12</t>
        </is>
      </c>
      <c r="B222" s="18" t="inlineStr">
        <is>
          <t>D05-I12</t>
        </is>
      </c>
      <c r="C222" s="18" t="inlineStr">
        <is>
          <t>D07-I11</t>
        </is>
      </c>
      <c r="D222" s="18">
        <f>'P0-3_Scorecard'!L66</f>
        <v/>
      </c>
      <c r="E222" s="18">
        <f>'P0-3_Scorecard'!L91</f>
        <v/>
      </c>
      <c r="F222" s="18">
        <f>'P0-3_Scorecard'!M66</f>
        <v/>
      </c>
      <c r="G222" s="18">
        <f>'P0-3_Scorecard'!M91</f>
        <v/>
      </c>
      <c r="H222" s="18">
        <f>IF(OR(D222="",F222=""),"",D222-(F222*20))</f>
        <v/>
      </c>
      <c r="I222" s="18">
        <f>IF(OR(E222="",G222=""),"",E222-(G222*20))</f>
        <v/>
      </c>
      <c r="J222" s="18">
        <f>IF(OR(D222="",E222=""),"INCOMPLETE",IF(AND(D222&gt;=80,E222&lt;50),"CONTRADICTION",IF(AND(D222&gt;=70,E222&lt;70),"DEPENDENCY GAP","NO TRIGGER")))</f>
        <v/>
      </c>
      <c r="K222" s="18">
        <f>IF(J222="CONTRADICTION","HIGH",IF(J222="DEPENDENCY GAP","MEDIUM","—"))</f>
        <v/>
      </c>
      <c r="L222" s="18">
        <f>IF(J222="CONTRADICTION","Strong upstream claim is not supported by linked downstream capability/evidence. Trigger: Faculty practice review.",IF(J222="DEPENDENCY GAP","Downstream capability materially trails upstream expectation. Trigger: Faculty practice review.",""))</f>
        <v/>
      </c>
    </row>
    <row r="223">
      <c r="A223" s="18" t="inlineStr">
        <is>
          <t>CD13</t>
        </is>
      </c>
      <c r="B223" s="18" t="inlineStr">
        <is>
          <t>D06-I04</t>
        </is>
      </c>
      <c r="C223" s="18" t="inlineStr">
        <is>
          <t>D09-I05</t>
        </is>
      </c>
      <c r="D223" s="18">
        <f>'P0-3_Scorecard'!L70</f>
        <v/>
      </c>
      <c r="E223" s="18">
        <f>'P0-3_Scorecard'!L109</f>
        <v/>
      </c>
      <c r="F223" s="18">
        <f>'P0-3_Scorecard'!M70</f>
        <v/>
      </c>
      <c r="G223" s="18">
        <f>'P0-3_Scorecard'!M109</f>
        <v/>
      </c>
      <c r="H223" s="18">
        <f>IF(OR(D223="",F223=""),"",D223-(F223*20))</f>
        <v/>
      </c>
      <c r="I223" s="18">
        <f>IF(OR(E223="",G223=""),"",E223-(G223*20))</f>
        <v/>
      </c>
      <c r="J223" s="18">
        <f>IF(OR(D223="",E223=""),"INCOMPLETE",IF(AND(D223&gt;=80,E223&lt;50),"CONTRADICTION",IF(AND(D223&gt;=70,E223&lt;70),"DEPENDENCY GAP","NO TRIGGER")))</f>
        <v/>
      </c>
      <c r="K223" s="18">
        <f>IF(J223="CONTRADICTION","HIGH",IF(J223="DEPENDENCY GAP","MEDIUM","—"))</f>
        <v/>
      </c>
      <c r="L223" s="18">
        <f>IF(J223="CONTRADICTION","Strong upstream claim is not supported by linked downstream capability/evidence. Trigger: Employability evidence review.",IF(J223="DEPENDENCY GAP","Downstream capability materially trails upstream expectation. Trigger: Employability evidence review.",""))</f>
        <v/>
      </c>
    </row>
    <row r="224">
      <c r="A224" s="18" t="inlineStr">
        <is>
          <t>CD13</t>
        </is>
      </c>
      <c r="B224" s="18" t="inlineStr">
        <is>
          <t>D06-I04</t>
        </is>
      </c>
      <c r="C224" s="18" t="inlineStr">
        <is>
          <t>D09-I06</t>
        </is>
      </c>
      <c r="D224" s="18">
        <f>'P0-3_Scorecard'!L70</f>
        <v/>
      </c>
      <c r="E224" s="18">
        <f>'P0-3_Scorecard'!L110</f>
        <v/>
      </c>
      <c r="F224" s="18">
        <f>'P0-3_Scorecard'!M70</f>
        <v/>
      </c>
      <c r="G224" s="18">
        <f>'P0-3_Scorecard'!M110</f>
        <v/>
      </c>
      <c r="H224" s="18">
        <f>IF(OR(D224="",F224=""),"",D224-(F224*20))</f>
        <v/>
      </c>
      <c r="I224" s="18">
        <f>IF(OR(E224="",G224=""),"",E224-(G224*20))</f>
        <v/>
      </c>
      <c r="J224" s="18">
        <f>IF(OR(D224="",E224=""),"INCOMPLETE",IF(AND(D224&gt;=80,E224&lt;50),"CONTRADICTION",IF(AND(D224&gt;=70,E224&lt;70),"DEPENDENCY GAP","NO TRIGGER")))</f>
        <v/>
      </c>
      <c r="K224" s="18">
        <f>IF(J224="CONTRADICTION","HIGH",IF(J224="DEPENDENCY GAP","MEDIUM","—"))</f>
        <v/>
      </c>
      <c r="L224" s="18">
        <f>IF(J224="CONTRADICTION","Strong upstream claim is not supported by linked downstream capability/evidence. Trigger: Employability evidence review.",IF(J224="DEPENDENCY GAP","Downstream capability materially trails upstream expectation. Trigger: Employability evidence review.",""))</f>
        <v/>
      </c>
    </row>
    <row r="225">
      <c r="A225" s="18" t="inlineStr">
        <is>
          <t>CD13</t>
        </is>
      </c>
      <c r="B225" s="18" t="inlineStr">
        <is>
          <t>D06-I04</t>
        </is>
      </c>
      <c r="C225" s="18" t="inlineStr">
        <is>
          <t>D09-I07</t>
        </is>
      </c>
      <c r="D225" s="18">
        <f>'P0-3_Scorecard'!L70</f>
        <v/>
      </c>
      <c r="E225" s="18">
        <f>'P0-3_Scorecard'!L111</f>
        <v/>
      </c>
      <c r="F225" s="18">
        <f>'P0-3_Scorecard'!M70</f>
        <v/>
      </c>
      <c r="G225" s="18">
        <f>'P0-3_Scorecard'!M111</f>
        <v/>
      </c>
      <c r="H225" s="18">
        <f>IF(OR(D225="",F225=""),"",D225-(F225*20))</f>
        <v/>
      </c>
      <c r="I225" s="18">
        <f>IF(OR(E225="",G225=""),"",E225-(G225*20))</f>
        <v/>
      </c>
      <c r="J225" s="18">
        <f>IF(OR(D225="",E225=""),"INCOMPLETE",IF(AND(D225&gt;=80,E225&lt;50),"CONTRADICTION",IF(AND(D225&gt;=70,E225&lt;70),"DEPENDENCY GAP","NO TRIGGER")))</f>
        <v/>
      </c>
      <c r="K225" s="18">
        <f>IF(J225="CONTRADICTION","HIGH",IF(J225="DEPENDENCY GAP","MEDIUM","—"))</f>
        <v/>
      </c>
      <c r="L225" s="18">
        <f>IF(J225="CONTRADICTION","Strong upstream claim is not supported by linked downstream capability/evidence. Trigger: Employability evidence review.",IF(J225="DEPENDENCY GAP","Downstream capability materially trails upstream expectation. Trigger: Employability evidence review.",""))</f>
        <v/>
      </c>
    </row>
    <row r="226">
      <c r="A226" s="18" t="inlineStr">
        <is>
          <t>CD13</t>
        </is>
      </c>
      <c r="B226" s="18" t="inlineStr">
        <is>
          <t>D06-I04</t>
        </is>
      </c>
      <c r="C226" s="18" t="inlineStr">
        <is>
          <t>D09-I08</t>
        </is>
      </c>
      <c r="D226" s="18">
        <f>'P0-3_Scorecard'!L70</f>
        <v/>
      </c>
      <c r="E226" s="18">
        <f>'P0-3_Scorecard'!L112</f>
        <v/>
      </c>
      <c r="F226" s="18">
        <f>'P0-3_Scorecard'!M70</f>
        <v/>
      </c>
      <c r="G226" s="18">
        <f>'P0-3_Scorecard'!M112</f>
        <v/>
      </c>
      <c r="H226" s="18">
        <f>IF(OR(D226="",F226=""),"",D226-(F226*20))</f>
        <v/>
      </c>
      <c r="I226" s="18">
        <f>IF(OR(E226="",G226=""),"",E226-(G226*20))</f>
        <v/>
      </c>
      <c r="J226" s="18">
        <f>IF(OR(D226="",E226=""),"INCOMPLETE",IF(AND(D226&gt;=80,E226&lt;50),"CONTRADICTION",IF(AND(D226&gt;=70,E226&lt;70),"DEPENDENCY GAP","NO TRIGGER")))</f>
        <v/>
      </c>
      <c r="K226" s="18">
        <f>IF(J226="CONTRADICTION","HIGH",IF(J226="DEPENDENCY GAP","MEDIUM","—"))</f>
        <v/>
      </c>
      <c r="L226" s="18">
        <f>IF(J226="CONTRADICTION","Strong upstream claim is not supported by linked downstream capability/evidence. Trigger: Employability evidence review.",IF(J226="DEPENDENCY GAP","Downstream capability materially trails upstream expectation. Trigger: Employability evidence review.",""))</f>
        <v/>
      </c>
    </row>
    <row r="227">
      <c r="A227" s="18" t="inlineStr">
        <is>
          <t>CD13</t>
        </is>
      </c>
      <c r="B227" s="18" t="inlineStr">
        <is>
          <t>D06-I04</t>
        </is>
      </c>
      <c r="C227" s="18" t="inlineStr">
        <is>
          <t>D09-I09</t>
        </is>
      </c>
      <c r="D227" s="18">
        <f>'P0-3_Scorecard'!L70</f>
        <v/>
      </c>
      <c r="E227" s="18">
        <f>'P0-3_Scorecard'!L113</f>
        <v/>
      </c>
      <c r="F227" s="18">
        <f>'P0-3_Scorecard'!M70</f>
        <v/>
      </c>
      <c r="G227" s="18">
        <f>'P0-3_Scorecard'!M113</f>
        <v/>
      </c>
      <c r="H227" s="18">
        <f>IF(OR(D227="",F227=""),"",D227-(F227*20))</f>
        <v/>
      </c>
      <c r="I227" s="18">
        <f>IF(OR(E227="",G227=""),"",E227-(G227*20))</f>
        <v/>
      </c>
      <c r="J227" s="18">
        <f>IF(OR(D227="",E227=""),"INCOMPLETE",IF(AND(D227&gt;=80,E227&lt;50),"CONTRADICTION",IF(AND(D227&gt;=70,E227&lt;70),"DEPENDENCY GAP","NO TRIGGER")))</f>
        <v/>
      </c>
      <c r="K227" s="18">
        <f>IF(J227="CONTRADICTION","HIGH",IF(J227="DEPENDENCY GAP","MEDIUM","—"))</f>
        <v/>
      </c>
      <c r="L227" s="18">
        <f>IF(J227="CONTRADICTION","Strong upstream claim is not supported by linked downstream capability/evidence. Trigger: Employability evidence review.",IF(J227="DEPENDENCY GAP","Downstream capability materially trails upstream expectation. Trigger: Employability evidence review.",""))</f>
        <v/>
      </c>
    </row>
    <row r="228">
      <c r="A228" s="18" t="inlineStr">
        <is>
          <t>CD13</t>
        </is>
      </c>
      <c r="B228" s="18" t="inlineStr">
        <is>
          <t>D06-I07</t>
        </is>
      </c>
      <c r="C228" s="18" t="inlineStr">
        <is>
          <t>D09-I05</t>
        </is>
      </c>
      <c r="D228" s="18">
        <f>'P0-3_Scorecard'!L73</f>
        <v/>
      </c>
      <c r="E228" s="18">
        <f>'P0-3_Scorecard'!L109</f>
        <v/>
      </c>
      <c r="F228" s="18">
        <f>'P0-3_Scorecard'!M73</f>
        <v/>
      </c>
      <c r="G228" s="18">
        <f>'P0-3_Scorecard'!M109</f>
        <v/>
      </c>
      <c r="H228" s="18">
        <f>IF(OR(D228="",F228=""),"",D228-(F228*20))</f>
        <v/>
      </c>
      <c r="I228" s="18">
        <f>IF(OR(E228="",G228=""),"",E228-(G228*20))</f>
        <v/>
      </c>
      <c r="J228" s="18">
        <f>IF(OR(D228="",E228=""),"INCOMPLETE",IF(AND(D228&gt;=80,E228&lt;50),"CONTRADICTION",IF(AND(D228&gt;=70,E228&lt;70),"DEPENDENCY GAP","NO TRIGGER")))</f>
        <v/>
      </c>
      <c r="K228" s="18">
        <f>IF(J228="CONTRADICTION","HIGH",IF(J228="DEPENDENCY GAP","MEDIUM","—"))</f>
        <v/>
      </c>
      <c r="L228" s="18">
        <f>IF(J228="CONTRADICTION","Strong upstream claim is not supported by linked downstream capability/evidence. Trigger: Employability evidence review.",IF(J228="DEPENDENCY GAP","Downstream capability materially trails upstream expectation. Trigger: Employability evidence review.",""))</f>
        <v/>
      </c>
    </row>
    <row r="229">
      <c r="A229" s="18" t="inlineStr">
        <is>
          <t>CD13</t>
        </is>
      </c>
      <c r="B229" s="18" t="inlineStr">
        <is>
          <t>D06-I07</t>
        </is>
      </c>
      <c r="C229" s="18" t="inlineStr">
        <is>
          <t>D09-I06</t>
        </is>
      </c>
      <c r="D229" s="18">
        <f>'P0-3_Scorecard'!L73</f>
        <v/>
      </c>
      <c r="E229" s="18">
        <f>'P0-3_Scorecard'!L110</f>
        <v/>
      </c>
      <c r="F229" s="18">
        <f>'P0-3_Scorecard'!M73</f>
        <v/>
      </c>
      <c r="G229" s="18">
        <f>'P0-3_Scorecard'!M110</f>
        <v/>
      </c>
      <c r="H229" s="18">
        <f>IF(OR(D229="",F229=""),"",D229-(F229*20))</f>
        <v/>
      </c>
      <c r="I229" s="18">
        <f>IF(OR(E229="",G229=""),"",E229-(G229*20))</f>
        <v/>
      </c>
      <c r="J229" s="18">
        <f>IF(OR(D229="",E229=""),"INCOMPLETE",IF(AND(D229&gt;=80,E229&lt;50),"CONTRADICTION",IF(AND(D229&gt;=70,E229&lt;70),"DEPENDENCY GAP","NO TRIGGER")))</f>
        <v/>
      </c>
      <c r="K229" s="18">
        <f>IF(J229="CONTRADICTION","HIGH",IF(J229="DEPENDENCY GAP","MEDIUM","—"))</f>
        <v/>
      </c>
      <c r="L229" s="18">
        <f>IF(J229="CONTRADICTION","Strong upstream claim is not supported by linked downstream capability/evidence. Trigger: Employability evidence review.",IF(J229="DEPENDENCY GAP","Downstream capability materially trails upstream expectation. Trigger: Employability evidence review.",""))</f>
        <v/>
      </c>
    </row>
    <row r="230">
      <c r="A230" s="18" t="inlineStr">
        <is>
          <t>CD13</t>
        </is>
      </c>
      <c r="B230" s="18" t="inlineStr">
        <is>
          <t>D06-I07</t>
        </is>
      </c>
      <c r="C230" s="18" t="inlineStr">
        <is>
          <t>D09-I07</t>
        </is>
      </c>
      <c r="D230" s="18">
        <f>'P0-3_Scorecard'!L73</f>
        <v/>
      </c>
      <c r="E230" s="18">
        <f>'P0-3_Scorecard'!L111</f>
        <v/>
      </c>
      <c r="F230" s="18">
        <f>'P0-3_Scorecard'!M73</f>
        <v/>
      </c>
      <c r="G230" s="18">
        <f>'P0-3_Scorecard'!M111</f>
        <v/>
      </c>
      <c r="H230" s="18">
        <f>IF(OR(D230="",F230=""),"",D230-(F230*20))</f>
        <v/>
      </c>
      <c r="I230" s="18">
        <f>IF(OR(E230="",G230=""),"",E230-(G230*20))</f>
        <v/>
      </c>
      <c r="J230" s="18">
        <f>IF(OR(D230="",E230=""),"INCOMPLETE",IF(AND(D230&gt;=80,E230&lt;50),"CONTRADICTION",IF(AND(D230&gt;=70,E230&lt;70),"DEPENDENCY GAP","NO TRIGGER")))</f>
        <v/>
      </c>
      <c r="K230" s="18">
        <f>IF(J230="CONTRADICTION","HIGH",IF(J230="DEPENDENCY GAP","MEDIUM","—"))</f>
        <v/>
      </c>
      <c r="L230" s="18">
        <f>IF(J230="CONTRADICTION","Strong upstream claim is not supported by linked downstream capability/evidence. Trigger: Employability evidence review.",IF(J230="DEPENDENCY GAP","Downstream capability materially trails upstream expectation. Trigger: Employability evidence review.",""))</f>
        <v/>
      </c>
    </row>
    <row r="231">
      <c r="A231" s="18" t="inlineStr">
        <is>
          <t>CD13</t>
        </is>
      </c>
      <c r="B231" s="18" t="inlineStr">
        <is>
          <t>D06-I07</t>
        </is>
      </c>
      <c r="C231" s="18" t="inlineStr">
        <is>
          <t>D09-I08</t>
        </is>
      </c>
      <c r="D231" s="18">
        <f>'P0-3_Scorecard'!L73</f>
        <v/>
      </c>
      <c r="E231" s="18">
        <f>'P0-3_Scorecard'!L112</f>
        <v/>
      </c>
      <c r="F231" s="18">
        <f>'P0-3_Scorecard'!M73</f>
        <v/>
      </c>
      <c r="G231" s="18">
        <f>'P0-3_Scorecard'!M112</f>
        <v/>
      </c>
      <c r="H231" s="18">
        <f>IF(OR(D231="",F231=""),"",D231-(F231*20))</f>
        <v/>
      </c>
      <c r="I231" s="18">
        <f>IF(OR(E231="",G231=""),"",E231-(G231*20))</f>
        <v/>
      </c>
      <c r="J231" s="18">
        <f>IF(OR(D231="",E231=""),"INCOMPLETE",IF(AND(D231&gt;=80,E231&lt;50),"CONTRADICTION",IF(AND(D231&gt;=70,E231&lt;70),"DEPENDENCY GAP","NO TRIGGER")))</f>
        <v/>
      </c>
      <c r="K231" s="18">
        <f>IF(J231="CONTRADICTION","HIGH",IF(J231="DEPENDENCY GAP","MEDIUM","—"))</f>
        <v/>
      </c>
      <c r="L231" s="18">
        <f>IF(J231="CONTRADICTION","Strong upstream claim is not supported by linked downstream capability/evidence. Trigger: Employability evidence review.",IF(J231="DEPENDENCY GAP","Downstream capability materially trails upstream expectation. Trigger: Employability evidence review.",""))</f>
        <v/>
      </c>
    </row>
    <row r="232">
      <c r="A232" s="18" t="inlineStr">
        <is>
          <t>CD13</t>
        </is>
      </c>
      <c r="B232" s="18" t="inlineStr">
        <is>
          <t>D06-I07</t>
        </is>
      </c>
      <c r="C232" s="18" t="inlineStr">
        <is>
          <t>D09-I09</t>
        </is>
      </c>
      <c r="D232" s="18">
        <f>'P0-3_Scorecard'!L73</f>
        <v/>
      </c>
      <c r="E232" s="18">
        <f>'P0-3_Scorecard'!L113</f>
        <v/>
      </c>
      <c r="F232" s="18">
        <f>'P0-3_Scorecard'!M73</f>
        <v/>
      </c>
      <c r="G232" s="18">
        <f>'P0-3_Scorecard'!M113</f>
        <v/>
      </c>
      <c r="H232" s="18">
        <f>IF(OR(D232="",F232=""),"",D232-(F232*20))</f>
        <v/>
      </c>
      <c r="I232" s="18">
        <f>IF(OR(E232="",G232=""),"",E232-(G232*20))</f>
        <v/>
      </c>
      <c r="J232" s="18">
        <f>IF(OR(D232="",E232=""),"INCOMPLETE",IF(AND(D232&gt;=80,E232&lt;50),"CONTRADICTION",IF(AND(D232&gt;=70,E232&lt;70),"DEPENDENCY GAP","NO TRIGGER")))</f>
        <v/>
      </c>
      <c r="K232" s="18">
        <f>IF(J232="CONTRADICTION","HIGH",IF(J232="DEPENDENCY GAP","MEDIUM","—"))</f>
        <v/>
      </c>
      <c r="L232" s="18">
        <f>IF(J232="CONTRADICTION","Strong upstream claim is not supported by linked downstream capability/evidence. Trigger: Employability evidence review.",IF(J232="DEPENDENCY GAP","Downstream capability materially trails upstream expectation. Trigger: Employability evidence review.",""))</f>
        <v/>
      </c>
    </row>
    <row r="233">
      <c r="A233" s="18" t="inlineStr">
        <is>
          <t>CD13</t>
        </is>
      </c>
      <c r="B233" s="18" t="inlineStr">
        <is>
          <t>D06-I08</t>
        </is>
      </c>
      <c r="C233" s="18" t="inlineStr">
        <is>
          <t>D09-I05</t>
        </is>
      </c>
      <c r="D233" s="18">
        <f>'P0-3_Scorecard'!L74</f>
        <v/>
      </c>
      <c r="E233" s="18">
        <f>'P0-3_Scorecard'!L109</f>
        <v/>
      </c>
      <c r="F233" s="18">
        <f>'P0-3_Scorecard'!M74</f>
        <v/>
      </c>
      <c r="G233" s="18">
        <f>'P0-3_Scorecard'!M109</f>
        <v/>
      </c>
      <c r="H233" s="18">
        <f>IF(OR(D233="",F233=""),"",D233-(F233*20))</f>
        <v/>
      </c>
      <c r="I233" s="18">
        <f>IF(OR(E233="",G233=""),"",E233-(G233*20))</f>
        <v/>
      </c>
      <c r="J233" s="18">
        <f>IF(OR(D233="",E233=""),"INCOMPLETE",IF(AND(D233&gt;=80,E233&lt;50),"CONTRADICTION",IF(AND(D233&gt;=70,E233&lt;70),"DEPENDENCY GAP","NO TRIGGER")))</f>
        <v/>
      </c>
      <c r="K233" s="18">
        <f>IF(J233="CONTRADICTION","HIGH",IF(J233="DEPENDENCY GAP","MEDIUM","—"))</f>
        <v/>
      </c>
      <c r="L233" s="18">
        <f>IF(J233="CONTRADICTION","Strong upstream claim is not supported by linked downstream capability/evidence. Trigger: Employability evidence review.",IF(J233="DEPENDENCY GAP","Downstream capability materially trails upstream expectation. Trigger: Employability evidence review.",""))</f>
        <v/>
      </c>
    </row>
    <row r="234">
      <c r="A234" s="18" t="inlineStr">
        <is>
          <t>CD13</t>
        </is>
      </c>
      <c r="B234" s="18" t="inlineStr">
        <is>
          <t>D06-I08</t>
        </is>
      </c>
      <c r="C234" s="18" t="inlineStr">
        <is>
          <t>D09-I06</t>
        </is>
      </c>
      <c r="D234" s="18">
        <f>'P0-3_Scorecard'!L74</f>
        <v/>
      </c>
      <c r="E234" s="18">
        <f>'P0-3_Scorecard'!L110</f>
        <v/>
      </c>
      <c r="F234" s="18">
        <f>'P0-3_Scorecard'!M74</f>
        <v/>
      </c>
      <c r="G234" s="18">
        <f>'P0-3_Scorecard'!M110</f>
        <v/>
      </c>
      <c r="H234" s="18">
        <f>IF(OR(D234="",F234=""),"",D234-(F234*20))</f>
        <v/>
      </c>
      <c r="I234" s="18">
        <f>IF(OR(E234="",G234=""),"",E234-(G234*20))</f>
        <v/>
      </c>
      <c r="J234" s="18">
        <f>IF(OR(D234="",E234=""),"INCOMPLETE",IF(AND(D234&gt;=80,E234&lt;50),"CONTRADICTION",IF(AND(D234&gt;=70,E234&lt;70),"DEPENDENCY GAP","NO TRIGGER")))</f>
        <v/>
      </c>
      <c r="K234" s="18">
        <f>IF(J234="CONTRADICTION","HIGH",IF(J234="DEPENDENCY GAP","MEDIUM","—"))</f>
        <v/>
      </c>
      <c r="L234" s="18">
        <f>IF(J234="CONTRADICTION","Strong upstream claim is not supported by linked downstream capability/evidence. Trigger: Employability evidence review.",IF(J234="DEPENDENCY GAP","Downstream capability materially trails upstream expectation. Trigger: Employability evidence review.",""))</f>
        <v/>
      </c>
    </row>
    <row r="235">
      <c r="A235" s="18" t="inlineStr">
        <is>
          <t>CD13</t>
        </is>
      </c>
      <c r="B235" s="18" t="inlineStr">
        <is>
          <t>D06-I08</t>
        </is>
      </c>
      <c r="C235" s="18" t="inlineStr">
        <is>
          <t>D09-I07</t>
        </is>
      </c>
      <c r="D235" s="18">
        <f>'P0-3_Scorecard'!L74</f>
        <v/>
      </c>
      <c r="E235" s="18">
        <f>'P0-3_Scorecard'!L111</f>
        <v/>
      </c>
      <c r="F235" s="18">
        <f>'P0-3_Scorecard'!M74</f>
        <v/>
      </c>
      <c r="G235" s="18">
        <f>'P0-3_Scorecard'!M111</f>
        <v/>
      </c>
      <c r="H235" s="18">
        <f>IF(OR(D235="",F235=""),"",D235-(F235*20))</f>
        <v/>
      </c>
      <c r="I235" s="18">
        <f>IF(OR(E235="",G235=""),"",E235-(G235*20))</f>
        <v/>
      </c>
      <c r="J235" s="18">
        <f>IF(OR(D235="",E235=""),"INCOMPLETE",IF(AND(D235&gt;=80,E235&lt;50),"CONTRADICTION",IF(AND(D235&gt;=70,E235&lt;70),"DEPENDENCY GAP","NO TRIGGER")))</f>
        <v/>
      </c>
      <c r="K235" s="18">
        <f>IF(J235="CONTRADICTION","HIGH",IF(J235="DEPENDENCY GAP","MEDIUM","—"))</f>
        <v/>
      </c>
      <c r="L235" s="18">
        <f>IF(J235="CONTRADICTION","Strong upstream claim is not supported by linked downstream capability/evidence. Trigger: Employability evidence review.",IF(J235="DEPENDENCY GAP","Downstream capability materially trails upstream expectation. Trigger: Employability evidence review.",""))</f>
        <v/>
      </c>
    </row>
    <row r="236">
      <c r="A236" s="18" t="inlineStr">
        <is>
          <t>CD13</t>
        </is>
      </c>
      <c r="B236" s="18" t="inlineStr">
        <is>
          <t>D06-I08</t>
        </is>
      </c>
      <c r="C236" s="18" t="inlineStr">
        <is>
          <t>D09-I08</t>
        </is>
      </c>
      <c r="D236" s="18">
        <f>'P0-3_Scorecard'!L74</f>
        <v/>
      </c>
      <c r="E236" s="18">
        <f>'P0-3_Scorecard'!L112</f>
        <v/>
      </c>
      <c r="F236" s="18">
        <f>'P0-3_Scorecard'!M74</f>
        <v/>
      </c>
      <c r="G236" s="18">
        <f>'P0-3_Scorecard'!M112</f>
        <v/>
      </c>
      <c r="H236" s="18">
        <f>IF(OR(D236="",F236=""),"",D236-(F236*20))</f>
        <v/>
      </c>
      <c r="I236" s="18">
        <f>IF(OR(E236="",G236=""),"",E236-(G236*20))</f>
        <v/>
      </c>
      <c r="J236" s="18">
        <f>IF(OR(D236="",E236=""),"INCOMPLETE",IF(AND(D236&gt;=80,E236&lt;50),"CONTRADICTION",IF(AND(D236&gt;=70,E236&lt;70),"DEPENDENCY GAP","NO TRIGGER")))</f>
        <v/>
      </c>
      <c r="K236" s="18">
        <f>IF(J236="CONTRADICTION","HIGH",IF(J236="DEPENDENCY GAP","MEDIUM","—"))</f>
        <v/>
      </c>
      <c r="L236" s="18">
        <f>IF(J236="CONTRADICTION","Strong upstream claim is not supported by linked downstream capability/evidence. Trigger: Employability evidence review.",IF(J236="DEPENDENCY GAP","Downstream capability materially trails upstream expectation. Trigger: Employability evidence review.",""))</f>
        <v/>
      </c>
    </row>
    <row r="237">
      <c r="A237" s="18" t="inlineStr">
        <is>
          <t>CD13</t>
        </is>
      </c>
      <c r="B237" s="18" t="inlineStr">
        <is>
          <t>D06-I08</t>
        </is>
      </c>
      <c r="C237" s="18" t="inlineStr">
        <is>
          <t>D09-I09</t>
        </is>
      </c>
      <c r="D237" s="18">
        <f>'P0-3_Scorecard'!L74</f>
        <v/>
      </c>
      <c r="E237" s="18">
        <f>'P0-3_Scorecard'!L113</f>
        <v/>
      </c>
      <c r="F237" s="18">
        <f>'P0-3_Scorecard'!M74</f>
        <v/>
      </c>
      <c r="G237" s="18">
        <f>'P0-3_Scorecard'!M113</f>
        <v/>
      </c>
      <c r="H237" s="18">
        <f>IF(OR(D237="",F237=""),"",D237-(F237*20))</f>
        <v/>
      </c>
      <c r="I237" s="18">
        <f>IF(OR(E237="",G237=""),"",E237-(G237*20))</f>
        <v/>
      </c>
      <c r="J237" s="18">
        <f>IF(OR(D237="",E237=""),"INCOMPLETE",IF(AND(D237&gt;=80,E237&lt;50),"CONTRADICTION",IF(AND(D237&gt;=70,E237&lt;70),"DEPENDENCY GAP","NO TRIGGER")))</f>
        <v/>
      </c>
      <c r="K237" s="18">
        <f>IF(J237="CONTRADICTION","HIGH",IF(J237="DEPENDENCY GAP","MEDIUM","—"))</f>
        <v/>
      </c>
      <c r="L237" s="18">
        <f>IF(J237="CONTRADICTION","Strong upstream claim is not supported by linked downstream capability/evidence. Trigger: Employability evidence review.",IF(J237="DEPENDENCY GAP","Downstream capability materially trails upstream expectation. Trigger: Employability evidence review.",""))</f>
        <v/>
      </c>
    </row>
    <row r="238">
      <c r="A238" s="18" t="inlineStr">
        <is>
          <t>CD13</t>
        </is>
      </c>
      <c r="B238" s="18" t="inlineStr">
        <is>
          <t>D06-I09</t>
        </is>
      </c>
      <c r="C238" s="18" t="inlineStr">
        <is>
          <t>D09-I05</t>
        </is>
      </c>
      <c r="D238" s="18">
        <f>'P0-3_Scorecard'!L75</f>
        <v/>
      </c>
      <c r="E238" s="18">
        <f>'P0-3_Scorecard'!L109</f>
        <v/>
      </c>
      <c r="F238" s="18">
        <f>'P0-3_Scorecard'!M75</f>
        <v/>
      </c>
      <c r="G238" s="18">
        <f>'P0-3_Scorecard'!M109</f>
        <v/>
      </c>
      <c r="H238" s="18">
        <f>IF(OR(D238="",F238=""),"",D238-(F238*20))</f>
        <v/>
      </c>
      <c r="I238" s="18">
        <f>IF(OR(E238="",G238=""),"",E238-(G238*20))</f>
        <v/>
      </c>
      <c r="J238" s="18">
        <f>IF(OR(D238="",E238=""),"INCOMPLETE",IF(AND(D238&gt;=80,E238&lt;50),"CONTRADICTION",IF(AND(D238&gt;=70,E238&lt;70),"DEPENDENCY GAP","NO TRIGGER")))</f>
        <v/>
      </c>
      <c r="K238" s="18">
        <f>IF(J238="CONTRADICTION","HIGH",IF(J238="DEPENDENCY GAP","MEDIUM","—"))</f>
        <v/>
      </c>
      <c r="L238" s="18">
        <f>IF(J238="CONTRADICTION","Strong upstream claim is not supported by linked downstream capability/evidence. Trigger: Employability evidence review.",IF(J238="DEPENDENCY GAP","Downstream capability materially trails upstream expectation. Trigger: Employability evidence review.",""))</f>
        <v/>
      </c>
    </row>
    <row r="239">
      <c r="A239" s="18" t="inlineStr">
        <is>
          <t>CD13</t>
        </is>
      </c>
      <c r="B239" s="18" t="inlineStr">
        <is>
          <t>D06-I09</t>
        </is>
      </c>
      <c r="C239" s="18" t="inlineStr">
        <is>
          <t>D09-I06</t>
        </is>
      </c>
      <c r="D239" s="18">
        <f>'P0-3_Scorecard'!L75</f>
        <v/>
      </c>
      <c r="E239" s="18">
        <f>'P0-3_Scorecard'!L110</f>
        <v/>
      </c>
      <c r="F239" s="18">
        <f>'P0-3_Scorecard'!M75</f>
        <v/>
      </c>
      <c r="G239" s="18">
        <f>'P0-3_Scorecard'!M110</f>
        <v/>
      </c>
      <c r="H239" s="18">
        <f>IF(OR(D239="",F239=""),"",D239-(F239*20))</f>
        <v/>
      </c>
      <c r="I239" s="18">
        <f>IF(OR(E239="",G239=""),"",E239-(G239*20))</f>
        <v/>
      </c>
      <c r="J239" s="18">
        <f>IF(OR(D239="",E239=""),"INCOMPLETE",IF(AND(D239&gt;=80,E239&lt;50),"CONTRADICTION",IF(AND(D239&gt;=70,E239&lt;70),"DEPENDENCY GAP","NO TRIGGER")))</f>
        <v/>
      </c>
      <c r="K239" s="18">
        <f>IF(J239="CONTRADICTION","HIGH",IF(J239="DEPENDENCY GAP","MEDIUM","—"))</f>
        <v/>
      </c>
      <c r="L239" s="18">
        <f>IF(J239="CONTRADICTION","Strong upstream claim is not supported by linked downstream capability/evidence. Trigger: Employability evidence review.",IF(J239="DEPENDENCY GAP","Downstream capability materially trails upstream expectation. Trigger: Employability evidence review.",""))</f>
        <v/>
      </c>
    </row>
    <row r="240">
      <c r="A240" s="18" t="inlineStr">
        <is>
          <t>CD13</t>
        </is>
      </c>
      <c r="B240" s="18" t="inlineStr">
        <is>
          <t>D06-I09</t>
        </is>
      </c>
      <c r="C240" s="18" t="inlineStr">
        <is>
          <t>D09-I07</t>
        </is>
      </c>
      <c r="D240" s="18">
        <f>'P0-3_Scorecard'!L75</f>
        <v/>
      </c>
      <c r="E240" s="18">
        <f>'P0-3_Scorecard'!L111</f>
        <v/>
      </c>
      <c r="F240" s="18">
        <f>'P0-3_Scorecard'!M75</f>
        <v/>
      </c>
      <c r="G240" s="18">
        <f>'P0-3_Scorecard'!M111</f>
        <v/>
      </c>
      <c r="H240" s="18">
        <f>IF(OR(D240="",F240=""),"",D240-(F240*20))</f>
        <v/>
      </c>
      <c r="I240" s="18">
        <f>IF(OR(E240="",G240=""),"",E240-(G240*20))</f>
        <v/>
      </c>
      <c r="J240" s="18">
        <f>IF(OR(D240="",E240=""),"INCOMPLETE",IF(AND(D240&gt;=80,E240&lt;50),"CONTRADICTION",IF(AND(D240&gt;=70,E240&lt;70),"DEPENDENCY GAP","NO TRIGGER")))</f>
        <v/>
      </c>
      <c r="K240" s="18">
        <f>IF(J240="CONTRADICTION","HIGH",IF(J240="DEPENDENCY GAP","MEDIUM","—"))</f>
        <v/>
      </c>
      <c r="L240" s="18">
        <f>IF(J240="CONTRADICTION","Strong upstream claim is not supported by linked downstream capability/evidence. Trigger: Employability evidence review.",IF(J240="DEPENDENCY GAP","Downstream capability materially trails upstream expectation. Trigger: Employability evidence review.",""))</f>
        <v/>
      </c>
    </row>
    <row r="241">
      <c r="A241" s="18" t="inlineStr">
        <is>
          <t>CD13</t>
        </is>
      </c>
      <c r="B241" s="18" t="inlineStr">
        <is>
          <t>D06-I09</t>
        </is>
      </c>
      <c r="C241" s="18" t="inlineStr">
        <is>
          <t>D09-I08</t>
        </is>
      </c>
      <c r="D241" s="18">
        <f>'P0-3_Scorecard'!L75</f>
        <v/>
      </c>
      <c r="E241" s="18">
        <f>'P0-3_Scorecard'!L112</f>
        <v/>
      </c>
      <c r="F241" s="18">
        <f>'P0-3_Scorecard'!M75</f>
        <v/>
      </c>
      <c r="G241" s="18">
        <f>'P0-3_Scorecard'!M112</f>
        <v/>
      </c>
      <c r="H241" s="18">
        <f>IF(OR(D241="",F241=""),"",D241-(F241*20))</f>
        <v/>
      </c>
      <c r="I241" s="18">
        <f>IF(OR(E241="",G241=""),"",E241-(G241*20))</f>
        <v/>
      </c>
      <c r="J241" s="18">
        <f>IF(OR(D241="",E241=""),"INCOMPLETE",IF(AND(D241&gt;=80,E241&lt;50),"CONTRADICTION",IF(AND(D241&gt;=70,E241&lt;70),"DEPENDENCY GAP","NO TRIGGER")))</f>
        <v/>
      </c>
      <c r="K241" s="18">
        <f>IF(J241="CONTRADICTION","HIGH",IF(J241="DEPENDENCY GAP","MEDIUM","—"))</f>
        <v/>
      </c>
      <c r="L241" s="18">
        <f>IF(J241="CONTRADICTION","Strong upstream claim is not supported by linked downstream capability/evidence. Trigger: Employability evidence review.",IF(J241="DEPENDENCY GAP","Downstream capability materially trails upstream expectation. Trigger: Employability evidence review.",""))</f>
        <v/>
      </c>
    </row>
    <row r="242">
      <c r="A242" s="18" t="inlineStr">
        <is>
          <t>CD13</t>
        </is>
      </c>
      <c r="B242" s="18" t="inlineStr">
        <is>
          <t>D06-I09</t>
        </is>
      </c>
      <c r="C242" s="18" t="inlineStr">
        <is>
          <t>D09-I09</t>
        </is>
      </c>
      <c r="D242" s="18">
        <f>'P0-3_Scorecard'!L75</f>
        <v/>
      </c>
      <c r="E242" s="18">
        <f>'P0-3_Scorecard'!L113</f>
        <v/>
      </c>
      <c r="F242" s="18">
        <f>'P0-3_Scorecard'!M75</f>
        <v/>
      </c>
      <c r="G242" s="18">
        <f>'P0-3_Scorecard'!M113</f>
        <v/>
      </c>
      <c r="H242" s="18">
        <f>IF(OR(D242="",F242=""),"",D242-(F242*20))</f>
        <v/>
      </c>
      <c r="I242" s="18">
        <f>IF(OR(E242="",G242=""),"",E242-(G242*20))</f>
        <v/>
      </c>
      <c r="J242" s="18">
        <f>IF(OR(D242="",E242=""),"INCOMPLETE",IF(AND(D242&gt;=80,E242&lt;50),"CONTRADICTION",IF(AND(D242&gt;=70,E242&lt;70),"DEPENDENCY GAP","NO TRIGGER")))</f>
        <v/>
      </c>
      <c r="K242" s="18">
        <f>IF(J242="CONTRADICTION","HIGH",IF(J242="DEPENDENCY GAP","MEDIUM","—"))</f>
        <v/>
      </c>
      <c r="L242" s="18">
        <f>IF(J242="CONTRADICTION","Strong upstream claim is not supported by linked downstream capability/evidence. Trigger: Employability evidence review.",IF(J242="DEPENDENCY GAP","Downstream capability materially trails upstream expectation. Trigger: Employability evidence review.",""))</f>
        <v/>
      </c>
    </row>
    <row r="243">
      <c r="A243" s="18" t="inlineStr">
        <is>
          <t>CD13</t>
        </is>
      </c>
      <c r="B243" s="18" t="inlineStr">
        <is>
          <t>D06-I10</t>
        </is>
      </c>
      <c r="C243" s="18" t="inlineStr">
        <is>
          <t>D09-I05</t>
        </is>
      </c>
      <c r="D243" s="18">
        <f>'P0-3_Scorecard'!L76</f>
        <v/>
      </c>
      <c r="E243" s="18">
        <f>'P0-3_Scorecard'!L109</f>
        <v/>
      </c>
      <c r="F243" s="18">
        <f>'P0-3_Scorecard'!M76</f>
        <v/>
      </c>
      <c r="G243" s="18">
        <f>'P0-3_Scorecard'!M109</f>
        <v/>
      </c>
      <c r="H243" s="18">
        <f>IF(OR(D243="",F243=""),"",D243-(F243*20))</f>
        <v/>
      </c>
      <c r="I243" s="18">
        <f>IF(OR(E243="",G243=""),"",E243-(G243*20))</f>
        <v/>
      </c>
      <c r="J243" s="18">
        <f>IF(OR(D243="",E243=""),"INCOMPLETE",IF(AND(D243&gt;=80,E243&lt;50),"CONTRADICTION",IF(AND(D243&gt;=70,E243&lt;70),"DEPENDENCY GAP","NO TRIGGER")))</f>
        <v/>
      </c>
      <c r="K243" s="18">
        <f>IF(J243="CONTRADICTION","HIGH",IF(J243="DEPENDENCY GAP","MEDIUM","—"))</f>
        <v/>
      </c>
      <c r="L243" s="18">
        <f>IF(J243="CONTRADICTION","Strong upstream claim is not supported by linked downstream capability/evidence. Trigger: Employability evidence review.",IF(J243="DEPENDENCY GAP","Downstream capability materially trails upstream expectation. Trigger: Employability evidence review.",""))</f>
        <v/>
      </c>
    </row>
    <row r="244">
      <c r="A244" s="18" t="inlineStr">
        <is>
          <t>CD13</t>
        </is>
      </c>
      <c r="B244" s="18" t="inlineStr">
        <is>
          <t>D06-I10</t>
        </is>
      </c>
      <c r="C244" s="18" t="inlineStr">
        <is>
          <t>D09-I06</t>
        </is>
      </c>
      <c r="D244" s="18">
        <f>'P0-3_Scorecard'!L76</f>
        <v/>
      </c>
      <c r="E244" s="18">
        <f>'P0-3_Scorecard'!L110</f>
        <v/>
      </c>
      <c r="F244" s="18">
        <f>'P0-3_Scorecard'!M76</f>
        <v/>
      </c>
      <c r="G244" s="18">
        <f>'P0-3_Scorecard'!M110</f>
        <v/>
      </c>
      <c r="H244" s="18">
        <f>IF(OR(D244="",F244=""),"",D244-(F244*20))</f>
        <v/>
      </c>
      <c r="I244" s="18">
        <f>IF(OR(E244="",G244=""),"",E244-(G244*20))</f>
        <v/>
      </c>
      <c r="J244" s="18">
        <f>IF(OR(D244="",E244=""),"INCOMPLETE",IF(AND(D244&gt;=80,E244&lt;50),"CONTRADICTION",IF(AND(D244&gt;=70,E244&lt;70),"DEPENDENCY GAP","NO TRIGGER")))</f>
        <v/>
      </c>
      <c r="K244" s="18">
        <f>IF(J244="CONTRADICTION","HIGH",IF(J244="DEPENDENCY GAP","MEDIUM","—"))</f>
        <v/>
      </c>
      <c r="L244" s="18">
        <f>IF(J244="CONTRADICTION","Strong upstream claim is not supported by linked downstream capability/evidence. Trigger: Employability evidence review.",IF(J244="DEPENDENCY GAP","Downstream capability materially trails upstream expectation. Trigger: Employability evidence review.",""))</f>
        <v/>
      </c>
    </row>
    <row r="245">
      <c r="A245" s="18" t="inlineStr">
        <is>
          <t>CD13</t>
        </is>
      </c>
      <c r="B245" s="18" t="inlineStr">
        <is>
          <t>D06-I10</t>
        </is>
      </c>
      <c r="C245" s="18" t="inlineStr">
        <is>
          <t>D09-I07</t>
        </is>
      </c>
      <c r="D245" s="18">
        <f>'P0-3_Scorecard'!L76</f>
        <v/>
      </c>
      <c r="E245" s="18">
        <f>'P0-3_Scorecard'!L111</f>
        <v/>
      </c>
      <c r="F245" s="18">
        <f>'P0-3_Scorecard'!M76</f>
        <v/>
      </c>
      <c r="G245" s="18">
        <f>'P0-3_Scorecard'!M111</f>
        <v/>
      </c>
      <c r="H245" s="18">
        <f>IF(OR(D245="",F245=""),"",D245-(F245*20))</f>
        <v/>
      </c>
      <c r="I245" s="18">
        <f>IF(OR(E245="",G245=""),"",E245-(G245*20))</f>
        <v/>
      </c>
      <c r="J245" s="18">
        <f>IF(OR(D245="",E245=""),"INCOMPLETE",IF(AND(D245&gt;=80,E245&lt;50),"CONTRADICTION",IF(AND(D245&gt;=70,E245&lt;70),"DEPENDENCY GAP","NO TRIGGER")))</f>
        <v/>
      </c>
      <c r="K245" s="18">
        <f>IF(J245="CONTRADICTION","HIGH",IF(J245="DEPENDENCY GAP","MEDIUM","—"))</f>
        <v/>
      </c>
      <c r="L245" s="18">
        <f>IF(J245="CONTRADICTION","Strong upstream claim is not supported by linked downstream capability/evidence. Trigger: Employability evidence review.",IF(J245="DEPENDENCY GAP","Downstream capability materially trails upstream expectation. Trigger: Employability evidence review.",""))</f>
        <v/>
      </c>
    </row>
    <row r="246">
      <c r="A246" s="18" t="inlineStr">
        <is>
          <t>CD13</t>
        </is>
      </c>
      <c r="B246" s="18" t="inlineStr">
        <is>
          <t>D06-I10</t>
        </is>
      </c>
      <c r="C246" s="18" t="inlineStr">
        <is>
          <t>D09-I08</t>
        </is>
      </c>
      <c r="D246" s="18">
        <f>'P0-3_Scorecard'!L76</f>
        <v/>
      </c>
      <c r="E246" s="18">
        <f>'P0-3_Scorecard'!L112</f>
        <v/>
      </c>
      <c r="F246" s="18">
        <f>'P0-3_Scorecard'!M76</f>
        <v/>
      </c>
      <c r="G246" s="18">
        <f>'P0-3_Scorecard'!M112</f>
        <v/>
      </c>
      <c r="H246" s="18">
        <f>IF(OR(D246="",F246=""),"",D246-(F246*20))</f>
        <v/>
      </c>
      <c r="I246" s="18">
        <f>IF(OR(E246="",G246=""),"",E246-(G246*20))</f>
        <v/>
      </c>
      <c r="J246" s="18">
        <f>IF(OR(D246="",E246=""),"INCOMPLETE",IF(AND(D246&gt;=80,E246&lt;50),"CONTRADICTION",IF(AND(D246&gt;=70,E246&lt;70),"DEPENDENCY GAP","NO TRIGGER")))</f>
        <v/>
      </c>
      <c r="K246" s="18">
        <f>IF(J246="CONTRADICTION","HIGH",IF(J246="DEPENDENCY GAP","MEDIUM","—"))</f>
        <v/>
      </c>
      <c r="L246" s="18">
        <f>IF(J246="CONTRADICTION","Strong upstream claim is not supported by linked downstream capability/evidence. Trigger: Employability evidence review.",IF(J246="DEPENDENCY GAP","Downstream capability materially trails upstream expectation. Trigger: Employability evidence review.",""))</f>
        <v/>
      </c>
    </row>
    <row r="247">
      <c r="A247" s="18" t="inlineStr">
        <is>
          <t>CD13</t>
        </is>
      </c>
      <c r="B247" s="18" t="inlineStr">
        <is>
          <t>D06-I10</t>
        </is>
      </c>
      <c r="C247" s="18" t="inlineStr">
        <is>
          <t>D09-I09</t>
        </is>
      </c>
      <c r="D247" s="18">
        <f>'P0-3_Scorecard'!L76</f>
        <v/>
      </c>
      <c r="E247" s="18">
        <f>'P0-3_Scorecard'!L113</f>
        <v/>
      </c>
      <c r="F247" s="18">
        <f>'P0-3_Scorecard'!M76</f>
        <v/>
      </c>
      <c r="G247" s="18">
        <f>'P0-3_Scorecard'!M113</f>
        <v/>
      </c>
      <c r="H247" s="18">
        <f>IF(OR(D247="",F247=""),"",D247-(F247*20))</f>
        <v/>
      </c>
      <c r="I247" s="18">
        <f>IF(OR(E247="",G247=""),"",E247-(G247*20))</f>
        <v/>
      </c>
      <c r="J247" s="18">
        <f>IF(OR(D247="",E247=""),"INCOMPLETE",IF(AND(D247&gt;=80,E247&lt;50),"CONTRADICTION",IF(AND(D247&gt;=70,E247&lt;70),"DEPENDENCY GAP","NO TRIGGER")))</f>
        <v/>
      </c>
      <c r="K247" s="18">
        <f>IF(J247="CONTRADICTION","HIGH",IF(J247="DEPENDENCY GAP","MEDIUM","—"))</f>
        <v/>
      </c>
      <c r="L247" s="18">
        <f>IF(J247="CONTRADICTION","Strong upstream claim is not supported by linked downstream capability/evidence. Trigger: Employability evidence review.",IF(J247="DEPENDENCY GAP","Downstream capability materially trails upstream expectation. Trigger: Employability evidence review.",""))</f>
        <v/>
      </c>
    </row>
    <row r="248">
      <c r="A248" s="18" t="inlineStr">
        <is>
          <t>CD13</t>
        </is>
      </c>
      <c r="B248" s="18" t="inlineStr">
        <is>
          <t>D06-I11</t>
        </is>
      </c>
      <c r="C248" s="18" t="inlineStr">
        <is>
          <t>D09-I05</t>
        </is>
      </c>
      <c r="D248" s="18">
        <f>'P0-3_Scorecard'!L77</f>
        <v/>
      </c>
      <c r="E248" s="18">
        <f>'P0-3_Scorecard'!L109</f>
        <v/>
      </c>
      <c r="F248" s="18">
        <f>'P0-3_Scorecard'!M77</f>
        <v/>
      </c>
      <c r="G248" s="18">
        <f>'P0-3_Scorecard'!M109</f>
        <v/>
      </c>
      <c r="H248" s="18">
        <f>IF(OR(D248="",F248=""),"",D248-(F248*20))</f>
        <v/>
      </c>
      <c r="I248" s="18">
        <f>IF(OR(E248="",G248=""),"",E248-(G248*20))</f>
        <v/>
      </c>
      <c r="J248" s="18">
        <f>IF(OR(D248="",E248=""),"INCOMPLETE",IF(AND(D248&gt;=80,E248&lt;50),"CONTRADICTION",IF(AND(D248&gt;=70,E248&lt;70),"DEPENDENCY GAP","NO TRIGGER")))</f>
        <v/>
      </c>
      <c r="K248" s="18">
        <f>IF(J248="CONTRADICTION","HIGH",IF(J248="DEPENDENCY GAP","MEDIUM","—"))</f>
        <v/>
      </c>
      <c r="L248" s="18">
        <f>IF(J248="CONTRADICTION","Strong upstream claim is not supported by linked downstream capability/evidence. Trigger: Employability evidence review.",IF(J248="DEPENDENCY GAP","Downstream capability materially trails upstream expectation. Trigger: Employability evidence review.",""))</f>
        <v/>
      </c>
    </row>
    <row r="249">
      <c r="A249" s="18" t="inlineStr">
        <is>
          <t>CD13</t>
        </is>
      </c>
      <c r="B249" s="18" t="inlineStr">
        <is>
          <t>D06-I11</t>
        </is>
      </c>
      <c r="C249" s="18" t="inlineStr">
        <is>
          <t>D09-I06</t>
        </is>
      </c>
      <c r="D249" s="18">
        <f>'P0-3_Scorecard'!L77</f>
        <v/>
      </c>
      <c r="E249" s="18">
        <f>'P0-3_Scorecard'!L110</f>
        <v/>
      </c>
      <c r="F249" s="18">
        <f>'P0-3_Scorecard'!M77</f>
        <v/>
      </c>
      <c r="G249" s="18">
        <f>'P0-3_Scorecard'!M110</f>
        <v/>
      </c>
      <c r="H249" s="18">
        <f>IF(OR(D249="",F249=""),"",D249-(F249*20))</f>
        <v/>
      </c>
      <c r="I249" s="18">
        <f>IF(OR(E249="",G249=""),"",E249-(G249*20))</f>
        <v/>
      </c>
      <c r="J249" s="18">
        <f>IF(OR(D249="",E249=""),"INCOMPLETE",IF(AND(D249&gt;=80,E249&lt;50),"CONTRADICTION",IF(AND(D249&gt;=70,E249&lt;70),"DEPENDENCY GAP","NO TRIGGER")))</f>
        <v/>
      </c>
      <c r="K249" s="18">
        <f>IF(J249="CONTRADICTION","HIGH",IF(J249="DEPENDENCY GAP","MEDIUM","—"))</f>
        <v/>
      </c>
      <c r="L249" s="18">
        <f>IF(J249="CONTRADICTION","Strong upstream claim is not supported by linked downstream capability/evidence. Trigger: Employability evidence review.",IF(J249="DEPENDENCY GAP","Downstream capability materially trails upstream expectation. Trigger: Employability evidence review.",""))</f>
        <v/>
      </c>
    </row>
    <row r="250">
      <c r="A250" s="18" t="inlineStr">
        <is>
          <t>CD13</t>
        </is>
      </c>
      <c r="B250" s="18" t="inlineStr">
        <is>
          <t>D06-I11</t>
        </is>
      </c>
      <c r="C250" s="18" t="inlineStr">
        <is>
          <t>D09-I07</t>
        </is>
      </c>
      <c r="D250" s="18">
        <f>'P0-3_Scorecard'!L77</f>
        <v/>
      </c>
      <c r="E250" s="18">
        <f>'P0-3_Scorecard'!L111</f>
        <v/>
      </c>
      <c r="F250" s="18">
        <f>'P0-3_Scorecard'!M77</f>
        <v/>
      </c>
      <c r="G250" s="18">
        <f>'P0-3_Scorecard'!M111</f>
        <v/>
      </c>
      <c r="H250" s="18">
        <f>IF(OR(D250="",F250=""),"",D250-(F250*20))</f>
        <v/>
      </c>
      <c r="I250" s="18">
        <f>IF(OR(E250="",G250=""),"",E250-(G250*20))</f>
        <v/>
      </c>
      <c r="J250" s="18">
        <f>IF(OR(D250="",E250=""),"INCOMPLETE",IF(AND(D250&gt;=80,E250&lt;50),"CONTRADICTION",IF(AND(D250&gt;=70,E250&lt;70),"DEPENDENCY GAP","NO TRIGGER")))</f>
        <v/>
      </c>
      <c r="K250" s="18">
        <f>IF(J250="CONTRADICTION","HIGH",IF(J250="DEPENDENCY GAP","MEDIUM","—"))</f>
        <v/>
      </c>
      <c r="L250" s="18">
        <f>IF(J250="CONTRADICTION","Strong upstream claim is not supported by linked downstream capability/evidence. Trigger: Employability evidence review.",IF(J250="DEPENDENCY GAP","Downstream capability materially trails upstream expectation. Trigger: Employability evidence review.",""))</f>
        <v/>
      </c>
    </row>
    <row r="251">
      <c r="A251" s="18" t="inlineStr">
        <is>
          <t>CD13</t>
        </is>
      </c>
      <c r="B251" s="18" t="inlineStr">
        <is>
          <t>D06-I11</t>
        </is>
      </c>
      <c r="C251" s="18" t="inlineStr">
        <is>
          <t>D09-I08</t>
        </is>
      </c>
      <c r="D251" s="18">
        <f>'P0-3_Scorecard'!L77</f>
        <v/>
      </c>
      <c r="E251" s="18">
        <f>'P0-3_Scorecard'!L112</f>
        <v/>
      </c>
      <c r="F251" s="18">
        <f>'P0-3_Scorecard'!M77</f>
        <v/>
      </c>
      <c r="G251" s="18">
        <f>'P0-3_Scorecard'!M112</f>
        <v/>
      </c>
      <c r="H251" s="18">
        <f>IF(OR(D251="",F251=""),"",D251-(F251*20))</f>
        <v/>
      </c>
      <c r="I251" s="18">
        <f>IF(OR(E251="",G251=""),"",E251-(G251*20))</f>
        <v/>
      </c>
      <c r="J251" s="18">
        <f>IF(OR(D251="",E251=""),"INCOMPLETE",IF(AND(D251&gt;=80,E251&lt;50),"CONTRADICTION",IF(AND(D251&gt;=70,E251&lt;70),"DEPENDENCY GAP","NO TRIGGER")))</f>
        <v/>
      </c>
      <c r="K251" s="18">
        <f>IF(J251="CONTRADICTION","HIGH",IF(J251="DEPENDENCY GAP","MEDIUM","—"))</f>
        <v/>
      </c>
      <c r="L251" s="18">
        <f>IF(J251="CONTRADICTION","Strong upstream claim is not supported by linked downstream capability/evidence. Trigger: Employability evidence review.",IF(J251="DEPENDENCY GAP","Downstream capability materially trails upstream expectation. Trigger: Employability evidence review.",""))</f>
        <v/>
      </c>
    </row>
    <row r="252">
      <c r="A252" s="18" t="inlineStr">
        <is>
          <t>CD13</t>
        </is>
      </c>
      <c r="B252" s="18" t="inlineStr">
        <is>
          <t>D06-I11</t>
        </is>
      </c>
      <c r="C252" s="18" t="inlineStr">
        <is>
          <t>D09-I09</t>
        </is>
      </c>
      <c r="D252" s="18">
        <f>'P0-3_Scorecard'!L77</f>
        <v/>
      </c>
      <c r="E252" s="18">
        <f>'P0-3_Scorecard'!L113</f>
        <v/>
      </c>
      <c r="F252" s="18">
        <f>'P0-3_Scorecard'!M77</f>
        <v/>
      </c>
      <c r="G252" s="18">
        <f>'P0-3_Scorecard'!M113</f>
        <v/>
      </c>
      <c r="H252" s="18">
        <f>IF(OR(D252="",F252=""),"",D252-(F252*20))</f>
        <v/>
      </c>
      <c r="I252" s="18">
        <f>IF(OR(E252="",G252=""),"",E252-(G252*20))</f>
        <v/>
      </c>
      <c r="J252" s="18">
        <f>IF(OR(D252="",E252=""),"INCOMPLETE",IF(AND(D252&gt;=80,E252&lt;50),"CONTRADICTION",IF(AND(D252&gt;=70,E252&lt;70),"DEPENDENCY GAP","NO TRIGGER")))</f>
        <v/>
      </c>
      <c r="K252" s="18">
        <f>IF(J252="CONTRADICTION","HIGH",IF(J252="DEPENDENCY GAP","MEDIUM","—"))</f>
        <v/>
      </c>
      <c r="L252" s="18">
        <f>IF(J252="CONTRADICTION","Strong upstream claim is not supported by linked downstream capability/evidence. Trigger: Employability evidence review.",IF(J252="DEPENDENCY GAP","Downstream capability materially trails upstream expectation. Trigger: Employability evidence review.",""))</f>
        <v/>
      </c>
    </row>
    <row r="253">
      <c r="A253" s="18" t="inlineStr">
        <is>
          <t>CD14</t>
        </is>
      </c>
      <c r="B253" s="18" t="inlineStr">
        <is>
          <t>D07-I07</t>
        </is>
      </c>
      <c r="C253" s="18" t="inlineStr">
        <is>
          <t>D08-I02</t>
        </is>
      </c>
      <c r="D253" s="18">
        <f>'P0-3_Scorecard'!L87</f>
        <v/>
      </c>
      <c r="E253" s="18">
        <f>'P0-3_Scorecard'!L94</f>
        <v/>
      </c>
      <c r="F253" s="18">
        <f>'P0-3_Scorecard'!M87</f>
        <v/>
      </c>
      <c r="G253" s="18">
        <f>'P0-3_Scorecard'!M94</f>
        <v/>
      </c>
      <c r="H253" s="18">
        <f>IF(OR(D253="",F253=""),"",D253-(F253*20))</f>
        <v/>
      </c>
      <c r="I253" s="18">
        <f>IF(OR(E253="",G253=""),"",E253-(G253*20))</f>
        <v/>
      </c>
      <c r="J253" s="18">
        <f>IF(OR(D253="",E253=""),"INCOMPLETE",IF(AND(D253&gt;=80,E253&lt;50),"CONTRADICTION",IF(AND(D253&gt;=70,E253&lt;70),"DEPENDENCY GAP","NO TRIGGER")))</f>
        <v/>
      </c>
      <c r="K253" s="18">
        <f>IF(J253="CONTRADICTION","HIGH",IF(J253="DEPENDENCY GAP","MEDIUM","—"))</f>
        <v/>
      </c>
      <c r="L253" s="18">
        <f>IF(J253="CONTRADICTION","Strong upstream claim is not supported by linked downstream capability/evidence. Trigger: Data/evidence architecture review.",IF(J253="DEPENDENCY GAP","Downstream capability materially trails upstream expectation. Trigger: Data/evidence architecture review.",""))</f>
        <v/>
      </c>
    </row>
    <row r="254">
      <c r="A254" s="18" t="inlineStr">
        <is>
          <t>CD14</t>
        </is>
      </c>
      <c r="B254" s="18" t="inlineStr">
        <is>
          <t>D07-I07</t>
        </is>
      </c>
      <c r="C254" s="18" t="inlineStr">
        <is>
          <t>D08-I03</t>
        </is>
      </c>
      <c r="D254" s="18">
        <f>'P0-3_Scorecard'!L87</f>
        <v/>
      </c>
      <c r="E254" s="18">
        <f>'P0-3_Scorecard'!L95</f>
        <v/>
      </c>
      <c r="F254" s="18">
        <f>'P0-3_Scorecard'!M87</f>
        <v/>
      </c>
      <c r="G254" s="18">
        <f>'P0-3_Scorecard'!M95</f>
        <v/>
      </c>
      <c r="H254" s="18">
        <f>IF(OR(D254="",F254=""),"",D254-(F254*20))</f>
        <v/>
      </c>
      <c r="I254" s="18">
        <f>IF(OR(E254="",G254=""),"",E254-(G254*20))</f>
        <v/>
      </c>
      <c r="J254" s="18">
        <f>IF(OR(D254="",E254=""),"INCOMPLETE",IF(AND(D254&gt;=80,E254&lt;50),"CONTRADICTION",IF(AND(D254&gt;=70,E254&lt;70),"DEPENDENCY GAP","NO TRIGGER")))</f>
        <v/>
      </c>
      <c r="K254" s="18">
        <f>IF(J254="CONTRADICTION","HIGH",IF(J254="DEPENDENCY GAP","MEDIUM","—"))</f>
        <v/>
      </c>
      <c r="L254" s="18">
        <f>IF(J254="CONTRADICTION","Strong upstream claim is not supported by linked downstream capability/evidence. Trigger: Data/evidence architecture review.",IF(J254="DEPENDENCY GAP","Downstream capability materially trails upstream expectation. Trigger: Data/evidence architecture review.",""))</f>
        <v/>
      </c>
    </row>
    <row r="255">
      <c r="A255" s="18" t="inlineStr">
        <is>
          <t>CD14</t>
        </is>
      </c>
      <c r="B255" s="18" t="inlineStr">
        <is>
          <t>D07-I07</t>
        </is>
      </c>
      <c r="C255" s="18" t="inlineStr">
        <is>
          <t>D08-I04</t>
        </is>
      </c>
      <c r="D255" s="18">
        <f>'P0-3_Scorecard'!L87</f>
        <v/>
      </c>
      <c r="E255" s="18">
        <f>'P0-3_Scorecard'!L96</f>
        <v/>
      </c>
      <c r="F255" s="18">
        <f>'P0-3_Scorecard'!M87</f>
        <v/>
      </c>
      <c r="G255" s="18">
        <f>'P0-3_Scorecard'!M96</f>
        <v/>
      </c>
      <c r="H255" s="18">
        <f>IF(OR(D255="",F255=""),"",D255-(F255*20))</f>
        <v/>
      </c>
      <c r="I255" s="18">
        <f>IF(OR(E255="",G255=""),"",E255-(G255*20))</f>
        <v/>
      </c>
      <c r="J255" s="18">
        <f>IF(OR(D255="",E255=""),"INCOMPLETE",IF(AND(D255&gt;=80,E255&lt;50),"CONTRADICTION",IF(AND(D255&gt;=70,E255&lt;70),"DEPENDENCY GAP","NO TRIGGER")))</f>
        <v/>
      </c>
      <c r="K255" s="18">
        <f>IF(J255="CONTRADICTION","HIGH",IF(J255="DEPENDENCY GAP","MEDIUM","—"))</f>
        <v/>
      </c>
      <c r="L255" s="18">
        <f>IF(J255="CONTRADICTION","Strong upstream claim is not supported by linked downstream capability/evidence. Trigger: Data/evidence architecture review.",IF(J255="DEPENDENCY GAP","Downstream capability materially trails upstream expectation. Trigger: Data/evidence architecture review.",""))</f>
        <v/>
      </c>
    </row>
    <row r="256">
      <c r="A256" s="18" t="inlineStr">
        <is>
          <t>CD14</t>
        </is>
      </c>
      <c r="B256" s="18" t="inlineStr">
        <is>
          <t>D07-I07</t>
        </is>
      </c>
      <c r="C256" s="18" t="inlineStr">
        <is>
          <t>D08-I05</t>
        </is>
      </c>
      <c r="D256" s="18">
        <f>'P0-3_Scorecard'!L87</f>
        <v/>
      </c>
      <c r="E256" s="18">
        <f>'P0-3_Scorecard'!L97</f>
        <v/>
      </c>
      <c r="F256" s="18">
        <f>'P0-3_Scorecard'!M87</f>
        <v/>
      </c>
      <c r="G256" s="18">
        <f>'P0-3_Scorecard'!M97</f>
        <v/>
      </c>
      <c r="H256" s="18">
        <f>IF(OR(D256="",F256=""),"",D256-(F256*20))</f>
        <v/>
      </c>
      <c r="I256" s="18">
        <f>IF(OR(E256="",G256=""),"",E256-(G256*20))</f>
        <v/>
      </c>
      <c r="J256" s="18">
        <f>IF(OR(D256="",E256=""),"INCOMPLETE",IF(AND(D256&gt;=80,E256&lt;50),"CONTRADICTION",IF(AND(D256&gt;=70,E256&lt;70),"DEPENDENCY GAP","NO TRIGGER")))</f>
        <v/>
      </c>
      <c r="K256" s="18">
        <f>IF(J256="CONTRADICTION","HIGH",IF(J256="DEPENDENCY GAP","MEDIUM","—"))</f>
        <v/>
      </c>
      <c r="L256" s="18">
        <f>IF(J256="CONTRADICTION","Strong upstream claim is not supported by linked downstream capability/evidence. Trigger: Data/evidence architecture review.",IF(J256="DEPENDENCY GAP","Downstream capability materially trails upstream expectation. Trigger: Data/evidence architecture review.",""))</f>
        <v/>
      </c>
    </row>
    <row r="257">
      <c r="A257" s="18" t="inlineStr">
        <is>
          <t>CD14</t>
        </is>
      </c>
      <c r="B257" s="18" t="inlineStr">
        <is>
          <t>D07-I07</t>
        </is>
      </c>
      <c r="C257" s="18" t="inlineStr">
        <is>
          <t>D08-I12</t>
        </is>
      </c>
      <c r="D257" s="18">
        <f>'P0-3_Scorecard'!L87</f>
        <v/>
      </c>
      <c r="E257" s="18">
        <f>'P0-3_Scorecard'!L104</f>
        <v/>
      </c>
      <c r="F257" s="18">
        <f>'P0-3_Scorecard'!M87</f>
        <v/>
      </c>
      <c r="G257" s="18">
        <f>'P0-3_Scorecard'!M104</f>
        <v/>
      </c>
      <c r="H257" s="18">
        <f>IF(OR(D257="",F257=""),"",D257-(F257*20))</f>
        <v/>
      </c>
      <c r="I257" s="18">
        <f>IF(OR(E257="",G257=""),"",E257-(G257*20))</f>
        <v/>
      </c>
      <c r="J257" s="18">
        <f>IF(OR(D257="",E257=""),"INCOMPLETE",IF(AND(D257&gt;=80,E257&lt;50),"CONTRADICTION",IF(AND(D257&gt;=70,E257&lt;70),"DEPENDENCY GAP","NO TRIGGER")))</f>
        <v/>
      </c>
      <c r="K257" s="18">
        <f>IF(J257="CONTRADICTION","HIGH",IF(J257="DEPENDENCY GAP","MEDIUM","—"))</f>
        <v/>
      </c>
      <c r="L257" s="18">
        <f>IF(J257="CONTRADICTION","Strong upstream claim is not supported by linked downstream capability/evidence. Trigger: Data/evidence architecture review.",IF(J257="DEPENDENCY GAP","Downstream capability materially trails upstream expectation. Trigger: Data/evidence architecture review.",""))</f>
        <v/>
      </c>
    </row>
    <row r="258">
      <c r="A258" s="18" t="inlineStr">
        <is>
          <t>CD14</t>
        </is>
      </c>
      <c r="B258" s="18" t="inlineStr">
        <is>
          <t>D07-I08</t>
        </is>
      </c>
      <c r="C258" s="18" t="inlineStr">
        <is>
          <t>D08-I02</t>
        </is>
      </c>
      <c r="D258" s="18">
        <f>'P0-3_Scorecard'!L88</f>
        <v/>
      </c>
      <c r="E258" s="18">
        <f>'P0-3_Scorecard'!L94</f>
        <v/>
      </c>
      <c r="F258" s="18">
        <f>'P0-3_Scorecard'!M88</f>
        <v/>
      </c>
      <c r="G258" s="18">
        <f>'P0-3_Scorecard'!M94</f>
        <v/>
      </c>
      <c r="H258" s="18">
        <f>IF(OR(D258="",F258=""),"",D258-(F258*20))</f>
        <v/>
      </c>
      <c r="I258" s="18">
        <f>IF(OR(E258="",G258=""),"",E258-(G258*20))</f>
        <v/>
      </c>
      <c r="J258" s="18">
        <f>IF(OR(D258="",E258=""),"INCOMPLETE",IF(AND(D258&gt;=80,E258&lt;50),"CONTRADICTION",IF(AND(D258&gt;=70,E258&lt;70),"DEPENDENCY GAP","NO TRIGGER")))</f>
        <v/>
      </c>
      <c r="K258" s="18">
        <f>IF(J258="CONTRADICTION","HIGH",IF(J258="DEPENDENCY GAP","MEDIUM","—"))</f>
        <v/>
      </c>
      <c r="L258" s="18">
        <f>IF(J258="CONTRADICTION","Strong upstream claim is not supported by linked downstream capability/evidence. Trigger: Data/evidence architecture review.",IF(J258="DEPENDENCY GAP","Downstream capability materially trails upstream expectation. Trigger: Data/evidence architecture review.",""))</f>
        <v/>
      </c>
    </row>
    <row r="259">
      <c r="A259" s="18" t="inlineStr">
        <is>
          <t>CD14</t>
        </is>
      </c>
      <c r="B259" s="18" t="inlineStr">
        <is>
          <t>D07-I08</t>
        </is>
      </c>
      <c r="C259" s="18" t="inlineStr">
        <is>
          <t>D08-I03</t>
        </is>
      </c>
      <c r="D259" s="18">
        <f>'P0-3_Scorecard'!L88</f>
        <v/>
      </c>
      <c r="E259" s="18">
        <f>'P0-3_Scorecard'!L95</f>
        <v/>
      </c>
      <c r="F259" s="18">
        <f>'P0-3_Scorecard'!M88</f>
        <v/>
      </c>
      <c r="G259" s="18">
        <f>'P0-3_Scorecard'!M95</f>
        <v/>
      </c>
      <c r="H259" s="18">
        <f>IF(OR(D259="",F259=""),"",D259-(F259*20))</f>
        <v/>
      </c>
      <c r="I259" s="18">
        <f>IF(OR(E259="",G259=""),"",E259-(G259*20))</f>
        <v/>
      </c>
      <c r="J259" s="18">
        <f>IF(OR(D259="",E259=""),"INCOMPLETE",IF(AND(D259&gt;=80,E259&lt;50),"CONTRADICTION",IF(AND(D259&gt;=70,E259&lt;70),"DEPENDENCY GAP","NO TRIGGER")))</f>
        <v/>
      </c>
      <c r="K259" s="18">
        <f>IF(J259="CONTRADICTION","HIGH",IF(J259="DEPENDENCY GAP","MEDIUM","—"))</f>
        <v/>
      </c>
      <c r="L259" s="18">
        <f>IF(J259="CONTRADICTION","Strong upstream claim is not supported by linked downstream capability/evidence. Trigger: Data/evidence architecture review.",IF(J259="DEPENDENCY GAP","Downstream capability materially trails upstream expectation. Trigger: Data/evidence architecture review.",""))</f>
        <v/>
      </c>
    </row>
    <row r="260">
      <c r="A260" s="18" t="inlineStr">
        <is>
          <t>CD14</t>
        </is>
      </c>
      <c r="B260" s="18" t="inlineStr">
        <is>
          <t>D07-I08</t>
        </is>
      </c>
      <c r="C260" s="18" t="inlineStr">
        <is>
          <t>D08-I04</t>
        </is>
      </c>
      <c r="D260" s="18">
        <f>'P0-3_Scorecard'!L88</f>
        <v/>
      </c>
      <c r="E260" s="18">
        <f>'P0-3_Scorecard'!L96</f>
        <v/>
      </c>
      <c r="F260" s="18">
        <f>'P0-3_Scorecard'!M88</f>
        <v/>
      </c>
      <c r="G260" s="18">
        <f>'P0-3_Scorecard'!M96</f>
        <v/>
      </c>
      <c r="H260" s="18">
        <f>IF(OR(D260="",F260=""),"",D260-(F260*20))</f>
        <v/>
      </c>
      <c r="I260" s="18">
        <f>IF(OR(E260="",G260=""),"",E260-(G260*20))</f>
        <v/>
      </c>
      <c r="J260" s="18">
        <f>IF(OR(D260="",E260=""),"INCOMPLETE",IF(AND(D260&gt;=80,E260&lt;50),"CONTRADICTION",IF(AND(D260&gt;=70,E260&lt;70),"DEPENDENCY GAP","NO TRIGGER")))</f>
        <v/>
      </c>
      <c r="K260" s="18">
        <f>IF(J260="CONTRADICTION","HIGH",IF(J260="DEPENDENCY GAP","MEDIUM","—"))</f>
        <v/>
      </c>
      <c r="L260" s="18">
        <f>IF(J260="CONTRADICTION","Strong upstream claim is not supported by linked downstream capability/evidence. Trigger: Data/evidence architecture review.",IF(J260="DEPENDENCY GAP","Downstream capability materially trails upstream expectation. Trigger: Data/evidence architecture review.",""))</f>
        <v/>
      </c>
    </row>
    <row r="261">
      <c r="A261" s="18" t="inlineStr">
        <is>
          <t>CD14</t>
        </is>
      </c>
      <c r="B261" s="18" t="inlineStr">
        <is>
          <t>D07-I08</t>
        </is>
      </c>
      <c r="C261" s="18" t="inlineStr">
        <is>
          <t>D08-I05</t>
        </is>
      </c>
      <c r="D261" s="18">
        <f>'P0-3_Scorecard'!L88</f>
        <v/>
      </c>
      <c r="E261" s="18">
        <f>'P0-3_Scorecard'!L97</f>
        <v/>
      </c>
      <c r="F261" s="18">
        <f>'P0-3_Scorecard'!M88</f>
        <v/>
      </c>
      <c r="G261" s="18">
        <f>'P0-3_Scorecard'!M97</f>
        <v/>
      </c>
      <c r="H261" s="18">
        <f>IF(OR(D261="",F261=""),"",D261-(F261*20))</f>
        <v/>
      </c>
      <c r="I261" s="18">
        <f>IF(OR(E261="",G261=""),"",E261-(G261*20))</f>
        <v/>
      </c>
      <c r="J261" s="18">
        <f>IF(OR(D261="",E261=""),"INCOMPLETE",IF(AND(D261&gt;=80,E261&lt;50),"CONTRADICTION",IF(AND(D261&gt;=70,E261&lt;70),"DEPENDENCY GAP","NO TRIGGER")))</f>
        <v/>
      </c>
      <c r="K261" s="18">
        <f>IF(J261="CONTRADICTION","HIGH",IF(J261="DEPENDENCY GAP","MEDIUM","—"))</f>
        <v/>
      </c>
      <c r="L261" s="18">
        <f>IF(J261="CONTRADICTION","Strong upstream claim is not supported by linked downstream capability/evidence. Trigger: Data/evidence architecture review.",IF(J261="DEPENDENCY GAP","Downstream capability materially trails upstream expectation. Trigger: Data/evidence architecture review.",""))</f>
        <v/>
      </c>
    </row>
    <row r="262">
      <c r="A262" s="18" t="inlineStr">
        <is>
          <t>CD14</t>
        </is>
      </c>
      <c r="B262" s="18" t="inlineStr">
        <is>
          <t>D07-I08</t>
        </is>
      </c>
      <c r="C262" s="18" t="inlineStr">
        <is>
          <t>D08-I12</t>
        </is>
      </c>
      <c r="D262" s="18">
        <f>'P0-3_Scorecard'!L88</f>
        <v/>
      </c>
      <c r="E262" s="18">
        <f>'P0-3_Scorecard'!L104</f>
        <v/>
      </c>
      <c r="F262" s="18">
        <f>'P0-3_Scorecard'!M88</f>
        <v/>
      </c>
      <c r="G262" s="18">
        <f>'P0-3_Scorecard'!M104</f>
        <v/>
      </c>
      <c r="H262" s="18">
        <f>IF(OR(D262="",F262=""),"",D262-(F262*20))</f>
        <v/>
      </c>
      <c r="I262" s="18">
        <f>IF(OR(E262="",G262=""),"",E262-(G262*20))</f>
        <v/>
      </c>
      <c r="J262" s="18">
        <f>IF(OR(D262="",E262=""),"INCOMPLETE",IF(AND(D262&gt;=80,E262&lt;50),"CONTRADICTION",IF(AND(D262&gt;=70,E262&lt;70),"DEPENDENCY GAP","NO TRIGGER")))</f>
        <v/>
      </c>
      <c r="K262" s="18">
        <f>IF(J262="CONTRADICTION","HIGH",IF(J262="DEPENDENCY GAP","MEDIUM","—"))</f>
        <v/>
      </c>
      <c r="L262" s="18">
        <f>IF(J262="CONTRADICTION","Strong upstream claim is not supported by linked downstream capability/evidence. Trigger: Data/evidence architecture review.",IF(J262="DEPENDENCY GAP","Downstream capability materially trails upstream expectation. Trigger: Data/evidence architecture review.",""))</f>
        <v/>
      </c>
    </row>
    <row r="263">
      <c r="A263" s="18" t="inlineStr">
        <is>
          <t>CD14</t>
        </is>
      </c>
      <c r="B263" s="18" t="inlineStr">
        <is>
          <t>D07-I12</t>
        </is>
      </c>
      <c r="C263" s="18" t="inlineStr">
        <is>
          <t>D08-I02</t>
        </is>
      </c>
      <c r="D263" s="18">
        <f>'P0-3_Scorecard'!L92</f>
        <v/>
      </c>
      <c r="E263" s="18">
        <f>'P0-3_Scorecard'!L94</f>
        <v/>
      </c>
      <c r="F263" s="18">
        <f>'P0-3_Scorecard'!M92</f>
        <v/>
      </c>
      <c r="G263" s="18">
        <f>'P0-3_Scorecard'!M94</f>
        <v/>
      </c>
      <c r="H263" s="18">
        <f>IF(OR(D263="",F263=""),"",D263-(F263*20))</f>
        <v/>
      </c>
      <c r="I263" s="18">
        <f>IF(OR(E263="",G263=""),"",E263-(G263*20))</f>
        <v/>
      </c>
      <c r="J263" s="18">
        <f>IF(OR(D263="",E263=""),"INCOMPLETE",IF(AND(D263&gt;=80,E263&lt;50),"CONTRADICTION",IF(AND(D263&gt;=70,E263&lt;70),"DEPENDENCY GAP","NO TRIGGER")))</f>
        <v/>
      </c>
      <c r="K263" s="18">
        <f>IF(J263="CONTRADICTION","HIGH",IF(J263="DEPENDENCY GAP","MEDIUM","—"))</f>
        <v/>
      </c>
      <c r="L263" s="18">
        <f>IF(J263="CONTRADICTION","Strong upstream claim is not supported by linked downstream capability/evidence. Trigger: Data/evidence architecture review.",IF(J263="DEPENDENCY GAP","Downstream capability materially trails upstream expectation. Trigger: Data/evidence architecture review.",""))</f>
        <v/>
      </c>
    </row>
    <row r="264">
      <c r="A264" s="18" t="inlineStr">
        <is>
          <t>CD14</t>
        </is>
      </c>
      <c r="B264" s="18" t="inlineStr">
        <is>
          <t>D07-I12</t>
        </is>
      </c>
      <c r="C264" s="18" t="inlineStr">
        <is>
          <t>D08-I03</t>
        </is>
      </c>
      <c r="D264" s="18">
        <f>'P0-3_Scorecard'!L92</f>
        <v/>
      </c>
      <c r="E264" s="18">
        <f>'P0-3_Scorecard'!L95</f>
        <v/>
      </c>
      <c r="F264" s="18">
        <f>'P0-3_Scorecard'!M92</f>
        <v/>
      </c>
      <c r="G264" s="18">
        <f>'P0-3_Scorecard'!M95</f>
        <v/>
      </c>
      <c r="H264" s="18">
        <f>IF(OR(D264="",F264=""),"",D264-(F264*20))</f>
        <v/>
      </c>
      <c r="I264" s="18">
        <f>IF(OR(E264="",G264=""),"",E264-(G264*20))</f>
        <v/>
      </c>
      <c r="J264" s="18">
        <f>IF(OR(D264="",E264=""),"INCOMPLETE",IF(AND(D264&gt;=80,E264&lt;50),"CONTRADICTION",IF(AND(D264&gt;=70,E264&lt;70),"DEPENDENCY GAP","NO TRIGGER")))</f>
        <v/>
      </c>
      <c r="K264" s="18">
        <f>IF(J264="CONTRADICTION","HIGH",IF(J264="DEPENDENCY GAP","MEDIUM","—"))</f>
        <v/>
      </c>
      <c r="L264" s="18">
        <f>IF(J264="CONTRADICTION","Strong upstream claim is not supported by linked downstream capability/evidence. Trigger: Data/evidence architecture review.",IF(J264="DEPENDENCY GAP","Downstream capability materially trails upstream expectation. Trigger: Data/evidence architecture review.",""))</f>
        <v/>
      </c>
    </row>
    <row r="265">
      <c r="A265" s="18" t="inlineStr">
        <is>
          <t>CD14</t>
        </is>
      </c>
      <c r="B265" s="18" t="inlineStr">
        <is>
          <t>D07-I12</t>
        </is>
      </c>
      <c r="C265" s="18" t="inlineStr">
        <is>
          <t>D08-I04</t>
        </is>
      </c>
      <c r="D265" s="18">
        <f>'P0-3_Scorecard'!L92</f>
        <v/>
      </c>
      <c r="E265" s="18">
        <f>'P0-3_Scorecard'!L96</f>
        <v/>
      </c>
      <c r="F265" s="18">
        <f>'P0-3_Scorecard'!M92</f>
        <v/>
      </c>
      <c r="G265" s="18">
        <f>'P0-3_Scorecard'!M96</f>
        <v/>
      </c>
      <c r="H265" s="18">
        <f>IF(OR(D265="",F265=""),"",D265-(F265*20))</f>
        <v/>
      </c>
      <c r="I265" s="18">
        <f>IF(OR(E265="",G265=""),"",E265-(G265*20))</f>
        <v/>
      </c>
      <c r="J265" s="18">
        <f>IF(OR(D265="",E265=""),"INCOMPLETE",IF(AND(D265&gt;=80,E265&lt;50),"CONTRADICTION",IF(AND(D265&gt;=70,E265&lt;70),"DEPENDENCY GAP","NO TRIGGER")))</f>
        <v/>
      </c>
      <c r="K265" s="18">
        <f>IF(J265="CONTRADICTION","HIGH",IF(J265="DEPENDENCY GAP","MEDIUM","—"))</f>
        <v/>
      </c>
      <c r="L265" s="18">
        <f>IF(J265="CONTRADICTION","Strong upstream claim is not supported by linked downstream capability/evidence. Trigger: Data/evidence architecture review.",IF(J265="DEPENDENCY GAP","Downstream capability materially trails upstream expectation. Trigger: Data/evidence architecture review.",""))</f>
        <v/>
      </c>
    </row>
    <row r="266">
      <c r="A266" s="18" t="inlineStr">
        <is>
          <t>CD14</t>
        </is>
      </c>
      <c r="B266" s="18" t="inlineStr">
        <is>
          <t>D07-I12</t>
        </is>
      </c>
      <c r="C266" s="18" t="inlineStr">
        <is>
          <t>D08-I05</t>
        </is>
      </c>
      <c r="D266" s="18">
        <f>'P0-3_Scorecard'!L92</f>
        <v/>
      </c>
      <c r="E266" s="18">
        <f>'P0-3_Scorecard'!L97</f>
        <v/>
      </c>
      <c r="F266" s="18">
        <f>'P0-3_Scorecard'!M92</f>
        <v/>
      </c>
      <c r="G266" s="18">
        <f>'P0-3_Scorecard'!M97</f>
        <v/>
      </c>
      <c r="H266" s="18">
        <f>IF(OR(D266="",F266=""),"",D266-(F266*20))</f>
        <v/>
      </c>
      <c r="I266" s="18">
        <f>IF(OR(E266="",G266=""),"",E266-(G266*20))</f>
        <v/>
      </c>
      <c r="J266" s="18">
        <f>IF(OR(D266="",E266=""),"INCOMPLETE",IF(AND(D266&gt;=80,E266&lt;50),"CONTRADICTION",IF(AND(D266&gt;=70,E266&lt;70),"DEPENDENCY GAP","NO TRIGGER")))</f>
        <v/>
      </c>
      <c r="K266" s="18">
        <f>IF(J266="CONTRADICTION","HIGH",IF(J266="DEPENDENCY GAP","MEDIUM","—"))</f>
        <v/>
      </c>
      <c r="L266" s="18">
        <f>IF(J266="CONTRADICTION","Strong upstream claim is not supported by linked downstream capability/evidence. Trigger: Data/evidence architecture review.",IF(J266="DEPENDENCY GAP","Downstream capability materially trails upstream expectation. Trigger: Data/evidence architecture review.",""))</f>
        <v/>
      </c>
    </row>
    <row r="267">
      <c r="A267" s="18" t="inlineStr">
        <is>
          <t>CD14</t>
        </is>
      </c>
      <c r="B267" s="18" t="inlineStr">
        <is>
          <t>D07-I12</t>
        </is>
      </c>
      <c r="C267" s="18" t="inlineStr">
        <is>
          <t>D08-I12</t>
        </is>
      </c>
      <c r="D267" s="18">
        <f>'P0-3_Scorecard'!L92</f>
        <v/>
      </c>
      <c r="E267" s="18">
        <f>'P0-3_Scorecard'!L104</f>
        <v/>
      </c>
      <c r="F267" s="18">
        <f>'P0-3_Scorecard'!M92</f>
        <v/>
      </c>
      <c r="G267" s="18">
        <f>'P0-3_Scorecard'!M104</f>
        <v/>
      </c>
      <c r="H267" s="18">
        <f>IF(OR(D267="",F267=""),"",D267-(F267*20))</f>
        <v/>
      </c>
      <c r="I267" s="18">
        <f>IF(OR(E267="",G267=""),"",E267-(G267*20))</f>
        <v/>
      </c>
      <c r="J267" s="18">
        <f>IF(OR(D267="",E267=""),"INCOMPLETE",IF(AND(D267&gt;=80,E267&lt;50),"CONTRADICTION",IF(AND(D267&gt;=70,E267&lt;70),"DEPENDENCY GAP","NO TRIGGER")))</f>
        <v/>
      </c>
      <c r="K267" s="18">
        <f>IF(J267="CONTRADICTION","HIGH",IF(J267="DEPENDENCY GAP","MEDIUM","—"))</f>
        <v/>
      </c>
      <c r="L267" s="18">
        <f>IF(J267="CONTRADICTION","Strong upstream claim is not supported by linked downstream capability/evidence. Trigger: Data/evidence architecture review.",IF(J267="DEPENDENCY GAP","Downstream capability materially trails upstream expectation. Trigger: Data/evidence architecture review.",""))</f>
        <v/>
      </c>
    </row>
    <row r="268">
      <c r="A268" s="18" t="inlineStr">
        <is>
          <t>CD15</t>
        </is>
      </c>
      <c r="B268" s="18" t="inlineStr">
        <is>
          <t>D08-I05</t>
        </is>
      </c>
      <c r="C268" s="18" t="inlineStr">
        <is>
          <t>D09-I01</t>
        </is>
      </c>
      <c r="D268" s="18">
        <f>'P0-3_Scorecard'!L97</f>
        <v/>
      </c>
      <c r="E268" s="18">
        <f>'P0-3_Scorecard'!L105</f>
        <v/>
      </c>
      <c r="F268" s="18">
        <f>'P0-3_Scorecard'!M97</f>
        <v/>
      </c>
      <c r="G268" s="18">
        <f>'P0-3_Scorecard'!M105</f>
        <v/>
      </c>
      <c r="H268" s="18">
        <f>IF(OR(D268="",F268=""),"",D268-(F268*20))</f>
        <v/>
      </c>
      <c r="I268" s="18">
        <f>IF(OR(E268="",G268=""),"",E268-(G268*20))</f>
        <v/>
      </c>
      <c r="J268" s="18">
        <f>IF(OR(D268="",E268=""),"INCOMPLETE",IF(AND(D268&gt;=80,E268&lt;50),"CONTRADICTION",IF(AND(D268&gt;=70,E268&lt;70),"DEPENDENCY GAP","NO TRIGGER")))</f>
        <v/>
      </c>
      <c r="K268" s="18">
        <f>IF(J268="CONTRADICTION","HIGH",IF(J268="DEPENDENCY GAP","MEDIUM","—"))</f>
        <v/>
      </c>
      <c r="L268" s="18">
        <f>IF(J268="CONTRADICTION","Strong upstream claim is not supported by linked downstream capability/evidence. Trigger: Labour-market intelligence review.",IF(J268="DEPENDENCY GAP","Downstream capability materially trails upstream expectation. Trigger: Labour-market intelligence review.",""))</f>
        <v/>
      </c>
    </row>
    <row r="269">
      <c r="A269" s="18" t="inlineStr">
        <is>
          <t>CD15</t>
        </is>
      </c>
      <c r="B269" s="18" t="inlineStr">
        <is>
          <t>D08-I05</t>
        </is>
      </c>
      <c r="C269" s="18" t="inlineStr">
        <is>
          <t>D09-I02</t>
        </is>
      </c>
      <c r="D269" s="18">
        <f>'P0-3_Scorecard'!L97</f>
        <v/>
      </c>
      <c r="E269" s="18">
        <f>'P0-3_Scorecard'!L106</f>
        <v/>
      </c>
      <c r="F269" s="18">
        <f>'P0-3_Scorecard'!M97</f>
        <v/>
      </c>
      <c r="G269" s="18">
        <f>'P0-3_Scorecard'!M106</f>
        <v/>
      </c>
      <c r="H269" s="18">
        <f>IF(OR(D269="",F269=""),"",D269-(F269*20))</f>
        <v/>
      </c>
      <c r="I269" s="18">
        <f>IF(OR(E269="",G269=""),"",E269-(G269*20))</f>
        <v/>
      </c>
      <c r="J269" s="18">
        <f>IF(OR(D269="",E269=""),"INCOMPLETE",IF(AND(D269&gt;=80,E269&lt;50),"CONTRADICTION",IF(AND(D269&gt;=70,E269&lt;70),"DEPENDENCY GAP","NO TRIGGER")))</f>
        <v/>
      </c>
      <c r="K269" s="18">
        <f>IF(J269="CONTRADICTION","HIGH",IF(J269="DEPENDENCY GAP","MEDIUM","—"))</f>
        <v/>
      </c>
      <c r="L269" s="18">
        <f>IF(J269="CONTRADICTION","Strong upstream claim is not supported by linked downstream capability/evidence. Trigger: Labour-market intelligence review.",IF(J269="DEPENDENCY GAP","Downstream capability materially trails upstream expectation. Trigger: Labour-market intelligence review.",""))</f>
        <v/>
      </c>
    </row>
    <row r="270">
      <c r="A270" s="18" t="inlineStr">
        <is>
          <t>CD15</t>
        </is>
      </c>
      <c r="B270" s="18" t="inlineStr">
        <is>
          <t>D08-I05</t>
        </is>
      </c>
      <c r="C270" s="18" t="inlineStr">
        <is>
          <t>D09-I03</t>
        </is>
      </c>
      <c r="D270" s="18">
        <f>'P0-3_Scorecard'!L97</f>
        <v/>
      </c>
      <c r="E270" s="18">
        <f>'P0-3_Scorecard'!L107</f>
        <v/>
      </c>
      <c r="F270" s="18">
        <f>'P0-3_Scorecard'!M97</f>
        <v/>
      </c>
      <c r="G270" s="18">
        <f>'P0-3_Scorecard'!M107</f>
        <v/>
      </c>
      <c r="H270" s="18">
        <f>IF(OR(D270="",F270=""),"",D270-(F270*20))</f>
        <v/>
      </c>
      <c r="I270" s="18">
        <f>IF(OR(E270="",G270=""),"",E270-(G270*20))</f>
        <v/>
      </c>
      <c r="J270" s="18">
        <f>IF(OR(D270="",E270=""),"INCOMPLETE",IF(AND(D270&gt;=80,E270&lt;50),"CONTRADICTION",IF(AND(D270&gt;=70,E270&lt;70),"DEPENDENCY GAP","NO TRIGGER")))</f>
        <v/>
      </c>
      <c r="K270" s="18">
        <f>IF(J270="CONTRADICTION","HIGH",IF(J270="DEPENDENCY GAP","MEDIUM","—"))</f>
        <v/>
      </c>
      <c r="L270" s="18">
        <f>IF(J270="CONTRADICTION","Strong upstream claim is not supported by linked downstream capability/evidence. Trigger: Labour-market intelligence review.",IF(J270="DEPENDENCY GAP","Downstream capability materially trails upstream expectation. Trigger: Labour-market intelligence review.",""))</f>
        <v/>
      </c>
    </row>
    <row r="271">
      <c r="A271" s="18" t="inlineStr">
        <is>
          <t>CD15</t>
        </is>
      </c>
      <c r="B271" s="18" t="inlineStr">
        <is>
          <t>D08-I05</t>
        </is>
      </c>
      <c r="C271" s="18" t="inlineStr">
        <is>
          <t>D09-I12</t>
        </is>
      </c>
      <c r="D271" s="18">
        <f>'P0-3_Scorecard'!L97</f>
        <v/>
      </c>
      <c r="E271" s="18">
        <f>'P0-3_Scorecard'!L116</f>
        <v/>
      </c>
      <c r="F271" s="18">
        <f>'P0-3_Scorecard'!M97</f>
        <v/>
      </c>
      <c r="G271" s="18">
        <f>'P0-3_Scorecard'!M116</f>
        <v/>
      </c>
      <c r="H271" s="18">
        <f>IF(OR(D271="",F271=""),"",D271-(F271*20))</f>
        <v/>
      </c>
      <c r="I271" s="18">
        <f>IF(OR(E271="",G271=""),"",E271-(G271*20))</f>
        <v/>
      </c>
      <c r="J271" s="18">
        <f>IF(OR(D271="",E271=""),"INCOMPLETE",IF(AND(D271&gt;=80,E271&lt;50),"CONTRADICTION",IF(AND(D271&gt;=70,E271&lt;70),"DEPENDENCY GAP","NO TRIGGER")))</f>
        <v/>
      </c>
      <c r="K271" s="18">
        <f>IF(J271="CONTRADICTION","HIGH",IF(J271="DEPENDENCY GAP","MEDIUM","—"))</f>
        <v/>
      </c>
      <c r="L271" s="18">
        <f>IF(J271="CONTRADICTION","Strong upstream claim is not supported by linked downstream capability/evidence. Trigger: Labour-market intelligence review.",IF(J271="DEPENDENCY GAP","Downstream capability materially trails upstream expectation. Trigger: Labour-market intelligence review.",""))</f>
        <v/>
      </c>
    </row>
    <row r="272">
      <c r="A272" s="18" t="inlineStr">
        <is>
          <t>CD15</t>
        </is>
      </c>
      <c r="B272" s="18" t="inlineStr">
        <is>
          <t>D08-I12</t>
        </is>
      </c>
      <c r="C272" s="18" t="inlineStr">
        <is>
          <t>D09-I01</t>
        </is>
      </c>
      <c r="D272" s="18">
        <f>'P0-3_Scorecard'!L104</f>
        <v/>
      </c>
      <c r="E272" s="18">
        <f>'P0-3_Scorecard'!L105</f>
        <v/>
      </c>
      <c r="F272" s="18">
        <f>'P0-3_Scorecard'!M104</f>
        <v/>
      </c>
      <c r="G272" s="18">
        <f>'P0-3_Scorecard'!M105</f>
        <v/>
      </c>
      <c r="H272" s="18">
        <f>IF(OR(D272="",F272=""),"",D272-(F272*20))</f>
        <v/>
      </c>
      <c r="I272" s="18">
        <f>IF(OR(E272="",G272=""),"",E272-(G272*20))</f>
        <v/>
      </c>
      <c r="J272" s="18">
        <f>IF(OR(D272="",E272=""),"INCOMPLETE",IF(AND(D272&gt;=80,E272&lt;50),"CONTRADICTION",IF(AND(D272&gt;=70,E272&lt;70),"DEPENDENCY GAP","NO TRIGGER")))</f>
        <v/>
      </c>
      <c r="K272" s="18">
        <f>IF(J272="CONTRADICTION","HIGH",IF(J272="DEPENDENCY GAP","MEDIUM","—"))</f>
        <v/>
      </c>
      <c r="L272" s="18">
        <f>IF(J272="CONTRADICTION","Strong upstream claim is not supported by linked downstream capability/evidence. Trigger: Labour-market intelligence review.",IF(J272="DEPENDENCY GAP","Downstream capability materially trails upstream expectation. Trigger: Labour-market intelligence review.",""))</f>
        <v/>
      </c>
    </row>
    <row r="273">
      <c r="A273" s="18" t="inlineStr">
        <is>
          <t>CD15</t>
        </is>
      </c>
      <c r="B273" s="18" t="inlineStr">
        <is>
          <t>D08-I12</t>
        </is>
      </c>
      <c r="C273" s="18" t="inlineStr">
        <is>
          <t>D09-I02</t>
        </is>
      </c>
      <c r="D273" s="18">
        <f>'P0-3_Scorecard'!L104</f>
        <v/>
      </c>
      <c r="E273" s="18">
        <f>'P0-3_Scorecard'!L106</f>
        <v/>
      </c>
      <c r="F273" s="18">
        <f>'P0-3_Scorecard'!M104</f>
        <v/>
      </c>
      <c r="G273" s="18">
        <f>'P0-3_Scorecard'!M106</f>
        <v/>
      </c>
      <c r="H273" s="18">
        <f>IF(OR(D273="",F273=""),"",D273-(F273*20))</f>
        <v/>
      </c>
      <c r="I273" s="18">
        <f>IF(OR(E273="",G273=""),"",E273-(G273*20))</f>
        <v/>
      </c>
      <c r="J273" s="18">
        <f>IF(OR(D273="",E273=""),"INCOMPLETE",IF(AND(D273&gt;=80,E273&lt;50),"CONTRADICTION",IF(AND(D273&gt;=70,E273&lt;70),"DEPENDENCY GAP","NO TRIGGER")))</f>
        <v/>
      </c>
      <c r="K273" s="18">
        <f>IF(J273="CONTRADICTION","HIGH",IF(J273="DEPENDENCY GAP","MEDIUM","—"))</f>
        <v/>
      </c>
      <c r="L273" s="18">
        <f>IF(J273="CONTRADICTION","Strong upstream claim is not supported by linked downstream capability/evidence. Trigger: Labour-market intelligence review.",IF(J273="DEPENDENCY GAP","Downstream capability materially trails upstream expectation. Trigger: Labour-market intelligence review.",""))</f>
        <v/>
      </c>
    </row>
    <row r="274">
      <c r="A274" s="18" t="inlineStr">
        <is>
          <t>CD15</t>
        </is>
      </c>
      <c r="B274" s="18" t="inlineStr">
        <is>
          <t>D08-I12</t>
        </is>
      </c>
      <c r="C274" s="18" t="inlineStr">
        <is>
          <t>D09-I03</t>
        </is>
      </c>
      <c r="D274" s="18">
        <f>'P0-3_Scorecard'!L104</f>
        <v/>
      </c>
      <c r="E274" s="18">
        <f>'P0-3_Scorecard'!L107</f>
        <v/>
      </c>
      <c r="F274" s="18">
        <f>'P0-3_Scorecard'!M104</f>
        <v/>
      </c>
      <c r="G274" s="18">
        <f>'P0-3_Scorecard'!M107</f>
        <v/>
      </c>
      <c r="H274" s="18">
        <f>IF(OR(D274="",F274=""),"",D274-(F274*20))</f>
        <v/>
      </c>
      <c r="I274" s="18">
        <f>IF(OR(E274="",G274=""),"",E274-(G274*20))</f>
        <v/>
      </c>
      <c r="J274" s="18">
        <f>IF(OR(D274="",E274=""),"INCOMPLETE",IF(AND(D274&gt;=80,E274&lt;50),"CONTRADICTION",IF(AND(D274&gt;=70,E274&lt;70),"DEPENDENCY GAP","NO TRIGGER")))</f>
        <v/>
      </c>
      <c r="K274" s="18">
        <f>IF(J274="CONTRADICTION","HIGH",IF(J274="DEPENDENCY GAP","MEDIUM","—"))</f>
        <v/>
      </c>
      <c r="L274" s="18">
        <f>IF(J274="CONTRADICTION","Strong upstream claim is not supported by linked downstream capability/evidence. Trigger: Labour-market intelligence review.",IF(J274="DEPENDENCY GAP","Downstream capability materially trails upstream expectation. Trigger: Labour-market intelligence review.",""))</f>
        <v/>
      </c>
    </row>
    <row r="275">
      <c r="A275" s="18" t="inlineStr">
        <is>
          <t>CD15</t>
        </is>
      </c>
      <c r="B275" s="18" t="inlineStr">
        <is>
          <t>D08-I12</t>
        </is>
      </c>
      <c r="C275" s="18" t="inlineStr">
        <is>
          <t>D09-I12</t>
        </is>
      </c>
      <c r="D275" s="18">
        <f>'P0-3_Scorecard'!L104</f>
        <v/>
      </c>
      <c r="E275" s="18">
        <f>'P0-3_Scorecard'!L116</f>
        <v/>
      </c>
      <c r="F275" s="18">
        <f>'P0-3_Scorecard'!M104</f>
        <v/>
      </c>
      <c r="G275" s="18">
        <f>'P0-3_Scorecard'!M116</f>
        <v/>
      </c>
      <c r="H275" s="18">
        <f>IF(OR(D275="",F275=""),"",D275-(F275*20))</f>
        <v/>
      </c>
      <c r="I275" s="18">
        <f>IF(OR(E275="",G275=""),"",E275-(G275*20))</f>
        <v/>
      </c>
      <c r="J275" s="18">
        <f>IF(OR(D275="",E275=""),"INCOMPLETE",IF(AND(D275&gt;=80,E275&lt;50),"CONTRADICTION",IF(AND(D275&gt;=70,E275&lt;70),"DEPENDENCY GAP","NO TRIGGER")))</f>
        <v/>
      </c>
      <c r="K275" s="18">
        <f>IF(J275="CONTRADICTION","HIGH",IF(J275="DEPENDENCY GAP","MEDIUM","—"))</f>
        <v/>
      </c>
      <c r="L275" s="18">
        <f>IF(J275="CONTRADICTION","Strong upstream claim is not supported by linked downstream capability/evidence. Trigger: Labour-market intelligence review.",IF(J275="DEPENDENCY GAP","Downstream capability materially trails upstream expectation. Trigger: Labour-market intelligence review.",""))</f>
        <v/>
      </c>
    </row>
    <row r="276">
      <c r="A276" s="18" t="inlineStr">
        <is>
          <t>CD16</t>
        </is>
      </c>
      <c r="B276" s="18" t="inlineStr">
        <is>
          <t>D09-I01</t>
        </is>
      </c>
      <c r="C276" s="18" t="inlineStr">
        <is>
          <t>D04-I01</t>
        </is>
      </c>
      <c r="D276" s="18">
        <f>'P0-3_Scorecard'!L105</f>
        <v/>
      </c>
      <c r="E276" s="18">
        <f>'P0-3_Scorecard'!L43</f>
        <v/>
      </c>
      <c r="F276" s="18">
        <f>'P0-3_Scorecard'!M105</f>
        <v/>
      </c>
      <c r="G276" s="18">
        <f>'P0-3_Scorecard'!M43</f>
        <v/>
      </c>
      <c r="H276" s="18">
        <f>IF(OR(D276="",F276=""),"",D276-(F276*20))</f>
        <v/>
      </c>
      <c r="I276" s="18">
        <f>IF(OR(E276="",G276=""),"",E276-(G276*20))</f>
        <v/>
      </c>
      <c r="J276" s="18">
        <f>IF(OR(D276="",E276=""),"INCOMPLETE",IF(AND(D276&gt;=80,E276&lt;50),"CONTRADICTION",IF(AND(D276&gt;=70,E276&lt;70),"DEPENDENCY GAP","NO TRIGGER")))</f>
        <v/>
      </c>
      <c r="K276" s="18">
        <f>IF(J276="CONTRADICTION","HIGH",IF(J276="DEPENDENCY GAP","MEDIUM","—"))</f>
        <v/>
      </c>
      <c r="L276" s="18">
        <f>IF(J276="CONTRADICTION","Strong upstream claim is not supported by linked downstream capability/evidence. Trigger: Programme portfolio review.",IF(J276="DEPENDENCY GAP","Downstream capability materially trails upstream expectation. Trigger: Programme portfolio review.",""))</f>
        <v/>
      </c>
    </row>
    <row r="277">
      <c r="A277" s="18" t="inlineStr">
        <is>
          <t>CD16</t>
        </is>
      </c>
      <c r="B277" s="18" t="inlineStr">
        <is>
          <t>D09-I01</t>
        </is>
      </c>
      <c r="C277" s="18" t="inlineStr">
        <is>
          <t>D04-I03</t>
        </is>
      </c>
      <c r="D277" s="18">
        <f>'P0-3_Scorecard'!L105</f>
        <v/>
      </c>
      <c r="E277" s="18">
        <f>'P0-3_Scorecard'!L45</f>
        <v/>
      </c>
      <c r="F277" s="18">
        <f>'P0-3_Scorecard'!M105</f>
        <v/>
      </c>
      <c r="G277" s="18">
        <f>'P0-3_Scorecard'!M45</f>
        <v/>
      </c>
      <c r="H277" s="18">
        <f>IF(OR(D277="",F277=""),"",D277-(F277*20))</f>
        <v/>
      </c>
      <c r="I277" s="18">
        <f>IF(OR(E277="",G277=""),"",E277-(G277*20))</f>
        <v/>
      </c>
      <c r="J277" s="18">
        <f>IF(OR(D277="",E277=""),"INCOMPLETE",IF(AND(D277&gt;=80,E277&lt;50),"CONTRADICTION",IF(AND(D277&gt;=70,E277&lt;70),"DEPENDENCY GAP","NO TRIGGER")))</f>
        <v/>
      </c>
      <c r="K277" s="18">
        <f>IF(J277="CONTRADICTION","HIGH",IF(J277="DEPENDENCY GAP","MEDIUM","—"))</f>
        <v/>
      </c>
      <c r="L277" s="18">
        <f>IF(J277="CONTRADICTION","Strong upstream claim is not supported by linked downstream capability/evidence. Trigger: Programme portfolio review.",IF(J277="DEPENDENCY GAP","Downstream capability materially trails upstream expectation. Trigger: Programme portfolio review.",""))</f>
        <v/>
      </c>
    </row>
    <row r="278">
      <c r="A278" s="18" t="inlineStr">
        <is>
          <t>CD16</t>
        </is>
      </c>
      <c r="B278" s="18" t="inlineStr">
        <is>
          <t>D09-I01</t>
        </is>
      </c>
      <c r="C278" s="18" t="inlineStr">
        <is>
          <t>D04-I08</t>
        </is>
      </c>
      <c r="D278" s="18">
        <f>'P0-3_Scorecard'!L105</f>
        <v/>
      </c>
      <c r="E278" s="18">
        <f>'P0-3_Scorecard'!L50</f>
        <v/>
      </c>
      <c r="F278" s="18">
        <f>'P0-3_Scorecard'!M105</f>
        <v/>
      </c>
      <c r="G278" s="18">
        <f>'P0-3_Scorecard'!M50</f>
        <v/>
      </c>
      <c r="H278" s="18">
        <f>IF(OR(D278="",F278=""),"",D278-(F278*20))</f>
        <v/>
      </c>
      <c r="I278" s="18">
        <f>IF(OR(E278="",G278=""),"",E278-(G278*20))</f>
        <v/>
      </c>
      <c r="J278" s="18">
        <f>IF(OR(D278="",E278=""),"INCOMPLETE",IF(AND(D278&gt;=80,E278&lt;50),"CONTRADICTION",IF(AND(D278&gt;=70,E278&lt;70),"DEPENDENCY GAP","NO TRIGGER")))</f>
        <v/>
      </c>
      <c r="K278" s="18">
        <f>IF(J278="CONTRADICTION","HIGH",IF(J278="DEPENDENCY GAP","MEDIUM","—"))</f>
        <v/>
      </c>
      <c r="L278" s="18">
        <f>IF(J278="CONTRADICTION","Strong upstream claim is not supported by linked downstream capability/evidence. Trigger: Programme portfolio review.",IF(J278="DEPENDENCY GAP","Downstream capability materially trails upstream expectation. Trigger: Programme portfolio review.",""))</f>
        <v/>
      </c>
    </row>
    <row r="279">
      <c r="A279" s="18" t="inlineStr">
        <is>
          <t>CD16</t>
        </is>
      </c>
      <c r="B279" s="18" t="inlineStr">
        <is>
          <t>D09-I01</t>
        </is>
      </c>
      <c r="C279" s="18" t="inlineStr">
        <is>
          <t>D04-I12</t>
        </is>
      </c>
      <c r="D279" s="18">
        <f>'P0-3_Scorecard'!L105</f>
        <v/>
      </c>
      <c r="E279" s="18">
        <f>'P0-3_Scorecard'!L54</f>
        <v/>
      </c>
      <c r="F279" s="18">
        <f>'P0-3_Scorecard'!M105</f>
        <v/>
      </c>
      <c r="G279" s="18">
        <f>'P0-3_Scorecard'!M54</f>
        <v/>
      </c>
      <c r="H279" s="18">
        <f>IF(OR(D279="",F279=""),"",D279-(F279*20))</f>
        <v/>
      </c>
      <c r="I279" s="18">
        <f>IF(OR(E279="",G279=""),"",E279-(G279*20))</f>
        <v/>
      </c>
      <c r="J279" s="18">
        <f>IF(OR(D279="",E279=""),"INCOMPLETE",IF(AND(D279&gt;=80,E279&lt;50),"CONTRADICTION",IF(AND(D279&gt;=70,E279&lt;70),"DEPENDENCY GAP","NO TRIGGER")))</f>
        <v/>
      </c>
      <c r="K279" s="18">
        <f>IF(J279="CONTRADICTION","HIGH",IF(J279="DEPENDENCY GAP","MEDIUM","—"))</f>
        <v/>
      </c>
      <c r="L279" s="18">
        <f>IF(J279="CONTRADICTION","Strong upstream claim is not supported by linked downstream capability/evidence. Trigger: Programme portfolio review.",IF(J279="DEPENDENCY GAP","Downstream capability materially trails upstream expectation. Trigger: Programme portfolio review.",""))</f>
        <v/>
      </c>
    </row>
    <row r="280">
      <c r="A280" s="18" t="inlineStr">
        <is>
          <t>CD16</t>
        </is>
      </c>
      <c r="B280" s="18" t="inlineStr">
        <is>
          <t>D09-I03</t>
        </is>
      </c>
      <c r="C280" s="18" t="inlineStr">
        <is>
          <t>D04-I01</t>
        </is>
      </c>
      <c r="D280" s="18">
        <f>'P0-3_Scorecard'!L107</f>
        <v/>
      </c>
      <c r="E280" s="18">
        <f>'P0-3_Scorecard'!L43</f>
        <v/>
      </c>
      <c r="F280" s="18">
        <f>'P0-3_Scorecard'!M107</f>
        <v/>
      </c>
      <c r="G280" s="18">
        <f>'P0-3_Scorecard'!M43</f>
        <v/>
      </c>
      <c r="H280" s="18">
        <f>IF(OR(D280="",F280=""),"",D280-(F280*20))</f>
        <v/>
      </c>
      <c r="I280" s="18">
        <f>IF(OR(E280="",G280=""),"",E280-(G280*20))</f>
        <v/>
      </c>
      <c r="J280" s="18">
        <f>IF(OR(D280="",E280=""),"INCOMPLETE",IF(AND(D280&gt;=80,E280&lt;50),"CONTRADICTION",IF(AND(D280&gt;=70,E280&lt;70),"DEPENDENCY GAP","NO TRIGGER")))</f>
        <v/>
      </c>
      <c r="K280" s="18">
        <f>IF(J280="CONTRADICTION","HIGH",IF(J280="DEPENDENCY GAP","MEDIUM","—"))</f>
        <v/>
      </c>
      <c r="L280" s="18">
        <f>IF(J280="CONTRADICTION","Strong upstream claim is not supported by linked downstream capability/evidence. Trigger: Programme portfolio review.",IF(J280="DEPENDENCY GAP","Downstream capability materially trails upstream expectation. Trigger: Programme portfolio review.",""))</f>
        <v/>
      </c>
    </row>
    <row r="281">
      <c r="A281" s="18" t="inlineStr">
        <is>
          <t>CD16</t>
        </is>
      </c>
      <c r="B281" s="18" t="inlineStr">
        <is>
          <t>D09-I03</t>
        </is>
      </c>
      <c r="C281" s="18" t="inlineStr">
        <is>
          <t>D04-I03</t>
        </is>
      </c>
      <c r="D281" s="18">
        <f>'P0-3_Scorecard'!L107</f>
        <v/>
      </c>
      <c r="E281" s="18">
        <f>'P0-3_Scorecard'!L45</f>
        <v/>
      </c>
      <c r="F281" s="18">
        <f>'P0-3_Scorecard'!M107</f>
        <v/>
      </c>
      <c r="G281" s="18">
        <f>'P0-3_Scorecard'!M45</f>
        <v/>
      </c>
      <c r="H281" s="18">
        <f>IF(OR(D281="",F281=""),"",D281-(F281*20))</f>
        <v/>
      </c>
      <c r="I281" s="18">
        <f>IF(OR(E281="",G281=""),"",E281-(G281*20))</f>
        <v/>
      </c>
      <c r="J281" s="18">
        <f>IF(OR(D281="",E281=""),"INCOMPLETE",IF(AND(D281&gt;=80,E281&lt;50),"CONTRADICTION",IF(AND(D281&gt;=70,E281&lt;70),"DEPENDENCY GAP","NO TRIGGER")))</f>
        <v/>
      </c>
      <c r="K281" s="18">
        <f>IF(J281="CONTRADICTION","HIGH",IF(J281="DEPENDENCY GAP","MEDIUM","—"))</f>
        <v/>
      </c>
      <c r="L281" s="18">
        <f>IF(J281="CONTRADICTION","Strong upstream claim is not supported by linked downstream capability/evidence. Trigger: Programme portfolio review.",IF(J281="DEPENDENCY GAP","Downstream capability materially trails upstream expectation. Trigger: Programme portfolio review.",""))</f>
        <v/>
      </c>
    </row>
    <row r="282">
      <c r="A282" s="18" t="inlineStr">
        <is>
          <t>CD16</t>
        </is>
      </c>
      <c r="B282" s="18" t="inlineStr">
        <is>
          <t>D09-I03</t>
        </is>
      </c>
      <c r="C282" s="18" t="inlineStr">
        <is>
          <t>D04-I08</t>
        </is>
      </c>
      <c r="D282" s="18">
        <f>'P0-3_Scorecard'!L107</f>
        <v/>
      </c>
      <c r="E282" s="18">
        <f>'P0-3_Scorecard'!L50</f>
        <v/>
      </c>
      <c r="F282" s="18">
        <f>'P0-3_Scorecard'!M107</f>
        <v/>
      </c>
      <c r="G282" s="18">
        <f>'P0-3_Scorecard'!M50</f>
        <v/>
      </c>
      <c r="H282" s="18">
        <f>IF(OR(D282="",F282=""),"",D282-(F282*20))</f>
        <v/>
      </c>
      <c r="I282" s="18">
        <f>IF(OR(E282="",G282=""),"",E282-(G282*20))</f>
        <v/>
      </c>
      <c r="J282" s="18">
        <f>IF(OR(D282="",E282=""),"INCOMPLETE",IF(AND(D282&gt;=80,E282&lt;50),"CONTRADICTION",IF(AND(D282&gt;=70,E282&lt;70),"DEPENDENCY GAP","NO TRIGGER")))</f>
        <v/>
      </c>
      <c r="K282" s="18">
        <f>IF(J282="CONTRADICTION","HIGH",IF(J282="DEPENDENCY GAP","MEDIUM","—"))</f>
        <v/>
      </c>
      <c r="L282" s="18">
        <f>IF(J282="CONTRADICTION","Strong upstream claim is not supported by linked downstream capability/evidence. Trigger: Programme portfolio review.",IF(J282="DEPENDENCY GAP","Downstream capability materially trails upstream expectation. Trigger: Programme portfolio review.",""))</f>
        <v/>
      </c>
    </row>
    <row r="283">
      <c r="A283" s="18" t="inlineStr">
        <is>
          <t>CD16</t>
        </is>
      </c>
      <c r="B283" s="18" t="inlineStr">
        <is>
          <t>D09-I03</t>
        </is>
      </c>
      <c r="C283" s="18" t="inlineStr">
        <is>
          <t>D04-I12</t>
        </is>
      </c>
      <c r="D283" s="18">
        <f>'P0-3_Scorecard'!L107</f>
        <v/>
      </c>
      <c r="E283" s="18">
        <f>'P0-3_Scorecard'!L54</f>
        <v/>
      </c>
      <c r="F283" s="18">
        <f>'P0-3_Scorecard'!M107</f>
        <v/>
      </c>
      <c r="G283" s="18">
        <f>'P0-3_Scorecard'!M54</f>
        <v/>
      </c>
      <c r="H283" s="18">
        <f>IF(OR(D283="",F283=""),"",D283-(F283*20))</f>
        <v/>
      </c>
      <c r="I283" s="18">
        <f>IF(OR(E283="",G283=""),"",E283-(G283*20))</f>
        <v/>
      </c>
      <c r="J283" s="18">
        <f>IF(OR(D283="",E283=""),"INCOMPLETE",IF(AND(D283&gt;=80,E283&lt;50),"CONTRADICTION",IF(AND(D283&gt;=70,E283&lt;70),"DEPENDENCY GAP","NO TRIGGER")))</f>
        <v/>
      </c>
      <c r="K283" s="18">
        <f>IF(J283="CONTRADICTION","HIGH",IF(J283="DEPENDENCY GAP","MEDIUM","—"))</f>
        <v/>
      </c>
      <c r="L283" s="18">
        <f>IF(J283="CONTRADICTION","Strong upstream claim is not supported by linked downstream capability/evidence. Trigger: Programme portfolio review.",IF(J283="DEPENDENCY GAP","Downstream capability materially trails upstream expectation. Trigger: Programme portfolio review.",""))</f>
        <v/>
      </c>
    </row>
    <row r="284">
      <c r="A284" s="18" t="inlineStr">
        <is>
          <t>CD16</t>
        </is>
      </c>
      <c r="B284" s="18" t="inlineStr">
        <is>
          <t>D09-I10</t>
        </is>
      </c>
      <c r="C284" s="18" t="inlineStr">
        <is>
          <t>D04-I01</t>
        </is>
      </c>
      <c r="D284" s="18">
        <f>'P0-3_Scorecard'!L114</f>
        <v/>
      </c>
      <c r="E284" s="18">
        <f>'P0-3_Scorecard'!L43</f>
        <v/>
      </c>
      <c r="F284" s="18">
        <f>'P0-3_Scorecard'!M114</f>
        <v/>
      </c>
      <c r="G284" s="18">
        <f>'P0-3_Scorecard'!M43</f>
        <v/>
      </c>
      <c r="H284" s="18">
        <f>IF(OR(D284="",F284=""),"",D284-(F284*20))</f>
        <v/>
      </c>
      <c r="I284" s="18">
        <f>IF(OR(E284="",G284=""),"",E284-(G284*20))</f>
        <v/>
      </c>
      <c r="J284" s="18">
        <f>IF(OR(D284="",E284=""),"INCOMPLETE",IF(AND(D284&gt;=80,E284&lt;50),"CONTRADICTION",IF(AND(D284&gt;=70,E284&lt;70),"DEPENDENCY GAP","NO TRIGGER")))</f>
        <v/>
      </c>
      <c r="K284" s="18">
        <f>IF(J284="CONTRADICTION","HIGH",IF(J284="DEPENDENCY GAP","MEDIUM","—"))</f>
        <v/>
      </c>
      <c r="L284" s="18">
        <f>IF(J284="CONTRADICTION","Strong upstream claim is not supported by linked downstream capability/evidence. Trigger: Programme portfolio review.",IF(J284="DEPENDENCY GAP","Downstream capability materially trails upstream expectation. Trigger: Programme portfolio review.",""))</f>
        <v/>
      </c>
    </row>
    <row r="285">
      <c r="A285" s="18" t="inlineStr">
        <is>
          <t>CD16</t>
        </is>
      </c>
      <c r="B285" s="18" t="inlineStr">
        <is>
          <t>D09-I10</t>
        </is>
      </c>
      <c r="C285" s="18" t="inlineStr">
        <is>
          <t>D04-I03</t>
        </is>
      </c>
      <c r="D285" s="18">
        <f>'P0-3_Scorecard'!L114</f>
        <v/>
      </c>
      <c r="E285" s="18">
        <f>'P0-3_Scorecard'!L45</f>
        <v/>
      </c>
      <c r="F285" s="18">
        <f>'P0-3_Scorecard'!M114</f>
        <v/>
      </c>
      <c r="G285" s="18">
        <f>'P0-3_Scorecard'!M45</f>
        <v/>
      </c>
      <c r="H285" s="18">
        <f>IF(OR(D285="",F285=""),"",D285-(F285*20))</f>
        <v/>
      </c>
      <c r="I285" s="18">
        <f>IF(OR(E285="",G285=""),"",E285-(G285*20))</f>
        <v/>
      </c>
      <c r="J285" s="18">
        <f>IF(OR(D285="",E285=""),"INCOMPLETE",IF(AND(D285&gt;=80,E285&lt;50),"CONTRADICTION",IF(AND(D285&gt;=70,E285&lt;70),"DEPENDENCY GAP","NO TRIGGER")))</f>
        <v/>
      </c>
      <c r="K285" s="18">
        <f>IF(J285="CONTRADICTION","HIGH",IF(J285="DEPENDENCY GAP","MEDIUM","—"))</f>
        <v/>
      </c>
      <c r="L285" s="18">
        <f>IF(J285="CONTRADICTION","Strong upstream claim is not supported by linked downstream capability/evidence. Trigger: Programme portfolio review.",IF(J285="DEPENDENCY GAP","Downstream capability materially trails upstream expectation. Trigger: Programme portfolio review.",""))</f>
        <v/>
      </c>
    </row>
    <row r="286">
      <c r="A286" s="18" t="inlineStr">
        <is>
          <t>CD16</t>
        </is>
      </c>
      <c r="B286" s="18" t="inlineStr">
        <is>
          <t>D09-I10</t>
        </is>
      </c>
      <c r="C286" s="18" t="inlineStr">
        <is>
          <t>D04-I08</t>
        </is>
      </c>
      <c r="D286" s="18">
        <f>'P0-3_Scorecard'!L114</f>
        <v/>
      </c>
      <c r="E286" s="18">
        <f>'P0-3_Scorecard'!L50</f>
        <v/>
      </c>
      <c r="F286" s="18">
        <f>'P0-3_Scorecard'!M114</f>
        <v/>
      </c>
      <c r="G286" s="18">
        <f>'P0-3_Scorecard'!M50</f>
        <v/>
      </c>
      <c r="H286" s="18">
        <f>IF(OR(D286="",F286=""),"",D286-(F286*20))</f>
        <v/>
      </c>
      <c r="I286" s="18">
        <f>IF(OR(E286="",G286=""),"",E286-(G286*20))</f>
        <v/>
      </c>
      <c r="J286" s="18">
        <f>IF(OR(D286="",E286=""),"INCOMPLETE",IF(AND(D286&gt;=80,E286&lt;50),"CONTRADICTION",IF(AND(D286&gt;=70,E286&lt;70),"DEPENDENCY GAP","NO TRIGGER")))</f>
        <v/>
      </c>
      <c r="K286" s="18">
        <f>IF(J286="CONTRADICTION","HIGH",IF(J286="DEPENDENCY GAP","MEDIUM","—"))</f>
        <v/>
      </c>
      <c r="L286" s="18">
        <f>IF(J286="CONTRADICTION","Strong upstream claim is not supported by linked downstream capability/evidence. Trigger: Programme portfolio review.",IF(J286="DEPENDENCY GAP","Downstream capability materially trails upstream expectation. Trigger: Programme portfolio review.",""))</f>
        <v/>
      </c>
    </row>
    <row r="287">
      <c r="A287" s="18" t="inlineStr">
        <is>
          <t>CD16</t>
        </is>
      </c>
      <c r="B287" s="18" t="inlineStr">
        <is>
          <t>D09-I10</t>
        </is>
      </c>
      <c r="C287" s="18" t="inlineStr">
        <is>
          <t>D04-I12</t>
        </is>
      </c>
      <c r="D287" s="18">
        <f>'P0-3_Scorecard'!L114</f>
        <v/>
      </c>
      <c r="E287" s="18">
        <f>'P0-3_Scorecard'!L54</f>
        <v/>
      </c>
      <c r="F287" s="18">
        <f>'P0-3_Scorecard'!M114</f>
        <v/>
      </c>
      <c r="G287" s="18">
        <f>'P0-3_Scorecard'!M54</f>
        <v/>
      </c>
      <c r="H287" s="18">
        <f>IF(OR(D287="",F287=""),"",D287-(F287*20))</f>
        <v/>
      </c>
      <c r="I287" s="18">
        <f>IF(OR(E287="",G287=""),"",E287-(G287*20))</f>
        <v/>
      </c>
      <c r="J287" s="18">
        <f>IF(OR(D287="",E287=""),"INCOMPLETE",IF(AND(D287&gt;=80,E287&lt;50),"CONTRADICTION",IF(AND(D287&gt;=70,E287&lt;70),"DEPENDENCY GAP","NO TRIGGER")))</f>
        <v/>
      </c>
      <c r="K287" s="18">
        <f>IF(J287="CONTRADICTION","HIGH",IF(J287="DEPENDENCY GAP","MEDIUM","—"))</f>
        <v/>
      </c>
      <c r="L287" s="18">
        <f>IF(J287="CONTRADICTION","Strong upstream claim is not supported by linked downstream capability/evidence. Trigger: Programme portfolio review.",IF(J287="DEPENDENCY GAP","Downstream capability materially trails upstream expectation. Trigger: Programme portfolio review.",""))</f>
        <v/>
      </c>
    </row>
    <row r="288">
      <c r="A288" s="18" t="inlineStr">
        <is>
          <t>CD16</t>
        </is>
      </c>
      <c r="B288" s="18" t="inlineStr">
        <is>
          <t>D09-I11</t>
        </is>
      </c>
      <c r="C288" s="18" t="inlineStr">
        <is>
          <t>D04-I01</t>
        </is>
      </c>
      <c r="D288" s="18">
        <f>'P0-3_Scorecard'!L115</f>
        <v/>
      </c>
      <c r="E288" s="18">
        <f>'P0-3_Scorecard'!L43</f>
        <v/>
      </c>
      <c r="F288" s="18">
        <f>'P0-3_Scorecard'!M115</f>
        <v/>
      </c>
      <c r="G288" s="18">
        <f>'P0-3_Scorecard'!M43</f>
        <v/>
      </c>
      <c r="H288" s="18">
        <f>IF(OR(D288="",F288=""),"",D288-(F288*20))</f>
        <v/>
      </c>
      <c r="I288" s="18">
        <f>IF(OR(E288="",G288=""),"",E288-(G288*20))</f>
        <v/>
      </c>
      <c r="J288" s="18">
        <f>IF(OR(D288="",E288=""),"INCOMPLETE",IF(AND(D288&gt;=80,E288&lt;50),"CONTRADICTION",IF(AND(D288&gt;=70,E288&lt;70),"DEPENDENCY GAP","NO TRIGGER")))</f>
        <v/>
      </c>
      <c r="K288" s="18">
        <f>IF(J288="CONTRADICTION","HIGH",IF(J288="DEPENDENCY GAP","MEDIUM","—"))</f>
        <v/>
      </c>
      <c r="L288" s="18">
        <f>IF(J288="CONTRADICTION","Strong upstream claim is not supported by linked downstream capability/evidence. Trigger: Programme portfolio review.",IF(J288="DEPENDENCY GAP","Downstream capability materially trails upstream expectation. Trigger: Programme portfolio review.",""))</f>
        <v/>
      </c>
    </row>
    <row r="289">
      <c r="A289" s="18" t="inlineStr">
        <is>
          <t>CD16</t>
        </is>
      </c>
      <c r="B289" s="18" t="inlineStr">
        <is>
          <t>D09-I11</t>
        </is>
      </c>
      <c r="C289" s="18" t="inlineStr">
        <is>
          <t>D04-I03</t>
        </is>
      </c>
      <c r="D289" s="18">
        <f>'P0-3_Scorecard'!L115</f>
        <v/>
      </c>
      <c r="E289" s="18">
        <f>'P0-3_Scorecard'!L45</f>
        <v/>
      </c>
      <c r="F289" s="18">
        <f>'P0-3_Scorecard'!M115</f>
        <v/>
      </c>
      <c r="G289" s="18">
        <f>'P0-3_Scorecard'!M45</f>
        <v/>
      </c>
      <c r="H289" s="18">
        <f>IF(OR(D289="",F289=""),"",D289-(F289*20))</f>
        <v/>
      </c>
      <c r="I289" s="18">
        <f>IF(OR(E289="",G289=""),"",E289-(G289*20))</f>
        <v/>
      </c>
      <c r="J289" s="18">
        <f>IF(OR(D289="",E289=""),"INCOMPLETE",IF(AND(D289&gt;=80,E289&lt;50),"CONTRADICTION",IF(AND(D289&gt;=70,E289&lt;70),"DEPENDENCY GAP","NO TRIGGER")))</f>
        <v/>
      </c>
      <c r="K289" s="18">
        <f>IF(J289="CONTRADICTION","HIGH",IF(J289="DEPENDENCY GAP","MEDIUM","—"))</f>
        <v/>
      </c>
      <c r="L289" s="18">
        <f>IF(J289="CONTRADICTION","Strong upstream claim is not supported by linked downstream capability/evidence. Trigger: Programme portfolio review.",IF(J289="DEPENDENCY GAP","Downstream capability materially trails upstream expectation. Trigger: Programme portfolio review.",""))</f>
        <v/>
      </c>
    </row>
    <row r="290">
      <c r="A290" s="18" t="inlineStr">
        <is>
          <t>CD16</t>
        </is>
      </c>
      <c r="B290" s="18" t="inlineStr">
        <is>
          <t>D09-I11</t>
        </is>
      </c>
      <c r="C290" s="18" t="inlineStr">
        <is>
          <t>D04-I08</t>
        </is>
      </c>
      <c r="D290" s="18">
        <f>'P0-3_Scorecard'!L115</f>
        <v/>
      </c>
      <c r="E290" s="18">
        <f>'P0-3_Scorecard'!L50</f>
        <v/>
      </c>
      <c r="F290" s="18">
        <f>'P0-3_Scorecard'!M115</f>
        <v/>
      </c>
      <c r="G290" s="18">
        <f>'P0-3_Scorecard'!M50</f>
        <v/>
      </c>
      <c r="H290" s="18">
        <f>IF(OR(D290="",F290=""),"",D290-(F290*20))</f>
        <v/>
      </c>
      <c r="I290" s="18">
        <f>IF(OR(E290="",G290=""),"",E290-(G290*20))</f>
        <v/>
      </c>
      <c r="J290" s="18">
        <f>IF(OR(D290="",E290=""),"INCOMPLETE",IF(AND(D290&gt;=80,E290&lt;50),"CONTRADICTION",IF(AND(D290&gt;=70,E290&lt;70),"DEPENDENCY GAP","NO TRIGGER")))</f>
        <v/>
      </c>
      <c r="K290" s="18">
        <f>IF(J290="CONTRADICTION","HIGH",IF(J290="DEPENDENCY GAP","MEDIUM","—"))</f>
        <v/>
      </c>
      <c r="L290" s="18">
        <f>IF(J290="CONTRADICTION","Strong upstream claim is not supported by linked downstream capability/evidence. Trigger: Programme portfolio review.",IF(J290="DEPENDENCY GAP","Downstream capability materially trails upstream expectation. Trigger: Programme portfolio review.",""))</f>
        <v/>
      </c>
    </row>
    <row r="291">
      <c r="A291" s="18" t="inlineStr">
        <is>
          <t>CD16</t>
        </is>
      </c>
      <c r="B291" s="18" t="inlineStr">
        <is>
          <t>D09-I11</t>
        </is>
      </c>
      <c r="C291" s="18" t="inlineStr">
        <is>
          <t>D04-I12</t>
        </is>
      </c>
      <c r="D291" s="18">
        <f>'P0-3_Scorecard'!L115</f>
        <v/>
      </c>
      <c r="E291" s="18">
        <f>'P0-3_Scorecard'!L54</f>
        <v/>
      </c>
      <c r="F291" s="18">
        <f>'P0-3_Scorecard'!M115</f>
        <v/>
      </c>
      <c r="G291" s="18">
        <f>'P0-3_Scorecard'!M54</f>
        <v/>
      </c>
      <c r="H291" s="18">
        <f>IF(OR(D291="",F291=""),"",D291-(F291*20))</f>
        <v/>
      </c>
      <c r="I291" s="18">
        <f>IF(OR(E291="",G291=""),"",E291-(G291*20))</f>
        <v/>
      </c>
      <c r="J291" s="18">
        <f>IF(OR(D291="",E291=""),"INCOMPLETE",IF(AND(D291&gt;=80,E291&lt;50),"CONTRADICTION",IF(AND(D291&gt;=70,E291&lt;70),"DEPENDENCY GAP","NO TRIGGER")))</f>
        <v/>
      </c>
      <c r="K291" s="18">
        <f>IF(J291="CONTRADICTION","HIGH",IF(J291="DEPENDENCY GAP","MEDIUM","—"))</f>
        <v/>
      </c>
      <c r="L291" s="18">
        <f>IF(J291="CONTRADICTION","Strong upstream claim is not supported by linked downstream capability/evidence. Trigger: Programme portfolio review.",IF(J291="DEPENDENCY GAP","Downstream capability materially trails upstream expectation. Trigger: Programme portfolio review.",""))</f>
        <v/>
      </c>
    </row>
    <row r="292">
      <c r="A292" s="18" t="inlineStr">
        <is>
          <t>CD17</t>
        </is>
      </c>
      <c r="B292" s="18" t="inlineStr">
        <is>
          <t>D09-I03</t>
        </is>
      </c>
      <c r="C292" s="18" t="inlineStr">
        <is>
          <t>D05-I02</t>
        </is>
      </c>
      <c r="D292" s="18">
        <f>'P0-3_Scorecard'!L107</f>
        <v/>
      </c>
      <c r="E292" s="18">
        <f>'P0-3_Scorecard'!L56</f>
        <v/>
      </c>
      <c r="F292" s="18">
        <f>'P0-3_Scorecard'!M107</f>
        <v/>
      </c>
      <c r="G292" s="18">
        <f>'P0-3_Scorecard'!M56</f>
        <v/>
      </c>
      <c r="H292" s="18">
        <f>IF(OR(D292="",F292=""),"",D292-(F292*20))</f>
        <v/>
      </c>
      <c r="I292" s="18">
        <f>IF(OR(E292="",G292=""),"",E292-(G292*20))</f>
        <v/>
      </c>
      <c r="J292" s="18">
        <f>IF(OR(D292="",E292=""),"INCOMPLETE",IF(AND(D292&gt;=80,E292&lt;50),"CONTRADICTION",IF(AND(D292&gt;=70,E292&lt;70),"DEPENDENCY GAP","NO TRIGGER")))</f>
        <v/>
      </c>
      <c r="K292" s="18">
        <f>IF(J292="CONTRADICTION","HIGH",IF(J292="DEPENDENCY GAP","MEDIUM","—"))</f>
        <v/>
      </c>
      <c r="L292" s="18">
        <f>IF(J292="CONTRADICTION","Strong upstream claim is not supported by linked downstream capability/evidence. Trigger: Faculty capability review.",IF(J292="DEPENDENCY GAP","Downstream capability materially trails upstream expectation. Trigger: Faculty capability review.",""))</f>
        <v/>
      </c>
    </row>
    <row r="293">
      <c r="A293" s="18" t="inlineStr">
        <is>
          <t>CD17</t>
        </is>
      </c>
      <c r="B293" s="18" t="inlineStr">
        <is>
          <t>D09-I03</t>
        </is>
      </c>
      <c r="C293" s="18" t="inlineStr">
        <is>
          <t>D05-I05</t>
        </is>
      </c>
      <c r="D293" s="18">
        <f>'P0-3_Scorecard'!L107</f>
        <v/>
      </c>
      <c r="E293" s="18">
        <f>'P0-3_Scorecard'!L59</f>
        <v/>
      </c>
      <c r="F293" s="18">
        <f>'P0-3_Scorecard'!M107</f>
        <v/>
      </c>
      <c r="G293" s="18">
        <f>'P0-3_Scorecard'!M59</f>
        <v/>
      </c>
      <c r="H293" s="18">
        <f>IF(OR(D293="",F293=""),"",D293-(F293*20))</f>
        <v/>
      </c>
      <c r="I293" s="18">
        <f>IF(OR(E293="",G293=""),"",E293-(G293*20))</f>
        <v/>
      </c>
      <c r="J293" s="18">
        <f>IF(OR(D293="",E293=""),"INCOMPLETE",IF(AND(D293&gt;=80,E293&lt;50),"CONTRADICTION",IF(AND(D293&gt;=70,E293&lt;70),"DEPENDENCY GAP","NO TRIGGER")))</f>
        <v/>
      </c>
      <c r="K293" s="18">
        <f>IF(J293="CONTRADICTION","HIGH",IF(J293="DEPENDENCY GAP","MEDIUM","—"))</f>
        <v/>
      </c>
      <c r="L293" s="18">
        <f>IF(J293="CONTRADICTION","Strong upstream claim is not supported by linked downstream capability/evidence. Trigger: Faculty capability review.",IF(J293="DEPENDENCY GAP","Downstream capability materially trails upstream expectation. Trigger: Faculty capability review.",""))</f>
        <v/>
      </c>
    </row>
    <row r="294">
      <c r="A294" s="18" t="inlineStr">
        <is>
          <t>CD17</t>
        </is>
      </c>
      <c r="B294" s="18" t="inlineStr">
        <is>
          <t>D09-I03</t>
        </is>
      </c>
      <c r="C294" s="18" t="inlineStr">
        <is>
          <t>D05-I08</t>
        </is>
      </c>
      <c r="D294" s="18">
        <f>'P0-3_Scorecard'!L107</f>
        <v/>
      </c>
      <c r="E294" s="18">
        <f>'P0-3_Scorecard'!L62</f>
        <v/>
      </c>
      <c r="F294" s="18">
        <f>'P0-3_Scorecard'!M107</f>
        <v/>
      </c>
      <c r="G294" s="18">
        <f>'P0-3_Scorecard'!M62</f>
        <v/>
      </c>
      <c r="H294" s="18">
        <f>IF(OR(D294="",F294=""),"",D294-(F294*20))</f>
        <v/>
      </c>
      <c r="I294" s="18">
        <f>IF(OR(E294="",G294=""),"",E294-(G294*20))</f>
        <v/>
      </c>
      <c r="J294" s="18">
        <f>IF(OR(D294="",E294=""),"INCOMPLETE",IF(AND(D294&gt;=80,E294&lt;50),"CONTRADICTION",IF(AND(D294&gt;=70,E294&lt;70),"DEPENDENCY GAP","NO TRIGGER")))</f>
        <v/>
      </c>
      <c r="K294" s="18">
        <f>IF(J294="CONTRADICTION","HIGH",IF(J294="DEPENDENCY GAP","MEDIUM","—"))</f>
        <v/>
      </c>
      <c r="L294" s="18">
        <f>IF(J294="CONTRADICTION","Strong upstream claim is not supported by linked downstream capability/evidence. Trigger: Faculty capability review.",IF(J294="DEPENDENCY GAP","Downstream capability materially trails upstream expectation. Trigger: Faculty capability review.",""))</f>
        <v/>
      </c>
    </row>
    <row r="295">
      <c r="A295" s="18" t="inlineStr">
        <is>
          <t>CD17</t>
        </is>
      </c>
      <c r="B295" s="18" t="inlineStr">
        <is>
          <t>D09-I03</t>
        </is>
      </c>
      <c r="C295" s="18" t="inlineStr">
        <is>
          <t>D05-I12</t>
        </is>
      </c>
      <c r="D295" s="18">
        <f>'P0-3_Scorecard'!L107</f>
        <v/>
      </c>
      <c r="E295" s="18">
        <f>'P0-3_Scorecard'!L66</f>
        <v/>
      </c>
      <c r="F295" s="18">
        <f>'P0-3_Scorecard'!M107</f>
        <v/>
      </c>
      <c r="G295" s="18">
        <f>'P0-3_Scorecard'!M66</f>
        <v/>
      </c>
      <c r="H295" s="18">
        <f>IF(OR(D295="",F295=""),"",D295-(F295*20))</f>
        <v/>
      </c>
      <c r="I295" s="18">
        <f>IF(OR(E295="",G295=""),"",E295-(G295*20))</f>
        <v/>
      </c>
      <c r="J295" s="18">
        <f>IF(OR(D295="",E295=""),"INCOMPLETE",IF(AND(D295&gt;=80,E295&lt;50),"CONTRADICTION",IF(AND(D295&gt;=70,E295&lt;70),"DEPENDENCY GAP","NO TRIGGER")))</f>
        <v/>
      </c>
      <c r="K295" s="18">
        <f>IF(J295="CONTRADICTION","HIGH",IF(J295="DEPENDENCY GAP","MEDIUM","—"))</f>
        <v/>
      </c>
      <c r="L295" s="18">
        <f>IF(J295="CONTRADICTION","Strong upstream claim is not supported by linked downstream capability/evidence. Trigger: Faculty capability review.",IF(J295="DEPENDENCY GAP","Downstream capability materially trails upstream expectation. Trigger: Faculty capability review.",""))</f>
        <v/>
      </c>
    </row>
    <row r="296">
      <c r="A296" s="18" t="inlineStr">
        <is>
          <t>CD17</t>
        </is>
      </c>
      <c r="B296" s="18" t="inlineStr">
        <is>
          <t>D09-I10</t>
        </is>
      </c>
      <c r="C296" s="18" t="inlineStr">
        <is>
          <t>D05-I02</t>
        </is>
      </c>
      <c r="D296" s="18">
        <f>'P0-3_Scorecard'!L114</f>
        <v/>
      </c>
      <c r="E296" s="18">
        <f>'P0-3_Scorecard'!L56</f>
        <v/>
      </c>
      <c r="F296" s="18">
        <f>'P0-3_Scorecard'!M114</f>
        <v/>
      </c>
      <c r="G296" s="18">
        <f>'P0-3_Scorecard'!M56</f>
        <v/>
      </c>
      <c r="H296" s="18">
        <f>IF(OR(D296="",F296=""),"",D296-(F296*20))</f>
        <v/>
      </c>
      <c r="I296" s="18">
        <f>IF(OR(E296="",G296=""),"",E296-(G296*20))</f>
        <v/>
      </c>
      <c r="J296" s="18">
        <f>IF(OR(D296="",E296=""),"INCOMPLETE",IF(AND(D296&gt;=80,E296&lt;50),"CONTRADICTION",IF(AND(D296&gt;=70,E296&lt;70),"DEPENDENCY GAP","NO TRIGGER")))</f>
        <v/>
      </c>
      <c r="K296" s="18">
        <f>IF(J296="CONTRADICTION","HIGH",IF(J296="DEPENDENCY GAP","MEDIUM","—"))</f>
        <v/>
      </c>
      <c r="L296" s="18">
        <f>IF(J296="CONTRADICTION","Strong upstream claim is not supported by linked downstream capability/evidence. Trigger: Faculty capability review.",IF(J296="DEPENDENCY GAP","Downstream capability materially trails upstream expectation. Trigger: Faculty capability review.",""))</f>
        <v/>
      </c>
    </row>
    <row r="297">
      <c r="A297" s="18" t="inlineStr">
        <is>
          <t>CD17</t>
        </is>
      </c>
      <c r="B297" s="18" t="inlineStr">
        <is>
          <t>D09-I10</t>
        </is>
      </c>
      <c r="C297" s="18" t="inlineStr">
        <is>
          <t>D05-I05</t>
        </is>
      </c>
      <c r="D297" s="18">
        <f>'P0-3_Scorecard'!L114</f>
        <v/>
      </c>
      <c r="E297" s="18">
        <f>'P0-3_Scorecard'!L59</f>
        <v/>
      </c>
      <c r="F297" s="18">
        <f>'P0-3_Scorecard'!M114</f>
        <v/>
      </c>
      <c r="G297" s="18">
        <f>'P0-3_Scorecard'!M59</f>
        <v/>
      </c>
      <c r="H297" s="18">
        <f>IF(OR(D297="",F297=""),"",D297-(F297*20))</f>
        <v/>
      </c>
      <c r="I297" s="18">
        <f>IF(OR(E297="",G297=""),"",E297-(G297*20))</f>
        <v/>
      </c>
      <c r="J297" s="18">
        <f>IF(OR(D297="",E297=""),"INCOMPLETE",IF(AND(D297&gt;=80,E297&lt;50),"CONTRADICTION",IF(AND(D297&gt;=70,E297&lt;70),"DEPENDENCY GAP","NO TRIGGER")))</f>
        <v/>
      </c>
      <c r="K297" s="18">
        <f>IF(J297="CONTRADICTION","HIGH",IF(J297="DEPENDENCY GAP","MEDIUM","—"))</f>
        <v/>
      </c>
      <c r="L297" s="18">
        <f>IF(J297="CONTRADICTION","Strong upstream claim is not supported by linked downstream capability/evidence. Trigger: Faculty capability review.",IF(J297="DEPENDENCY GAP","Downstream capability materially trails upstream expectation. Trigger: Faculty capability review.",""))</f>
        <v/>
      </c>
    </row>
    <row r="298">
      <c r="A298" s="18" t="inlineStr">
        <is>
          <t>CD17</t>
        </is>
      </c>
      <c r="B298" s="18" t="inlineStr">
        <is>
          <t>D09-I10</t>
        </is>
      </c>
      <c r="C298" s="18" t="inlineStr">
        <is>
          <t>D05-I08</t>
        </is>
      </c>
      <c r="D298" s="18">
        <f>'P0-3_Scorecard'!L114</f>
        <v/>
      </c>
      <c r="E298" s="18">
        <f>'P0-3_Scorecard'!L62</f>
        <v/>
      </c>
      <c r="F298" s="18">
        <f>'P0-3_Scorecard'!M114</f>
        <v/>
      </c>
      <c r="G298" s="18">
        <f>'P0-3_Scorecard'!M62</f>
        <v/>
      </c>
      <c r="H298" s="18">
        <f>IF(OR(D298="",F298=""),"",D298-(F298*20))</f>
        <v/>
      </c>
      <c r="I298" s="18">
        <f>IF(OR(E298="",G298=""),"",E298-(G298*20))</f>
        <v/>
      </c>
      <c r="J298" s="18">
        <f>IF(OR(D298="",E298=""),"INCOMPLETE",IF(AND(D298&gt;=80,E298&lt;50),"CONTRADICTION",IF(AND(D298&gt;=70,E298&lt;70),"DEPENDENCY GAP","NO TRIGGER")))</f>
        <v/>
      </c>
      <c r="K298" s="18">
        <f>IF(J298="CONTRADICTION","HIGH",IF(J298="DEPENDENCY GAP","MEDIUM","—"))</f>
        <v/>
      </c>
      <c r="L298" s="18">
        <f>IF(J298="CONTRADICTION","Strong upstream claim is not supported by linked downstream capability/evidence. Trigger: Faculty capability review.",IF(J298="DEPENDENCY GAP","Downstream capability materially trails upstream expectation. Trigger: Faculty capability review.",""))</f>
        <v/>
      </c>
    </row>
    <row r="299">
      <c r="A299" s="18" t="inlineStr">
        <is>
          <t>CD17</t>
        </is>
      </c>
      <c r="B299" s="18" t="inlineStr">
        <is>
          <t>D09-I10</t>
        </is>
      </c>
      <c r="C299" s="18" t="inlineStr">
        <is>
          <t>D05-I12</t>
        </is>
      </c>
      <c r="D299" s="18">
        <f>'P0-3_Scorecard'!L114</f>
        <v/>
      </c>
      <c r="E299" s="18">
        <f>'P0-3_Scorecard'!L66</f>
        <v/>
      </c>
      <c r="F299" s="18">
        <f>'P0-3_Scorecard'!M114</f>
        <v/>
      </c>
      <c r="G299" s="18">
        <f>'P0-3_Scorecard'!M66</f>
        <v/>
      </c>
      <c r="H299" s="18">
        <f>IF(OR(D299="",F299=""),"",D299-(F299*20))</f>
        <v/>
      </c>
      <c r="I299" s="18">
        <f>IF(OR(E299="",G299=""),"",E299-(G299*20))</f>
        <v/>
      </c>
      <c r="J299" s="18">
        <f>IF(OR(D299="",E299=""),"INCOMPLETE",IF(AND(D299&gt;=80,E299&lt;50),"CONTRADICTION",IF(AND(D299&gt;=70,E299&lt;70),"DEPENDENCY GAP","NO TRIGGER")))</f>
        <v/>
      </c>
      <c r="K299" s="18">
        <f>IF(J299="CONTRADICTION","HIGH",IF(J299="DEPENDENCY GAP","MEDIUM","—"))</f>
        <v/>
      </c>
      <c r="L299" s="18">
        <f>IF(J299="CONTRADICTION","Strong upstream claim is not supported by linked downstream capability/evidence. Trigger: Faculty capability review.",IF(J299="DEPENDENCY GAP","Downstream capability materially trails upstream expectation. Trigger: Faculty capability review.",""))</f>
        <v/>
      </c>
    </row>
    <row r="300">
      <c r="A300" s="18" t="inlineStr">
        <is>
          <t>CD18</t>
        </is>
      </c>
      <c r="B300" s="18" t="inlineStr">
        <is>
          <t>D09-I05</t>
        </is>
      </c>
      <c r="C300" s="18" t="inlineStr">
        <is>
          <t>D06-I07</t>
        </is>
      </c>
      <c r="D300" s="18">
        <f>'P0-3_Scorecard'!L109</f>
        <v/>
      </c>
      <c r="E300" s="18">
        <f>'P0-3_Scorecard'!L73</f>
        <v/>
      </c>
      <c r="F300" s="18">
        <f>'P0-3_Scorecard'!M109</f>
        <v/>
      </c>
      <c r="G300" s="18">
        <f>'P0-3_Scorecard'!M73</f>
        <v/>
      </c>
      <c r="H300" s="18">
        <f>IF(OR(D300="",F300=""),"",D300-(F300*20))</f>
        <v/>
      </c>
      <c r="I300" s="18">
        <f>IF(OR(E300="",G300=""),"",E300-(G300*20))</f>
        <v/>
      </c>
      <c r="J300" s="18">
        <f>IF(OR(D300="",E300=""),"INCOMPLETE",IF(AND(D300&gt;=80,E300&lt;50),"CONTRADICTION",IF(AND(D300&gt;=70,E300&lt;70),"DEPENDENCY GAP","NO TRIGGER")))</f>
        <v/>
      </c>
      <c r="K300" s="18">
        <f>IF(J300="CONTRADICTION","HIGH",IF(J300="DEPENDENCY GAP","MEDIUM","—"))</f>
        <v/>
      </c>
      <c r="L300" s="18">
        <f>IF(J300="CONTRADICTION","Strong upstream claim is not supported by linked downstream capability/evidence. Trigger: Student development review.",IF(J300="DEPENDENCY GAP","Downstream capability materially trails upstream expectation. Trigger: Student development review.",""))</f>
        <v/>
      </c>
    </row>
    <row r="301">
      <c r="A301" s="18" t="inlineStr">
        <is>
          <t>CD18</t>
        </is>
      </c>
      <c r="B301" s="18" t="inlineStr">
        <is>
          <t>D09-I05</t>
        </is>
      </c>
      <c r="C301" s="18" t="inlineStr">
        <is>
          <t>D06-I08</t>
        </is>
      </c>
      <c r="D301" s="18">
        <f>'P0-3_Scorecard'!L109</f>
        <v/>
      </c>
      <c r="E301" s="18">
        <f>'P0-3_Scorecard'!L74</f>
        <v/>
      </c>
      <c r="F301" s="18">
        <f>'P0-3_Scorecard'!M109</f>
        <v/>
      </c>
      <c r="G301" s="18">
        <f>'P0-3_Scorecard'!M74</f>
        <v/>
      </c>
      <c r="H301" s="18">
        <f>IF(OR(D301="",F301=""),"",D301-(F301*20))</f>
        <v/>
      </c>
      <c r="I301" s="18">
        <f>IF(OR(E301="",G301=""),"",E301-(G301*20))</f>
        <v/>
      </c>
      <c r="J301" s="18">
        <f>IF(OR(D301="",E301=""),"INCOMPLETE",IF(AND(D301&gt;=80,E301&lt;50),"CONTRADICTION",IF(AND(D301&gt;=70,E301&lt;70),"DEPENDENCY GAP","NO TRIGGER")))</f>
        <v/>
      </c>
      <c r="K301" s="18">
        <f>IF(J301="CONTRADICTION","HIGH",IF(J301="DEPENDENCY GAP","MEDIUM","—"))</f>
        <v/>
      </c>
      <c r="L301" s="18">
        <f>IF(J301="CONTRADICTION","Strong upstream claim is not supported by linked downstream capability/evidence. Trigger: Student development review.",IF(J301="DEPENDENCY GAP","Downstream capability materially trails upstream expectation. Trigger: Student development review.",""))</f>
        <v/>
      </c>
    </row>
    <row r="302">
      <c r="A302" s="18" t="inlineStr">
        <is>
          <t>CD18</t>
        </is>
      </c>
      <c r="B302" s="18" t="inlineStr">
        <is>
          <t>D09-I05</t>
        </is>
      </c>
      <c r="C302" s="18" t="inlineStr">
        <is>
          <t>D06-I09</t>
        </is>
      </c>
      <c r="D302" s="18">
        <f>'P0-3_Scorecard'!L109</f>
        <v/>
      </c>
      <c r="E302" s="18">
        <f>'P0-3_Scorecard'!L75</f>
        <v/>
      </c>
      <c r="F302" s="18">
        <f>'P0-3_Scorecard'!M109</f>
        <v/>
      </c>
      <c r="G302" s="18">
        <f>'P0-3_Scorecard'!M75</f>
        <v/>
      </c>
      <c r="H302" s="18">
        <f>IF(OR(D302="",F302=""),"",D302-(F302*20))</f>
        <v/>
      </c>
      <c r="I302" s="18">
        <f>IF(OR(E302="",G302=""),"",E302-(G302*20))</f>
        <v/>
      </c>
      <c r="J302" s="18">
        <f>IF(OR(D302="",E302=""),"INCOMPLETE",IF(AND(D302&gt;=80,E302&lt;50),"CONTRADICTION",IF(AND(D302&gt;=70,E302&lt;70),"DEPENDENCY GAP","NO TRIGGER")))</f>
        <v/>
      </c>
      <c r="K302" s="18">
        <f>IF(J302="CONTRADICTION","HIGH",IF(J302="DEPENDENCY GAP","MEDIUM","—"))</f>
        <v/>
      </c>
      <c r="L302" s="18">
        <f>IF(J302="CONTRADICTION","Strong upstream claim is not supported by linked downstream capability/evidence. Trigger: Student development review.",IF(J302="DEPENDENCY GAP","Downstream capability materially trails upstream expectation. Trigger: Student development review.",""))</f>
        <v/>
      </c>
    </row>
    <row r="303">
      <c r="A303" s="18" t="inlineStr">
        <is>
          <t>CD18</t>
        </is>
      </c>
      <c r="B303" s="18" t="inlineStr">
        <is>
          <t>D09-I05</t>
        </is>
      </c>
      <c r="C303" s="18" t="inlineStr">
        <is>
          <t>D06-I14</t>
        </is>
      </c>
      <c r="D303" s="18">
        <f>'P0-3_Scorecard'!L109</f>
        <v/>
      </c>
      <c r="E303" s="18">
        <f>'P0-3_Scorecard'!L80</f>
        <v/>
      </c>
      <c r="F303" s="18">
        <f>'P0-3_Scorecard'!M109</f>
        <v/>
      </c>
      <c r="G303" s="18">
        <f>'P0-3_Scorecard'!M80</f>
        <v/>
      </c>
      <c r="H303" s="18">
        <f>IF(OR(D303="",F303=""),"",D303-(F303*20))</f>
        <v/>
      </c>
      <c r="I303" s="18">
        <f>IF(OR(E303="",G303=""),"",E303-(G303*20))</f>
        <v/>
      </c>
      <c r="J303" s="18">
        <f>IF(OR(D303="",E303=""),"INCOMPLETE",IF(AND(D303&gt;=80,E303&lt;50),"CONTRADICTION",IF(AND(D303&gt;=70,E303&lt;70),"DEPENDENCY GAP","NO TRIGGER")))</f>
        <v/>
      </c>
      <c r="K303" s="18">
        <f>IF(J303="CONTRADICTION","HIGH",IF(J303="DEPENDENCY GAP","MEDIUM","—"))</f>
        <v/>
      </c>
      <c r="L303" s="18">
        <f>IF(J303="CONTRADICTION","Strong upstream claim is not supported by linked downstream capability/evidence. Trigger: Student development review.",IF(J303="DEPENDENCY GAP","Downstream capability materially trails upstream expectation. Trigger: Student development review.",""))</f>
        <v/>
      </c>
    </row>
    <row r="304">
      <c r="A304" s="18" t="inlineStr">
        <is>
          <t>CD18</t>
        </is>
      </c>
      <c r="B304" s="18" t="inlineStr">
        <is>
          <t>D09-I06</t>
        </is>
      </c>
      <c r="C304" s="18" t="inlineStr">
        <is>
          <t>D06-I07</t>
        </is>
      </c>
      <c r="D304" s="18">
        <f>'P0-3_Scorecard'!L110</f>
        <v/>
      </c>
      <c r="E304" s="18">
        <f>'P0-3_Scorecard'!L73</f>
        <v/>
      </c>
      <c r="F304" s="18">
        <f>'P0-3_Scorecard'!M110</f>
        <v/>
      </c>
      <c r="G304" s="18">
        <f>'P0-3_Scorecard'!M73</f>
        <v/>
      </c>
      <c r="H304" s="18">
        <f>IF(OR(D304="",F304=""),"",D304-(F304*20))</f>
        <v/>
      </c>
      <c r="I304" s="18">
        <f>IF(OR(E304="",G304=""),"",E304-(G304*20))</f>
        <v/>
      </c>
      <c r="J304" s="18">
        <f>IF(OR(D304="",E304=""),"INCOMPLETE",IF(AND(D304&gt;=80,E304&lt;50),"CONTRADICTION",IF(AND(D304&gt;=70,E304&lt;70),"DEPENDENCY GAP","NO TRIGGER")))</f>
        <v/>
      </c>
      <c r="K304" s="18">
        <f>IF(J304="CONTRADICTION","HIGH",IF(J304="DEPENDENCY GAP","MEDIUM","—"))</f>
        <v/>
      </c>
      <c r="L304" s="18">
        <f>IF(J304="CONTRADICTION","Strong upstream claim is not supported by linked downstream capability/evidence. Trigger: Student development review.",IF(J304="DEPENDENCY GAP","Downstream capability materially trails upstream expectation. Trigger: Student development review.",""))</f>
        <v/>
      </c>
    </row>
    <row r="305">
      <c r="A305" s="18" t="inlineStr">
        <is>
          <t>CD18</t>
        </is>
      </c>
      <c r="B305" s="18" t="inlineStr">
        <is>
          <t>D09-I06</t>
        </is>
      </c>
      <c r="C305" s="18" t="inlineStr">
        <is>
          <t>D06-I08</t>
        </is>
      </c>
      <c r="D305" s="18">
        <f>'P0-3_Scorecard'!L110</f>
        <v/>
      </c>
      <c r="E305" s="18">
        <f>'P0-3_Scorecard'!L74</f>
        <v/>
      </c>
      <c r="F305" s="18">
        <f>'P0-3_Scorecard'!M110</f>
        <v/>
      </c>
      <c r="G305" s="18">
        <f>'P0-3_Scorecard'!M74</f>
        <v/>
      </c>
      <c r="H305" s="18">
        <f>IF(OR(D305="",F305=""),"",D305-(F305*20))</f>
        <v/>
      </c>
      <c r="I305" s="18">
        <f>IF(OR(E305="",G305=""),"",E305-(G305*20))</f>
        <v/>
      </c>
      <c r="J305" s="18">
        <f>IF(OR(D305="",E305=""),"INCOMPLETE",IF(AND(D305&gt;=80,E305&lt;50),"CONTRADICTION",IF(AND(D305&gt;=70,E305&lt;70),"DEPENDENCY GAP","NO TRIGGER")))</f>
        <v/>
      </c>
      <c r="K305" s="18">
        <f>IF(J305="CONTRADICTION","HIGH",IF(J305="DEPENDENCY GAP","MEDIUM","—"))</f>
        <v/>
      </c>
      <c r="L305" s="18">
        <f>IF(J305="CONTRADICTION","Strong upstream claim is not supported by linked downstream capability/evidence. Trigger: Student development review.",IF(J305="DEPENDENCY GAP","Downstream capability materially trails upstream expectation. Trigger: Student development review.",""))</f>
        <v/>
      </c>
    </row>
    <row r="306">
      <c r="A306" s="18" t="inlineStr">
        <is>
          <t>CD18</t>
        </is>
      </c>
      <c r="B306" s="18" t="inlineStr">
        <is>
          <t>D09-I06</t>
        </is>
      </c>
      <c r="C306" s="18" t="inlineStr">
        <is>
          <t>D06-I09</t>
        </is>
      </c>
      <c r="D306" s="18">
        <f>'P0-3_Scorecard'!L110</f>
        <v/>
      </c>
      <c r="E306" s="18">
        <f>'P0-3_Scorecard'!L75</f>
        <v/>
      </c>
      <c r="F306" s="18">
        <f>'P0-3_Scorecard'!M110</f>
        <v/>
      </c>
      <c r="G306" s="18">
        <f>'P0-3_Scorecard'!M75</f>
        <v/>
      </c>
      <c r="H306" s="18">
        <f>IF(OR(D306="",F306=""),"",D306-(F306*20))</f>
        <v/>
      </c>
      <c r="I306" s="18">
        <f>IF(OR(E306="",G306=""),"",E306-(G306*20))</f>
        <v/>
      </c>
      <c r="J306" s="18">
        <f>IF(OR(D306="",E306=""),"INCOMPLETE",IF(AND(D306&gt;=80,E306&lt;50),"CONTRADICTION",IF(AND(D306&gt;=70,E306&lt;70),"DEPENDENCY GAP","NO TRIGGER")))</f>
        <v/>
      </c>
      <c r="K306" s="18">
        <f>IF(J306="CONTRADICTION","HIGH",IF(J306="DEPENDENCY GAP","MEDIUM","—"))</f>
        <v/>
      </c>
      <c r="L306" s="18">
        <f>IF(J306="CONTRADICTION","Strong upstream claim is not supported by linked downstream capability/evidence. Trigger: Student development review.",IF(J306="DEPENDENCY GAP","Downstream capability materially trails upstream expectation. Trigger: Student development review.",""))</f>
        <v/>
      </c>
    </row>
    <row r="307">
      <c r="A307" s="18" t="inlineStr">
        <is>
          <t>CD18</t>
        </is>
      </c>
      <c r="B307" s="18" t="inlineStr">
        <is>
          <t>D09-I06</t>
        </is>
      </c>
      <c r="C307" s="18" t="inlineStr">
        <is>
          <t>D06-I14</t>
        </is>
      </c>
      <c r="D307" s="18">
        <f>'P0-3_Scorecard'!L110</f>
        <v/>
      </c>
      <c r="E307" s="18">
        <f>'P0-3_Scorecard'!L80</f>
        <v/>
      </c>
      <c r="F307" s="18">
        <f>'P0-3_Scorecard'!M110</f>
        <v/>
      </c>
      <c r="G307" s="18">
        <f>'P0-3_Scorecard'!M80</f>
        <v/>
      </c>
      <c r="H307" s="18">
        <f>IF(OR(D307="",F307=""),"",D307-(F307*20))</f>
        <v/>
      </c>
      <c r="I307" s="18">
        <f>IF(OR(E307="",G307=""),"",E307-(G307*20))</f>
        <v/>
      </c>
      <c r="J307" s="18">
        <f>IF(OR(D307="",E307=""),"INCOMPLETE",IF(AND(D307&gt;=80,E307&lt;50),"CONTRADICTION",IF(AND(D307&gt;=70,E307&lt;70),"DEPENDENCY GAP","NO TRIGGER")))</f>
        <v/>
      </c>
      <c r="K307" s="18">
        <f>IF(J307="CONTRADICTION","HIGH",IF(J307="DEPENDENCY GAP","MEDIUM","—"))</f>
        <v/>
      </c>
      <c r="L307" s="18">
        <f>IF(J307="CONTRADICTION","Strong upstream claim is not supported by linked downstream capability/evidence. Trigger: Student development review.",IF(J307="DEPENDENCY GAP","Downstream capability materially trails upstream expectation. Trigger: Student development review.",""))</f>
        <v/>
      </c>
    </row>
    <row r="308">
      <c r="A308" s="18" t="inlineStr">
        <is>
          <t>CD18</t>
        </is>
      </c>
      <c r="B308" s="18" t="inlineStr">
        <is>
          <t>D09-I07</t>
        </is>
      </c>
      <c r="C308" s="18" t="inlineStr">
        <is>
          <t>D06-I07</t>
        </is>
      </c>
      <c r="D308" s="18">
        <f>'P0-3_Scorecard'!L111</f>
        <v/>
      </c>
      <c r="E308" s="18">
        <f>'P0-3_Scorecard'!L73</f>
        <v/>
      </c>
      <c r="F308" s="18">
        <f>'P0-3_Scorecard'!M111</f>
        <v/>
      </c>
      <c r="G308" s="18">
        <f>'P0-3_Scorecard'!M73</f>
        <v/>
      </c>
      <c r="H308" s="18">
        <f>IF(OR(D308="",F308=""),"",D308-(F308*20))</f>
        <v/>
      </c>
      <c r="I308" s="18">
        <f>IF(OR(E308="",G308=""),"",E308-(G308*20))</f>
        <v/>
      </c>
      <c r="J308" s="18">
        <f>IF(OR(D308="",E308=""),"INCOMPLETE",IF(AND(D308&gt;=80,E308&lt;50),"CONTRADICTION",IF(AND(D308&gt;=70,E308&lt;70),"DEPENDENCY GAP","NO TRIGGER")))</f>
        <v/>
      </c>
      <c r="K308" s="18">
        <f>IF(J308="CONTRADICTION","HIGH",IF(J308="DEPENDENCY GAP","MEDIUM","—"))</f>
        <v/>
      </c>
      <c r="L308" s="18">
        <f>IF(J308="CONTRADICTION","Strong upstream claim is not supported by linked downstream capability/evidence. Trigger: Student development review.",IF(J308="DEPENDENCY GAP","Downstream capability materially trails upstream expectation. Trigger: Student development review.",""))</f>
        <v/>
      </c>
    </row>
    <row r="309">
      <c r="A309" s="18" t="inlineStr">
        <is>
          <t>CD18</t>
        </is>
      </c>
      <c r="B309" s="18" t="inlineStr">
        <is>
          <t>D09-I07</t>
        </is>
      </c>
      <c r="C309" s="18" t="inlineStr">
        <is>
          <t>D06-I08</t>
        </is>
      </c>
      <c r="D309" s="18">
        <f>'P0-3_Scorecard'!L111</f>
        <v/>
      </c>
      <c r="E309" s="18">
        <f>'P0-3_Scorecard'!L74</f>
        <v/>
      </c>
      <c r="F309" s="18">
        <f>'P0-3_Scorecard'!M111</f>
        <v/>
      </c>
      <c r="G309" s="18">
        <f>'P0-3_Scorecard'!M74</f>
        <v/>
      </c>
      <c r="H309" s="18">
        <f>IF(OR(D309="",F309=""),"",D309-(F309*20))</f>
        <v/>
      </c>
      <c r="I309" s="18">
        <f>IF(OR(E309="",G309=""),"",E309-(G309*20))</f>
        <v/>
      </c>
      <c r="J309" s="18">
        <f>IF(OR(D309="",E309=""),"INCOMPLETE",IF(AND(D309&gt;=80,E309&lt;50),"CONTRADICTION",IF(AND(D309&gt;=70,E309&lt;70),"DEPENDENCY GAP","NO TRIGGER")))</f>
        <v/>
      </c>
      <c r="K309" s="18">
        <f>IF(J309="CONTRADICTION","HIGH",IF(J309="DEPENDENCY GAP","MEDIUM","—"))</f>
        <v/>
      </c>
      <c r="L309" s="18">
        <f>IF(J309="CONTRADICTION","Strong upstream claim is not supported by linked downstream capability/evidence. Trigger: Student development review.",IF(J309="DEPENDENCY GAP","Downstream capability materially trails upstream expectation. Trigger: Student development review.",""))</f>
        <v/>
      </c>
    </row>
    <row r="310">
      <c r="A310" s="18" t="inlineStr">
        <is>
          <t>CD18</t>
        </is>
      </c>
      <c r="B310" s="18" t="inlineStr">
        <is>
          <t>D09-I07</t>
        </is>
      </c>
      <c r="C310" s="18" t="inlineStr">
        <is>
          <t>D06-I09</t>
        </is>
      </c>
      <c r="D310" s="18">
        <f>'P0-3_Scorecard'!L111</f>
        <v/>
      </c>
      <c r="E310" s="18">
        <f>'P0-3_Scorecard'!L75</f>
        <v/>
      </c>
      <c r="F310" s="18">
        <f>'P0-3_Scorecard'!M111</f>
        <v/>
      </c>
      <c r="G310" s="18">
        <f>'P0-3_Scorecard'!M75</f>
        <v/>
      </c>
      <c r="H310" s="18">
        <f>IF(OR(D310="",F310=""),"",D310-(F310*20))</f>
        <v/>
      </c>
      <c r="I310" s="18">
        <f>IF(OR(E310="",G310=""),"",E310-(G310*20))</f>
        <v/>
      </c>
      <c r="J310" s="18">
        <f>IF(OR(D310="",E310=""),"INCOMPLETE",IF(AND(D310&gt;=80,E310&lt;50),"CONTRADICTION",IF(AND(D310&gt;=70,E310&lt;70),"DEPENDENCY GAP","NO TRIGGER")))</f>
        <v/>
      </c>
      <c r="K310" s="18">
        <f>IF(J310="CONTRADICTION","HIGH",IF(J310="DEPENDENCY GAP","MEDIUM","—"))</f>
        <v/>
      </c>
      <c r="L310" s="18">
        <f>IF(J310="CONTRADICTION","Strong upstream claim is not supported by linked downstream capability/evidence. Trigger: Student development review.",IF(J310="DEPENDENCY GAP","Downstream capability materially trails upstream expectation. Trigger: Student development review.",""))</f>
        <v/>
      </c>
    </row>
    <row r="311">
      <c r="A311" s="18" t="inlineStr">
        <is>
          <t>CD18</t>
        </is>
      </c>
      <c r="B311" s="18" t="inlineStr">
        <is>
          <t>D09-I07</t>
        </is>
      </c>
      <c r="C311" s="18" t="inlineStr">
        <is>
          <t>D06-I14</t>
        </is>
      </c>
      <c r="D311" s="18">
        <f>'P0-3_Scorecard'!L111</f>
        <v/>
      </c>
      <c r="E311" s="18">
        <f>'P0-3_Scorecard'!L80</f>
        <v/>
      </c>
      <c r="F311" s="18">
        <f>'P0-3_Scorecard'!M111</f>
        <v/>
      </c>
      <c r="G311" s="18">
        <f>'P0-3_Scorecard'!M80</f>
        <v/>
      </c>
      <c r="H311" s="18">
        <f>IF(OR(D311="",F311=""),"",D311-(F311*20))</f>
        <v/>
      </c>
      <c r="I311" s="18">
        <f>IF(OR(E311="",G311=""),"",E311-(G311*20))</f>
        <v/>
      </c>
      <c r="J311" s="18">
        <f>IF(OR(D311="",E311=""),"INCOMPLETE",IF(AND(D311&gt;=80,E311&lt;50),"CONTRADICTION",IF(AND(D311&gt;=70,E311&lt;70),"DEPENDENCY GAP","NO TRIGGER")))</f>
        <v/>
      </c>
      <c r="K311" s="18">
        <f>IF(J311="CONTRADICTION","HIGH",IF(J311="DEPENDENCY GAP","MEDIUM","—"))</f>
        <v/>
      </c>
      <c r="L311" s="18">
        <f>IF(J311="CONTRADICTION","Strong upstream claim is not supported by linked downstream capability/evidence. Trigger: Student development review.",IF(J311="DEPENDENCY GAP","Downstream capability materially trails upstream expectation. Trigger: Student development review.",""))</f>
        <v/>
      </c>
    </row>
    <row r="312">
      <c r="A312" s="18" t="inlineStr">
        <is>
          <t>CD18</t>
        </is>
      </c>
      <c r="B312" s="18" t="inlineStr">
        <is>
          <t>D09-I12</t>
        </is>
      </c>
      <c r="C312" s="18" t="inlineStr">
        <is>
          <t>D06-I07</t>
        </is>
      </c>
      <c r="D312" s="18">
        <f>'P0-3_Scorecard'!L116</f>
        <v/>
      </c>
      <c r="E312" s="18">
        <f>'P0-3_Scorecard'!L73</f>
        <v/>
      </c>
      <c r="F312" s="18">
        <f>'P0-3_Scorecard'!M116</f>
        <v/>
      </c>
      <c r="G312" s="18">
        <f>'P0-3_Scorecard'!M73</f>
        <v/>
      </c>
      <c r="H312" s="18">
        <f>IF(OR(D312="",F312=""),"",D312-(F312*20))</f>
        <v/>
      </c>
      <c r="I312" s="18">
        <f>IF(OR(E312="",G312=""),"",E312-(G312*20))</f>
        <v/>
      </c>
      <c r="J312" s="18">
        <f>IF(OR(D312="",E312=""),"INCOMPLETE",IF(AND(D312&gt;=80,E312&lt;50),"CONTRADICTION",IF(AND(D312&gt;=70,E312&lt;70),"DEPENDENCY GAP","NO TRIGGER")))</f>
        <v/>
      </c>
      <c r="K312" s="18">
        <f>IF(J312="CONTRADICTION","HIGH",IF(J312="DEPENDENCY GAP","MEDIUM","—"))</f>
        <v/>
      </c>
      <c r="L312" s="18">
        <f>IF(J312="CONTRADICTION","Strong upstream claim is not supported by linked downstream capability/evidence. Trigger: Student development review.",IF(J312="DEPENDENCY GAP","Downstream capability materially trails upstream expectation. Trigger: Student development review.",""))</f>
        <v/>
      </c>
    </row>
    <row r="313">
      <c r="A313" s="18" t="inlineStr">
        <is>
          <t>CD18</t>
        </is>
      </c>
      <c r="B313" s="18" t="inlineStr">
        <is>
          <t>D09-I12</t>
        </is>
      </c>
      <c r="C313" s="18" t="inlineStr">
        <is>
          <t>D06-I08</t>
        </is>
      </c>
      <c r="D313" s="18">
        <f>'P0-3_Scorecard'!L116</f>
        <v/>
      </c>
      <c r="E313" s="18">
        <f>'P0-3_Scorecard'!L74</f>
        <v/>
      </c>
      <c r="F313" s="18">
        <f>'P0-3_Scorecard'!M116</f>
        <v/>
      </c>
      <c r="G313" s="18">
        <f>'P0-3_Scorecard'!M74</f>
        <v/>
      </c>
      <c r="H313" s="18">
        <f>IF(OR(D313="",F313=""),"",D313-(F313*20))</f>
        <v/>
      </c>
      <c r="I313" s="18">
        <f>IF(OR(E313="",G313=""),"",E313-(G313*20))</f>
        <v/>
      </c>
      <c r="J313" s="18">
        <f>IF(OR(D313="",E313=""),"INCOMPLETE",IF(AND(D313&gt;=80,E313&lt;50),"CONTRADICTION",IF(AND(D313&gt;=70,E313&lt;70),"DEPENDENCY GAP","NO TRIGGER")))</f>
        <v/>
      </c>
      <c r="K313" s="18">
        <f>IF(J313="CONTRADICTION","HIGH",IF(J313="DEPENDENCY GAP","MEDIUM","—"))</f>
        <v/>
      </c>
      <c r="L313" s="18">
        <f>IF(J313="CONTRADICTION","Strong upstream claim is not supported by linked downstream capability/evidence. Trigger: Student development review.",IF(J313="DEPENDENCY GAP","Downstream capability materially trails upstream expectation. Trigger: Student development review.",""))</f>
        <v/>
      </c>
    </row>
    <row r="314">
      <c r="A314" s="18" t="inlineStr">
        <is>
          <t>CD18</t>
        </is>
      </c>
      <c r="B314" s="18" t="inlineStr">
        <is>
          <t>D09-I12</t>
        </is>
      </c>
      <c r="C314" s="18" t="inlineStr">
        <is>
          <t>D06-I09</t>
        </is>
      </c>
      <c r="D314" s="18">
        <f>'P0-3_Scorecard'!L116</f>
        <v/>
      </c>
      <c r="E314" s="18">
        <f>'P0-3_Scorecard'!L75</f>
        <v/>
      </c>
      <c r="F314" s="18">
        <f>'P0-3_Scorecard'!M116</f>
        <v/>
      </c>
      <c r="G314" s="18">
        <f>'P0-3_Scorecard'!M75</f>
        <v/>
      </c>
      <c r="H314" s="18">
        <f>IF(OR(D314="",F314=""),"",D314-(F314*20))</f>
        <v/>
      </c>
      <c r="I314" s="18">
        <f>IF(OR(E314="",G314=""),"",E314-(G314*20))</f>
        <v/>
      </c>
      <c r="J314" s="18">
        <f>IF(OR(D314="",E314=""),"INCOMPLETE",IF(AND(D314&gt;=80,E314&lt;50),"CONTRADICTION",IF(AND(D314&gt;=70,E314&lt;70),"DEPENDENCY GAP","NO TRIGGER")))</f>
        <v/>
      </c>
      <c r="K314" s="18">
        <f>IF(J314="CONTRADICTION","HIGH",IF(J314="DEPENDENCY GAP","MEDIUM","—"))</f>
        <v/>
      </c>
      <c r="L314" s="18">
        <f>IF(J314="CONTRADICTION","Strong upstream claim is not supported by linked downstream capability/evidence. Trigger: Student development review.",IF(J314="DEPENDENCY GAP","Downstream capability materially trails upstream expectation. Trigger: Student development review.",""))</f>
        <v/>
      </c>
    </row>
    <row r="315">
      <c r="A315" s="18" t="inlineStr">
        <is>
          <t>CD18</t>
        </is>
      </c>
      <c r="B315" s="18" t="inlineStr">
        <is>
          <t>D09-I12</t>
        </is>
      </c>
      <c r="C315" s="18" t="inlineStr">
        <is>
          <t>D06-I14</t>
        </is>
      </c>
      <c r="D315" s="18">
        <f>'P0-3_Scorecard'!L116</f>
        <v/>
      </c>
      <c r="E315" s="18">
        <f>'P0-3_Scorecard'!L80</f>
        <v/>
      </c>
      <c r="F315" s="18">
        <f>'P0-3_Scorecard'!M116</f>
        <v/>
      </c>
      <c r="G315" s="18">
        <f>'P0-3_Scorecard'!M80</f>
        <v/>
      </c>
      <c r="H315" s="18">
        <f>IF(OR(D315="",F315=""),"",D315-(F315*20))</f>
        <v/>
      </c>
      <c r="I315" s="18">
        <f>IF(OR(E315="",G315=""),"",E315-(G315*20))</f>
        <v/>
      </c>
      <c r="J315" s="18">
        <f>IF(OR(D315="",E315=""),"INCOMPLETE",IF(AND(D315&gt;=80,E315&lt;50),"CONTRADICTION",IF(AND(D315&gt;=70,E315&lt;70),"DEPENDENCY GAP","NO TRIGGER")))</f>
        <v/>
      </c>
      <c r="K315" s="18">
        <f>IF(J315="CONTRADICTION","HIGH",IF(J315="DEPENDENCY GAP","MEDIUM","—"))</f>
        <v/>
      </c>
      <c r="L315" s="18">
        <f>IF(J315="CONTRADICTION","Strong upstream claim is not supported by linked downstream capability/evidence. Trigger: Student development review.",IF(J315="DEPENDENCY GAP","Downstream capability materially trails upstream expectation. Trigger: Student development review.",""))</f>
        <v/>
      </c>
    </row>
    <row r="316">
      <c r="A316" s="18" t="inlineStr">
        <is>
          <t>CD19</t>
        </is>
      </c>
      <c r="B316" s="18" t="inlineStr">
        <is>
          <t>D10-I03</t>
        </is>
      </c>
      <c r="C316" s="18" t="inlineStr">
        <is>
          <t>D03-I05</t>
        </is>
      </c>
      <c r="D316" s="18">
        <f>'P0-3_Scorecard'!L119</f>
        <v/>
      </c>
      <c r="E316" s="18">
        <f>'P0-3_Scorecard'!L30</f>
        <v/>
      </c>
      <c r="F316" s="18">
        <f>'P0-3_Scorecard'!M119</f>
        <v/>
      </c>
      <c r="G316" s="18">
        <f>'P0-3_Scorecard'!M30</f>
        <v/>
      </c>
      <c r="H316" s="18">
        <f>IF(OR(D316="",F316=""),"",D316-(F316*20))</f>
        <v/>
      </c>
      <c r="I316" s="18">
        <f>IF(OR(E316="",G316=""),"",E316-(G316*20))</f>
        <v/>
      </c>
      <c r="J316" s="18">
        <f>IF(OR(D316="",E316=""),"INCOMPLETE",IF(AND(D316&gt;=80,E316&lt;50),"CONTRADICTION",IF(AND(D316&gt;=70,E316&lt;70),"DEPENDENCY GAP","NO TRIGGER")))</f>
        <v/>
      </c>
      <c r="K316" s="18">
        <f>IF(J316="CONTRADICTION","HIGH",IF(J316="DEPENDENCY GAP","MEDIUM","—"))</f>
        <v/>
      </c>
      <c r="L316" s="18">
        <f>IF(J316="CONTRADICTION","Strong upstream claim is not supported by linked downstream capability/evidence. Trigger: Research-learning review.",IF(J316="DEPENDENCY GAP","Downstream capability materially trails upstream expectation. Trigger: Research-learning review.",""))</f>
        <v/>
      </c>
    </row>
    <row r="317">
      <c r="A317" s="18" t="inlineStr">
        <is>
          <t>CD19</t>
        </is>
      </c>
      <c r="B317" s="18" t="inlineStr">
        <is>
          <t>D10-I03</t>
        </is>
      </c>
      <c r="C317" s="18" t="inlineStr">
        <is>
          <t>D03-I06</t>
        </is>
      </c>
      <c r="D317" s="18">
        <f>'P0-3_Scorecard'!L119</f>
        <v/>
      </c>
      <c r="E317" s="18">
        <f>'P0-3_Scorecard'!L31</f>
        <v/>
      </c>
      <c r="F317" s="18">
        <f>'P0-3_Scorecard'!M119</f>
        <v/>
      </c>
      <c r="G317" s="18">
        <f>'P0-3_Scorecard'!M31</f>
        <v/>
      </c>
      <c r="H317" s="18">
        <f>IF(OR(D317="",F317=""),"",D317-(F317*20))</f>
        <v/>
      </c>
      <c r="I317" s="18">
        <f>IF(OR(E317="",G317=""),"",E317-(G317*20))</f>
        <v/>
      </c>
      <c r="J317" s="18">
        <f>IF(OR(D317="",E317=""),"INCOMPLETE",IF(AND(D317&gt;=80,E317&lt;50),"CONTRADICTION",IF(AND(D317&gt;=70,E317&lt;70),"DEPENDENCY GAP","NO TRIGGER")))</f>
        <v/>
      </c>
      <c r="K317" s="18">
        <f>IF(J317="CONTRADICTION","HIGH",IF(J317="DEPENDENCY GAP","MEDIUM","—"))</f>
        <v/>
      </c>
      <c r="L317" s="18">
        <f>IF(J317="CONTRADICTION","Strong upstream claim is not supported by linked downstream capability/evidence. Trigger: Research-learning review.",IF(J317="DEPENDENCY GAP","Downstream capability materially trails upstream expectation. Trigger: Research-learning review.",""))</f>
        <v/>
      </c>
    </row>
    <row r="318">
      <c r="A318" s="18" t="inlineStr">
        <is>
          <t>CD19</t>
        </is>
      </c>
      <c r="B318" s="18" t="inlineStr">
        <is>
          <t>D10-I03</t>
        </is>
      </c>
      <c r="C318" s="18" t="inlineStr">
        <is>
          <t>D03-I07</t>
        </is>
      </c>
      <c r="D318" s="18">
        <f>'P0-3_Scorecard'!L119</f>
        <v/>
      </c>
      <c r="E318" s="18">
        <f>'P0-3_Scorecard'!L32</f>
        <v/>
      </c>
      <c r="F318" s="18">
        <f>'P0-3_Scorecard'!M119</f>
        <v/>
      </c>
      <c r="G318" s="18">
        <f>'P0-3_Scorecard'!M32</f>
        <v/>
      </c>
      <c r="H318" s="18">
        <f>IF(OR(D318="",F318=""),"",D318-(F318*20))</f>
        <v/>
      </c>
      <c r="I318" s="18">
        <f>IF(OR(E318="",G318=""),"",E318-(G318*20))</f>
        <v/>
      </c>
      <c r="J318" s="18">
        <f>IF(OR(D318="",E318=""),"INCOMPLETE",IF(AND(D318&gt;=80,E318&lt;50),"CONTRADICTION",IF(AND(D318&gt;=70,E318&lt;70),"DEPENDENCY GAP","NO TRIGGER")))</f>
        <v/>
      </c>
      <c r="K318" s="18">
        <f>IF(J318="CONTRADICTION","HIGH",IF(J318="DEPENDENCY GAP","MEDIUM","—"))</f>
        <v/>
      </c>
      <c r="L318" s="18">
        <f>IF(J318="CONTRADICTION","Strong upstream claim is not supported by linked downstream capability/evidence. Trigger: Research-learning review.",IF(J318="DEPENDENCY GAP","Downstream capability materially trails upstream expectation. Trigger: Research-learning review.",""))</f>
        <v/>
      </c>
    </row>
    <row r="319">
      <c r="A319" s="18" t="inlineStr">
        <is>
          <t>CD19</t>
        </is>
      </c>
      <c r="B319" s="18" t="inlineStr">
        <is>
          <t>D10-I03</t>
        </is>
      </c>
      <c r="C319" s="18" t="inlineStr">
        <is>
          <t>D03-I13</t>
        </is>
      </c>
      <c r="D319" s="18">
        <f>'P0-3_Scorecard'!L119</f>
        <v/>
      </c>
      <c r="E319" s="18">
        <f>'P0-3_Scorecard'!L38</f>
        <v/>
      </c>
      <c r="F319" s="18">
        <f>'P0-3_Scorecard'!M119</f>
        <v/>
      </c>
      <c r="G319" s="18">
        <f>'P0-3_Scorecard'!M38</f>
        <v/>
      </c>
      <c r="H319" s="18">
        <f>IF(OR(D319="",F319=""),"",D319-(F319*20))</f>
        <v/>
      </c>
      <c r="I319" s="18">
        <f>IF(OR(E319="",G319=""),"",E319-(G319*20))</f>
        <v/>
      </c>
      <c r="J319" s="18">
        <f>IF(OR(D319="",E319=""),"INCOMPLETE",IF(AND(D319&gt;=80,E319&lt;50),"CONTRADICTION",IF(AND(D319&gt;=70,E319&lt;70),"DEPENDENCY GAP","NO TRIGGER")))</f>
        <v/>
      </c>
      <c r="K319" s="18">
        <f>IF(J319="CONTRADICTION","HIGH",IF(J319="DEPENDENCY GAP","MEDIUM","—"))</f>
        <v/>
      </c>
      <c r="L319" s="18">
        <f>IF(J319="CONTRADICTION","Strong upstream claim is not supported by linked downstream capability/evidence. Trigger: Research-learning review.",IF(J319="DEPENDENCY GAP","Downstream capability materially trails upstream expectation. Trigger: Research-learning review.",""))</f>
        <v/>
      </c>
    </row>
    <row r="320">
      <c r="A320" s="18" t="inlineStr">
        <is>
          <t>CD19</t>
        </is>
      </c>
      <c r="B320" s="18" t="inlineStr">
        <is>
          <t>D10-I03</t>
        </is>
      </c>
      <c r="C320" s="18" t="inlineStr">
        <is>
          <t>D03-I16</t>
        </is>
      </c>
      <c r="D320" s="18">
        <f>'P0-3_Scorecard'!L119</f>
        <v/>
      </c>
      <c r="E320" s="18">
        <f>'P0-3_Scorecard'!L41</f>
        <v/>
      </c>
      <c r="F320" s="18">
        <f>'P0-3_Scorecard'!M119</f>
        <v/>
      </c>
      <c r="G320" s="18">
        <f>'P0-3_Scorecard'!M41</f>
        <v/>
      </c>
      <c r="H320" s="18">
        <f>IF(OR(D320="",F320=""),"",D320-(F320*20))</f>
        <v/>
      </c>
      <c r="I320" s="18">
        <f>IF(OR(E320="",G320=""),"",E320-(G320*20))</f>
        <v/>
      </c>
      <c r="J320" s="18">
        <f>IF(OR(D320="",E320=""),"INCOMPLETE",IF(AND(D320&gt;=80,E320&lt;50),"CONTRADICTION",IF(AND(D320&gt;=70,E320&lt;70),"DEPENDENCY GAP","NO TRIGGER")))</f>
        <v/>
      </c>
      <c r="K320" s="18">
        <f>IF(J320="CONTRADICTION","HIGH",IF(J320="DEPENDENCY GAP","MEDIUM","—"))</f>
        <v/>
      </c>
      <c r="L320" s="18">
        <f>IF(J320="CONTRADICTION","Strong upstream claim is not supported by linked downstream capability/evidence. Trigger: Research-learning review.",IF(J320="DEPENDENCY GAP","Downstream capability materially trails upstream expectation. Trigger: Research-learning review.",""))</f>
        <v/>
      </c>
    </row>
    <row r="321">
      <c r="A321" s="18" t="inlineStr">
        <is>
          <t>CD19</t>
        </is>
      </c>
      <c r="B321" s="18" t="inlineStr">
        <is>
          <t>D10-I08</t>
        </is>
      </c>
      <c r="C321" s="18" t="inlineStr">
        <is>
          <t>D03-I05</t>
        </is>
      </c>
      <c r="D321" s="18">
        <f>'P0-3_Scorecard'!L124</f>
        <v/>
      </c>
      <c r="E321" s="18">
        <f>'P0-3_Scorecard'!L30</f>
        <v/>
      </c>
      <c r="F321" s="18">
        <f>'P0-3_Scorecard'!M124</f>
        <v/>
      </c>
      <c r="G321" s="18">
        <f>'P0-3_Scorecard'!M30</f>
        <v/>
      </c>
      <c r="H321" s="18">
        <f>IF(OR(D321="",F321=""),"",D321-(F321*20))</f>
        <v/>
      </c>
      <c r="I321" s="18">
        <f>IF(OR(E321="",G321=""),"",E321-(G321*20))</f>
        <v/>
      </c>
      <c r="J321" s="18">
        <f>IF(OR(D321="",E321=""),"INCOMPLETE",IF(AND(D321&gt;=80,E321&lt;50),"CONTRADICTION",IF(AND(D321&gt;=70,E321&lt;70),"DEPENDENCY GAP","NO TRIGGER")))</f>
        <v/>
      </c>
      <c r="K321" s="18">
        <f>IF(J321="CONTRADICTION","HIGH",IF(J321="DEPENDENCY GAP","MEDIUM","—"))</f>
        <v/>
      </c>
      <c r="L321" s="18">
        <f>IF(J321="CONTRADICTION","Strong upstream claim is not supported by linked downstream capability/evidence. Trigger: Research-learning review.",IF(J321="DEPENDENCY GAP","Downstream capability materially trails upstream expectation. Trigger: Research-learning review.",""))</f>
        <v/>
      </c>
    </row>
    <row r="322">
      <c r="A322" s="18" t="inlineStr">
        <is>
          <t>CD19</t>
        </is>
      </c>
      <c r="B322" s="18" t="inlineStr">
        <is>
          <t>D10-I08</t>
        </is>
      </c>
      <c r="C322" s="18" t="inlineStr">
        <is>
          <t>D03-I06</t>
        </is>
      </c>
      <c r="D322" s="18">
        <f>'P0-3_Scorecard'!L124</f>
        <v/>
      </c>
      <c r="E322" s="18">
        <f>'P0-3_Scorecard'!L31</f>
        <v/>
      </c>
      <c r="F322" s="18">
        <f>'P0-3_Scorecard'!M124</f>
        <v/>
      </c>
      <c r="G322" s="18">
        <f>'P0-3_Scorecard'!M31</f>
        <v/>
      </c>
      <c r="H322" s="18">
        <f>IF(OR(D322="",F322=""),"",D322-(F322*20))</f>
        <v/>
      </c>
      <c r="I322" s="18">
        <f>IF(OR(E322="",G322=""),"",E322-(G322*20))</f>
        <v/>
      </c>
      <c r="J322" s="18">
        <f>IF(OR(D322="",E322=""),"INCOMPLETE",IF(AND(D322&gt;=80,E322&lt;50),"CONTRADICTION",IF(AND(D322&gt;=70,E322&lt;70),"DEPENDENCY GAP","NO TRIGGER")))</f>
        <v/>
      </c>
      <c r="K322" s="18">
        <f>IF(J322="CONTRADICTION","HIGH",IF(J322="DEPENDENCY GAP","MEDIUM","—"))</f>
        <v/>
      </c>
      <c r="L322" s="18">
        <f>IF(J322="CONTRADICTION","Strong upstream claim is not supported by linked downstream capability/evidence. Trigger: Research-learning review.",IF(J322="DEPENDENCY GAP","Downstream capability materially trails upstream expectation. Trigger: Research-learning review.",""))</f>
        <v/>
      </c>
    </row>
    <row r="323">
      <c r="A323" s="18" t="inlineStr">
        <is>
          <t>CD19</t>
        </is>
      </c>
      <c r="B323" s="18" t="inlineStr">
        <is>
          <t>D10-I08</t>
        </is>
      </c>
      <c r="C323" s="18" t="inlineStr">
        <is>
          <t>D03-I07</t>
        </is>
      </c>
      <c r="D323" s="18">
        <f>'P0-3_Scorecard'!L124</f>
        <v/>
      </c>
      <c r="E323" s="18">
        <f>'P0-3_Scorecard'!L32</f>
        <v/>
      </c>
      <c r="F323" s="18">
        <f>'P0-3_Scorecard'!M124</f>
        <v/>
      </c>
      <c r="G323" s="18">
        <f>'P0-3_Scorecard'!M32</f>
        <v/>
      </c>
      <c r="H323" s="18">
        <f>IF(OR(D323="",F323=""),"",D323-(F323*20))</f>
        <v/>
      </c>
      <c r="I323" s="18">
        <f>IF(OR(E323="",G323=""),"",E323-(G323*20))</f>
        <v/>
      </c>
      <c r="J323" s="18">
        <f>IF(OR(D323="",E323=""),"INCOMPLETE",IF(AND(D323&gt;=80,E323&lt;50),"CONTRADICTION",IF(AND(D323&gt;=70,E323&lt;70),"DEPENDENCY GAP","NO TRIGGER")))</f>
        <v/>
      </c>
      <c r="K323" s="18">
        <f>IF(J323="CONTRADICTION","HIGH",IF(J323="DEPENDENCY GAP","MEDIUM","—"))</f>
        <v/>
      </c>
      <c r="L323" s="18">
        <f>IF(J323="CONTRADICTION","Strong upstream claim is not supported by linked downstream capability/evidence. Trigger: Research-learning review.",IF(J323="DEPENDENCY GAP","Downstream capability materially trails upstream expectation. Trigger: Research-learning review.",""))</f>
        <v/>
      </c>
    </row>
    <row r="324">
      <c r="A324" s="18" t="inlineStr">
        <is>
          <t>CD19</t>
        </is>
      </c>
      <c r="B324" s="18" t="inlineStr">
        <is>
          <t>D10-I08</t>
        </is>
      </c>
      <c r="C324" s="18" t="inlineStr">
        <is>
          <t>D03-I13</t>
        </is>
      </c>
      <c r="D324" s="18">
        <f>'P0-3_Scorecard'!L124</f>
        <v/>
      </c>
      <c r="E324" s="18">
        <f>'P0-3_Scorecard'!L38</f>
        <v/>
      </c>
      <c r="F324" s="18">
        <f>'P0-3_Scorecard'!M124</f>
        <v/>
      </c>
      <c r="G324" s="18">
        <f>'P0-3_Scorecard'!M38</f>
        <v/>
      </c>
      <c r="H324" s="18">
        <f>IF(OR(D324="",F324=""),"",D324-(F324*20))</f>
        <v/>
      </c>
      <c r="I324" s="18">
        <f>IF(OR(E324="",G324=""),"",E324-(G324*20))</f>
        <v/>
      </c>
      <c r="J324" s="18">
        <f>IF(OR(D324="",E324=""),"INCOMPLETE",IF(AND(D324&gt;=80,E324&lt;50),"CONTRADICTION",IF(AND(D324&gt;=70,E324&lt;70),"DEPENDENCY GAP","NO TRIGGER")))</f>
        <v/>
      </c>
      <c r="K324" s="18">
        <f>IF(J324="CONTRADICTION","HIGH",IF(J324="DEPENDENCY GAP","MEDIUM","—"))</f>
        <v/>
      </c>
      <c r="L324" s="18">
        <f>IF(J324="CONTRADICTION","Strong upstream claim is not supported by linked downstream capability/evidence. Trigger: Research-learning review.",IF(J324="DEPENDENCY GAP","Downstream capability materially trails upstream expectation. Trigger: Research-learning review.",""))</f>
        <v/>
      </c>
    </row>
    <row r="325">
      <c r="A325" s="18" t="inlineStr">
        <is>
          <t>CD19</t>
        </is>
      </c>
      <c r="B325" s="18" t="inlineStr">
        <is>
          <t>D10-I08</t>
        </is>
      </c>
      <c r="C325" s="18" t="inlineStr">
        <is>
          <t>D03-I16</t>
        </is>
      </c>
      <c r="D325" s="18">
        <f>'P0-3_Scorecard'!L124</f>
        <v/>
      </c>
      <c r="E325" s="18">
        <f>'P0-3_Scorecard'!L41</f>
        <v/>
      </c>
      <c r="F325" s="18">
        <f>'P0-3_Scorecard'!M124</f>
        <v/>
      </c>
      <c r="G325" s="18">
        <f>'P0-3_Scorecard'!M41</f>
        <v/>
      </c>
      <c r="H325" s="18">
        <f>IF(OR(D325="",F325=""),"",D325-(F325*20))</f>
        <v/>
      </c>
      <c r="I325" s="18">
        <f>IF(OR(E325="",G325=""),"",E325-(G325*20))</f>
        <v/>
      </c>
      <c r="J325" s="18">
        <f>IF(OR(D325="",E325=""),"INCOMPLETE",IF(AND(D325&gt;=80,E325&lt;50),"CONTRADICTION",IF(AND(D325&gt;=70,E325&lt;70),"DEPENDENCY GAP","NO TRIGGER")))</f>
        <v/>
      </c>
      <c r="K325" s="18">
        <f>IF(J325="CONTRADICTION","HIGH",IF(J325="DEPENDENCY GAP","MEDIUM","—"))</f>
        <v/>
      </c>
      <c r="L325" s="18">
        <f>IF(J325="CONTRADICTION","Strong upstream claim is not supported by linked downstream capability/evidence. Trigger: Research-learning review.",IF(J325="DEPENDENCY GAP","Downstream capability materially trails upstream expectation. Trigger: Research-learning review.",""))</f>
        <v/>
      </c>
    </row>
    <row r="326">
      <c r="A326" s="18" t="inlineStr">
        <is>
          <t>CD19</t>
        </is>
      </c>
      <c r="B326" s="18" t="inlineStr">
        <is>
          <t>D10-I14</t>
        </is>
      </c>
      <c r="C326" s="18" t="inlineStr">
        <is>
          <t>D03-I05</t>
        </is>
      </c>
      <c r="D326" s="18">
        <f>'P0-3_Scorecard'!L130</f>
        <v/>
      </c>
      <c r="E326" s="18">
        <f>'P0-3_Scorecard'!L30</f>
        <v/>
      </c>
      <c r="F326" s="18">
        <f>'P0-3_Scorecard'!M130</f>
        <v/>
      </c>
      <c r="G326" s="18">
        <f>'P0-3_Scorecard'!M30</f>
        <v/>
      </c>
      <c r="H326" s="18">
        <f>IF(OR(D326="",F326=""),"",D326-(F326*20))</f>
        <v/>
      </c>
      <c r="I326" s="18">
        <f>IF(OR(E326="",G326=""),"",E326-(G326*20))</f>
        <v/>
      </c>
      <c r="J326" s="18">
        <f>IF(OR(D326="",E326=""),"INCOMPLETE",IF(AND(D326&gt;=80,E326&lt;50),"CONTRADICTION",IF(AND(D326&gt;=70,E326&lt;70),"DEPENDENCY GAP","NO TRIGGER")))</f>
        <v/>
      </c>
      <c r="K326" s="18">
        <f>IF(J326="CONTRADICTION","HIGH",IF(J326="DEPENDENCY GAP","MEDIUM","—"))</f>
        <v/>
      </c>
      <c r="L326" s="18">
        <f>IF(J326="CONTRADICTION","Strong upstream claim is not supported by linked downstream capability/evidence. Trigger: Research-learning review.",IF(J326="DEPENDENCY GAP","Downstream capability materially trails upstream expectation. Trigger: Research-learning review.",""))</f>
        <v/>
      </c>
    </row>
    <row r="327">
      <c r="A327" s="18" t="inlineStr">
        <is>
          <t>CD19</t>
        </is>
      </c>
      <c r="B327" s="18" t="inlineStr">
        <is>
          <t>D10-I14</t>
        </is>
      </c>
      <c r="C327" s="18" t="inlineStr">
        <is>
          <t>D03-I06</t>
        </is>
      </c>
      <c r="D327" s="18">
        <f>'P0-3_Scorecard'!L130</f>
        <v/>
      </c>
      <c r="E327" s="18">
        <f>'P0-3_Scorecard'!L31</f>
        <v/>
      </c>
      <c r="F327" s="18">
        <f>'P0-3_Scorecard'!M130</f>
        <v/>
      </c>
      <c r="G327" s="18">
        <f>'P0-3_Scorecard'!M31</f>
        <v/>
      </c>
      <c r="H327" s="18">
        <f>IF(OR(D327="",F327=""),"",D327-(F327*20))</f>
        <v/>
      </c>
      <c r="I327" s="18">
        <f>IF(OR(E327="",G327=""),"",E327-(G327*20))</f>
        <v/>
      </c>
      <c r="J327" s="18">
        <f>IF(OR(D327="",E327=""),"INCOMPLETE",IF(AND(D327&gt;=80,E327&lt;50),"CONTRADICTION",IF(AND(D327&gt;=70,E327&lt;70),"DEPENDENCY GAP","NO TRIGGER")))</f>
        <v/>
      </c>
      <c r="K327" s="18">
        <f>IF(J327="CONTRADICTION","HIGH",IF(J327="DEPENDENCY GAP","MEDIUM","—"))</f>
        <v/>
      </c>
      <c r="L327" s="18">
        <f>IF(J327="CONTRADICTION","Strong upstream claim is not supported by linked downstream capability/evidence. Trigger: Research-learning review.",IF(J327="DEPENDENCY GAP","Downstream capability materially trails upstream expectation. Trigger: Research-learning review.",""))</f>
        <v/>
      </c>
    </row>
    <row r="328">
      <c r="A328" s="18" t="inlineStr">
        <is>
          <t>CD19</t>
        </is>
      </c>
      <c r="B328" s="18" t="inlineStr">
        <is>
          <t>D10-I14</t>
        </is>
      </c>
      <c r="C328" s="18" t="inlineStr">
        <is>
          <t>D03-I07</t>
        </is>
      </c>
      <c r="D328" s="18">
        <f>'P0-3_Scorecard'!L130</f>
        <v/>
      </c>
      <c r="E328" s="18">
        <f>'P0-3_Scorecard'!L32</f>
        <v/>
      </c>
      <c r="F328" s="18">
        <f>'P0-3_Scorecard'!M130</f>
        <v/>
      </c>
      <c r="G328" s="18">
        <f>'P0-3_Scorecard'!M32</f>
        <v/>
      </c>
      <c r="H328" s="18">
        <f>IF(OR(D328="",F328=""),"",D328-(F328*20))</f>
        <v/>
      </c>
      <c r="I328" s="18">
        <f>IF(OR(E328="",G328=""),"",E328-(G328*20))</f>
        <v/>
      </c>
      <c r="J328" s="18">
        <f>IF(OR(D328="",E328=""),"INCOMPLETE",IF(AND(D328&gt;=80,E328&lt;50),"CONTRADICTION",IF(AND(D328&gt;=70,E328&lt;70),"DEPENDENCY GAP","NO TRIGGER")))</f>
        <v/>
      </c>
      <c r="K328" s="18">
        <f>IF(J328="CONTRADICTION","HIGH",IF(J328="DEPENDENCY GAP","MEDIUM","—"))</f>
        <v/>
      </c>
      <c r="L328" s="18">
        <f>IF(J328="CONTRADICTION","Strong upstream claim is not supported by linked downstream capability/evidence. Trigger: Research-learning review.",IF(J328="DEPENDENCY GAP","Downstream capability materially trails upstream expectation. Trigger: Research-learning review.",""))</f>
        <v/>
      </c>
    </row>
    <row r="329">
      <c r="A329" s="18" t="inlineStr">
        <is>
          <t>CD19</t>
        </is>
      </c>
      <c r="B329" s="18" t="inlineStr">
        <is>
          <t>D10-I14</t>
        </is>
      </c>
      <c r="C329" s="18" t="inlineStr">
        <is>
          <t>D03-I13</t>
        </is>
      </c>
      <c r="D329" s="18">
        <f>'P0-3_Scorecard'!L130</f>
        <v/>
      </c>
      <c r="E329" s="18">
        <f>'P0-3_Scorecard'!L38</f>
        <v/>
      </c>
      <c r="F329" s="18">
        <f>'P0-3_Scorecard'!M130</f>
        <v/>
      </c>
      <c r="G329" s="18">
        <f>'P0-3_Scorecard'!M38</f>
        <v/>
      </c>
      <c r="H329" s="18">
        <f>IF(OR(D329="",F329=""),"",D329-(F329*20))</f>
        <v/>
      </c>
      <c r="I329" s="18">
        <f>IF(OR(E329="",G329=""),"",E329-(G329*20))</f>
        <v/>
      </c>
      <c r="J329" s="18">
        <f>IF(OR(D329="",E329=""),"INCOMPLETE",IF(AND(D329&gt;=80,E329&lt;50),"CONTRADICTION",IF(AND(D329&gt;=70,E329&lt;70),"DEPENDENCY GAP","NO TRIGGER")))</f>
        <v/>
      </c>
      <c r="K329" s="18">
        <f>IF(J329="CONTRADICTION","HIGH",IF(J329="DEPENDENCY GAP","MEDIUM","—"))</f>
        <v/>
      </c>
      <c r="L329" s="18">
        <f>IF(J329="CONTRADICTION","Strong upstream claim is not supported by linked downstream capability/evidence. Trigger: Research-learning review.",IF(J329="DEPENDENCY GAP","Downstream capability materially trails upstream expectation. Trigger: Research-learning review.",""))</f>
        <v/>
      </c>
    </row>
    <row r="330">
      <c r="A330" s="18" t="inlineStr">
        <is>
          <t>CD19</t>
        </is>
      </c>
      <c r="B330" s="18" t="inlineStr">
        <is>
          <t>D10-I14</t>
        </is>
      </c>
      <c r="C330" s="18" t="inlineStr">
        <is>
          <t>D03-I16</t>
        </is>
      </c>
      <c r="D330" s="18">
        <f>'P0-3_Scorecard'!L130</f>
        <v/>
      </c>
      <c r="E330" s="18">
        <f>'P0-3_Scorecard'!L41</f>
        <v/>
      </c>
      <c r="F330" s="18">
        <f>'P0-3_Scorecard'!M130</f>
        <v/>
      </c>
      <c r="G330" s="18">
        <f>'P0-3_Scorecard'!M41</f>
        <v/>
      </c>
      <c r="H330" s="18">
        <f>IF(OR(D330="",F330=""),"",D330-(F330*20))</f>
        <v/>
      </c>
      <c r="I330" s="18">
        <f>IF(OR(E330="",G330=""),"",E330-(G330*20))</f>
        <v/>
      </c>
      <c r="J330" s="18">
        <f>IF(OR(D330="",E330=""),"INCOMPLETE",IF(AND(D330&gt;=80,E330&lt;50),"CONTRADICTION",IF(AND(D330&gt;=70,E330&lt;70),"DEPENDENCY GAP","NO TRIGGER")))</f>
        <v/>
      </c>
      <c r="K330" s="18">
        <f>IF(J330="CONTRADICTION","HIGH",IF(J330="DEPENDENCY GAP","MEDIUM","—"))</f>
        <v/>
      </c>
      <c r="L330" s="18">
        <f>IF(J330="CONTRADICTION","Strong upstream claim is not supported by linked downstream capability/evidence. Trigger: Research-learning review.",IF(J330="DEPENDENCY GAP","Downstream capability materially trails upstream expectation. Trigger: Research-learning review.",""))</f>
        <v/>
      </c>
    </row>
    <row r="331">
      <c r="A331" s="18" t="inlineStr">
        <is>
          <t>CD20</t>
        </is>
      </c>
      <c r="B331" s="18" t="inlineStr">
        <is>
          <t>D10-I08</t>
        </is>
      </c>
      <c r="C331" s="18" t="inlineStr">
        <is>
          <t>D09-I05</t>
        </is>
      </c>
      <c r="D331" s="18">
        <f>'P0-3_Scorecard'!L124</f>
        <v/>
      </c>
      <c r="E331" s="18">
        <f>'P0-3_Scorecard'!L109</f>
        <v/>
      </c>
      <c r="F331" s="18">
        <f>'P0-3_Scorecard'!M124</f>
        <v/>
      </c>
      <c r="G331" s="18">
        <f>'P0-3_Scorecard'!M109</f>
        <v/>
      </c>
      <c r="H331" s="18">
        <f>IF(OR(D331="",F331=""),"",D331-(F331*20))</f>
        <v/>
      </c>
      <c r="I331" s="18">
        <f>IF(OR(E331="",G331=""),"",E331-(G331*20))</f>
        <v/>
      </c>
      <c r="J331" s="18">
        <f>IF(OR(D331="",E331=""),"INCOMPLETE",IF(AND(D331&gt;=80,E331&lt;50),"CONTRADICTION",IF(AND(D331&gt;=70,E331&lt;70),"DEPENDENCY GAP","NO TRIGGER")))</f>
        <v/>
      </c>
      <c r="K331" s="18">
        <f>IF(J331="CONTRADICTION","HIGH",IF(J331="DEPENDENCY GAP","MEDIUM","—"))</f>
        <v/>
      </c>
      <c r="L331" s="18">
        <f>IF(J331="CONTRADICTION","Strong upstream claim is not supported by linked downstream capability/evidence. Trigger: Translation review.",IF(J331="DEPENDENCY GAP","Downstream capability materially trails upstream expectation. Trigger: Translation review.",""))</f>
        <v/>
      </c>
    </row>
    <row r="332">
      <c r="A332" s="18" t="inlineStr">
        <is>
          <t>CD20</t>
        </is>
      </c>
      <c r="B332" s="18" t="inlineStr">
        <is>
          <t>D10-I08</t>
        </is>
      </c>
      <c r="C332" s="18" t="inlineStr">
        <is>
          <t>D09-I10</t>
        </is>
      </c>
      <c r="D332" s="18">
        <f>'P0-3_Scorecard'!L124</f>
        <v/>
      </c>
      <c r="E332" s="18">
        <f>'P0-3_Scorecard'!L114</f>
        <v/>
      </c>
      <c r="F332" s="18">
        <f>'P0-3_Scorecard'!M124</f>
        <v/>
      </c>
      <c r="G332" s="18">
        <f>'P0-3_Scorecard'!M114</f>
        <v/>
      </c>
      <c r="H332" s="18">
        <f>IF(OR(D332="",F332=""),"",D332-(F332*20))</f>
        <v/>
      </c>
      <c r="I332" s="18">
        <f>IF(OR(E332="",G332=""),"",E332-(G332*20))</f>
        <v/>
      </c>
      <c r="J332" s="18">
        <f>IF(OR(D332="",E332=""),"INCOMPLETE",IF(AND(D332&gt;=80,E332&lt;50),"CONTRADICTION",IF(AND(D332&gt;=70,E332&lt;70),"DEPENDENCY GAP","NO TRIGGER")))</f>
        <v/>
      </c>
      <c r="K332" s="18">
        <f>IF(J332="CONTRADICTION","HIGH",IF(J332="DEPENDENCY GAP","MEDIUM","—"))</f>
        <v/>
      </c>
      <c r="L332" s="18">
        <f>IF(J332="CONTRADICTION","Strong upstream claim is not supported by linked downstream capability/evidence. Trigger: Translation review.",IF(J332="DEPENDENCY GAP","Downstream capability materially trails upstream expectation. Trigger: Translation review.",""))</f>
        <v/>
      </c>
    </row>
    <row r="333">
      <c r="A333" s="18" t="inlineStr">
        <is>
          <t>CD20</t>
        </is>
      </c>
      <c r="B333" s="18" t="inlineStr">
        <is>
          <t>D10-I08</t>
        </is>
      </c>
      <c r="C333" s="18" t="inlineStr">
        <is>
          <t>D09-I11</t>
        </is>
      </c>
      <c r="D333" s="18">
        <f>'P0-3_Scorecard'!L124</f>
        <v/>
      </c>
      <c r="E333" s="18">
        <f>'P0-3_Scorecard'!L115</f>
        <v/>
      </c>
      <c r="F333" s="18">
        <f>'P0-3_Scorecard'!M124</f>
        <v/>
      </c>
      <c r="G333" s="18">
        <f>'P0-3_Scorecard'!M115</f>
        <v/>
      </c>
      <c r="H333" s="18">
        <f>IF(OR(D333="",F333=""),"",D333-(F333*20))</f>
        <v/>
      </c>
      <c r="I333" s="18">
        <f>IF(OR(E333="",G333=""),"",E333-(G333*20))</f>
        <v/>
      </c>
      <c r="J333" s="18">
        <f>IF(OR(D333="",E333=""),"INCOMPLETE",IF(AND(D333&gt;=80,E333&lt;50),"CONTRADICTION",IF(AND(D333&gt;=70,E333&lt;70),"DEPENDENCY GAP","NO TRIGGER")))</f>
        <v/>
      </c>
      <c r="K333" s="18">
        <f>IF(J333="CONTRADICTION","HIGH",IF(J333="DEPENDENCY GAP","MEDIUM","—"))</f>
        <v/>
      </c>
      <c r="L333" s="18">
        <f>IF(J333="CONTRADICTION","Strong upstream claim is not supported by linked downstream capability/evidence. Trigger: Translation review.",IF(J333="DEPENDENCY GAP","Downstream capability materially trails upstream expectation. Trigger: Translation review.",""))</f>
        <v/>
      </c>
    </row>
    <row r="334">
      <c r="A334" s="18" t="inlineStr">
        <is>
          <t>CD20</t>
        </is>
      </c>
      <c r="B334" s="18" t="inlineStr">
        <is>
          <t>D10-I08</t>
        </is>
      </c>
      <c r="C334" s="18" t="inlineStr">
        <is>
          <t>D09-I12</t>
        </is>
      </c>
      <c r="D334" s="18">
        <f>'P0-3_Scorecard'!L124</f>
        <v/>
      </c>
      <c r="E334" s="18">
        <f>'P0-3_Scorecard'!L116</f>
        <v/>
      </c>
      <c r="F334" s="18">
        <f>'P0-3_Scorecard'!M124</f>
        <v/>
      </c>
      <c r="G334" s="18">
        <f>'P0-3_Scorecard'!M116</f>
        <v/>
      </c>
      <c r="H334" s="18">
        <f>IF(OR(D334="",F334=""),"",D334-(F334*20))</f>
        <v/>
      </c>
      <c r="I334" s="18">
        <f>IF(OR(E334="",G334=""),"",E334-(G334*20))</f>
        <v/>
      </c>
      <c r="J334" s="18">
        <f>IF(OR(D334="",E334=""),"INCOMPLETE",IF(AND(D334&gt;=80,E334&lt;50),"CONTRADICTION",IF(AND(D334&gt;=70,E334&lt;70),"DEPENDENCY GAP","NO TRIGGER")))</f>
        <v/>
      </c>
      <c r="K334" s="18">
        <f>IF(J334="CONTRADICTION","HIGH",IF(J334="DEPENDENCY GAP","MEDIUM","—"))</f>
        <v/>
      </c>
      <c r="L334" s="18">
        <f>IF(J334="CONTRADICTION","Strong upstream claim is not supported by linked downstream capability/evidence. Trigger: Translation review.",IF(J334="DEPENDENCY GAP","Downstream capability materially trails upstream expectation. Trigger: Translation review.",""))</f>
        <v/>
      </c>
    </row>
    <row r="335">
      <c r="A335" s="18" t="inlineStr">
        <is>
          <t>CD20</t>
        </is>
      </c>
      <c r="B335" s="18" t="inlineStr">
        <is>
          <t>D10-I09</t>
        </is>
      </c>
      <c r="C335" s="18" t="inlineStr">
        <is>
          <t>D09-I05</t>
        </is>
      </c>
      <c r="D335" s="18">
        <f>'P0-3_Scorecard'!L125</f>
        <v/>
      </c>
      <c r="E335" s="18">
        <f>'P0-3_Scorecard'!L109</f>
        <v/>
      </c>
      <c r="F335" s="18">
        <f>'P0-3_Scorecard'!M125</f>
        <v/>
      </c>
      <c r="G335" s="18">
        <f>'P0-3_Scorecard'!M109</f>
        <v/>
      </c>
      <c r="H335" s="18">
        <f>IF(OR(D335="",F335=""),"",D335-(F335*20))</f>
        <v/>
      </c>
      <c r="I335" s="18">
        <f>IF(OR(E335="",G335=""),"",E335-(G335*20))</f>
        <v/>
      </c>
      <c r="J335" s="18">
        <f>IF(OR(D335="",E335=""),"INCOMPLETE",IF(AND(D335&gt;=80,E335&lt;50),"CONTRADICTION",IF(AND(D335&gt;=70,E335&lt;70),"DEPENDENCY GAP","NO TRIGGER")))</f>
        <v/>
      </c>
      <c r="K335" s="18">
        <f>IF(J335="CONTRADICTION","HIGH",IF(J335="DEPENDENCY GAP","MEDIUM","—"))</f>
        <v/>
      </c>
      <c r="L335" s="18">
        <f>IF(J335="CONTRADICTION","Strong upstream claim is not supported by linked downstream capability/evidence. Trigger: Translation review.",IF(J335="DEPENDENCY GAP","Downstream capability materially trails upstream expectation. Trigger: Translation review.",""))</f>
        <v/>
      </c>
    </row>
    <row r="336">
      <c r="A336" s="18" t="inlineStr">
        <is>
          <t>CD20</t>
        </is>
      </c>
      <c r="B336" s="18" t="inlineStr">
        <is>
          <t>D10-I09</t>
        </is>
      </c>
      <c r="C336" s="18" t="inlineStr">
        <is>
          <t>D09-I10</t>
        </is>
      </c>
      <c r="D336" s="18">
        <f>'P0-3_Scorecard'!L125</f>
        <v/>
      </c>
      <c r="E336" s="18">
        <f>'P0-3_Scorecard'!L114</f>
        <v/>
      </c>
      <c r="F336" s="18">
        <f>'P0-3_Scorecard'!M125</f>
        <v/>
      </c>
      <c r="G336" s="18">
        <f>'P0-3_Scorecard'!M114</f>
        <v/>
      </c>
      <c r="H336" s="18">
        <f>IF(OR(D336="",F336=""),"",D336-(F336*20))</f>
        <v/>
      </c>
      <c r="I336" s="18">
        <f>IF(OR(E336="",G336=""),"",E336-(G336*20))</f>
        <v/>
      </c>
      <c r="J336" s="18">
        <f>IF(OR(D336="",E336=""),"INCOMPLETE",IF(AND(D336&gt;=80,E336&lt;50),"CONTRADICTION",IF(AND(D336&gt;=70,E336&lt;70),"DEPENDENCY GAP","NO TRIGGER")))</f>
        <v/>
      </c>
      <c r="K336" s="18">
        <f>IF(J336="CONTRADICTION","HIGH",IF(J336="DEPENDENCY GAP","MEDIUM","—"))</f>
        <v/>
      </c>
      <c r="L336" s="18">
        <f>IF(J336="CONTRADICTION","Strong upstream claim is not supported by linked downstream capability/evidence. Trigger: Translation review.",IF(J336="DEPENDENCY GAP","Downstream capability materially trails upstream expectation. Trigger: Translation review.",""))</f>
        <v/>
      </c>
    </row>
    <row r="337">
      <c r="A337" s="18" t="inlineStr">
        <is>
          <t>CD20</t>
        </is>
      </c>
      <c r="B337" s="18" t="inlineStr">
        <is>
          <t>D10-I09</t>
        </is>
      </c>
      <c r="C337" s="18" t="inlineStr">
        <is>
          <t>D09-I11</t>
        </is>
      </c>
      <c r="D337" s="18">
        <f>'P0-3_Scorecard'!L125</f>
        <v/>
      </c>
      <c r="E337" s="18">
        <f>'P0-3_Scorecard'!L115</f>
        <v/>
      </c>
      <c r="F337" s="18">
        <f>'P0-3_Scorecard'!M125</f>
        <v/>
      </c>
      <c r="G337" s="18">
        <f>'P0-3_Scorecard'!M115</f>
        <v/>
      </c>
      <c r="H337" s="18">
        <f>IF(OR(D337="",F337=""),"",D337-(F337*20))</f>
        <v/>
      </c>
      <c r="I337" s="18">
        <f>IF(OR(E337="",G337=""),"",E337-(G337*20))</f>
        <v/>
      </c>
      <c r="J337" s="18">
        <f>IF(OR(D337="",E337=""),"INCOMPLETE",IF(AND(D337&gt;=80,E337&lt;50),"CONTRADICTION",IF(AND(D337&gt;=70,E337&lt;70),"DEPENDENCY GAP","NO TRIGGER")))</f>
        <v/>
      </c>
      <c r="K337" s="18">
        <f>IF(J337="CONTRADICTION","HIGH",IF(J337="DEPENDENCY GAP","MEDIUM","—"))</f>
        <v/>
      </c>
      <c r="L337" s="18">
        <f>IF(J337="CONTRADICTION","Strong upstream claim is not supported by linked downstream capability/evidence. Trigger: Translation review.",IF(J337="DEPENDENCY GAP","Downstream capability materially trails upstream expectation. Trigger: Translation review.",""))</f>
        <v/>
      </c>
    </row>
    <row r="338">
      <c r="A338" s="18" t="inlineStr">
        <is>
          <t>CD20</t>
        </is>
      </c>
      <c r="B338" s="18" t="inlineStr">
        <is>
          <t>D10-I09</t>
        </is>
      </c>
      <c r="C338" s="18" t="inlineStr">
        <is>
          <t>D09-I12</t>
        </is>
      </c>
      <c r="D338" s="18">
        <f>'P0-3_Scorecard'!L125</f>
        <v/>
      </c>
      <c r="E338" s="18">
        <f>'P0-3_Scorecard'!L116</f>
        <v/>
      </c>
      <c r="F338" s="18">
        <f>'P0-3_Scorecard'!M125</f>
        <v/>
      </c>
      <c r="G338" s="18">
        <f>'P0-3_Scorecard'!M116</f>
        <v/>
      </c>
      <c r="H338" s="18">
        <f>IF(OR(D338="",F338=""),"",D338-(F338*20))</f>
        <v/>
      </c>
      <c r="I338" s="18">
        <f>IF(OR(E338="",G338=""),"",E338-(G338*20))</f>
        <v/>
      </c>
      <c r="J338" s="18">
        <f>IF(OR(D338="",E338=""),"INCOMPLETE",IF(AND(D338&gt;=80,E338&lt;50),"CONTRADICTION",IF(AND(D338&gt;=70,E338&lt;70),"DEPENDENCY GAP","NO TRIGGER")))</f>
        <v/>
      </c>
      <c r="K338" s="18">
        <f>IF(J338="CONTRADICTION","HIGH",IF(J338="DEPENDENCY GAP","MEDIUM","—"))</f>
        <v/>
      </c>
      <c r="L338" s="18">
        <f>IF(J338="CONTRADICTION","Strong upstream claim is not supported by linked downstream capability/evidence. Trigger: Translation review.",IF(J338="DEPENDENCY GAP","Downstream capability materially trails upstream expectation. Trigger: Translation review.",""))</f>
        <v/>
      </c>
    </row>
    <row r="339">
      <c r="A339" s="18" t="inlineStr">
        <is>
          <t>CD20</t>
        </is>
      </c>
      <c r="B339" s="18" t="inlineStr">
        <is>
          <t>D10-I10</t>
        </is>
      </c>
      <c r="C339" s="18" t="inlineStr">
        <is>
          <t>D09-I05</t>
        </is>
      </c>
      <c r="D339" s="18">
        <f>'P0-3_Scorecard'!L126</f>
        <v/>
      </c>
      <c r="E339" s="18">
        <f>'P0-3_Scorecard'!L109</f>
        <v/>
      </c>
      <c r="F339" s="18">
        <f>'P0-3_Scorecard'!M126</f>
        <v/>
      </c>
      <c r="G339" s="18">
        <f>'P0-3_Scorecard'!M109</f>
        <v/>
      </c>
      <c r="H339" s="18">
        <f>IF(OR(D339="",F339=""),"",D339-(F339*20))</f>
        <v/>
      </c>
      <c r="I339" s="18">
        <f>IF(OR(E339="",G339=""),"",E339-(G339*20))</f>
        <v/>
      </c>
      <c r="J339" s="18">
        <f>IF(OR(D339="",E339=""),"INCOMPLETE",IF(AND(D339&gt;=80,E339&lt;50),"CONTRADICTION",IF(AND(D339&gt;=70,E339&lt;70),"DEPENDENCY GAP","NO TRIGGER")))</f>
        <v/>
      </c>
      <c r="K339" s="18">
        <f>IF(J339="CONTRADICTION","HIGH",IF(J339="DEPENDENCY GAP","MEDIUM","—"))</f>
        <v/>
      </c>
      <c r="L339" s="18">
        <f>IF(J339="CONTRADICTION","Strong upstream claim is not supported by linked downstream capability/evidence. Trigger: Translation review.",IF(J339="DEPENDENCY GAP","Downstream capability materially trails upstream expectation. Trigger: Translation review.",""))</f>
        <v/>
      </c>
    </row>
    <row r="340">
      <c r="A340" s="18" t="inlineStr">
        <is>
          <t>CD20</t>
        </is>
      </c>
      <c r="B340" s="18" t="inlineStr">
        <is>
          <t>D10-I10</t>
        </is>
      </c>
      <c r="C340" s="18" t="inlineStr">
        <is>
          <t>D09-I10</t>
        </is>
      </c>
      <c r="D340" s="18">
        <f>'P0-3_Scorecard'!L126</f>
        <v/>
      </c>
      <c r="E340" s="18">
        <f>'P0-3_Scorecard'!L114</f>
        <v/>
      </c>
      <c r="F340" s="18">
        <f>'P0-3_Scorecard'!M126</f>
        <v/>
      </c>
      <c r="G340" s="18">
        <f>'P0-3_Scorecard'!M114</f>
        <v/>
      </c>
      <c r="H340" s="18">
        <f>IF(OR(D340="",F340=""),"",D340-(F340*20))</f>
        <v/>
      </c>
      <c r="I340" s="18">
        <f>IF(OR(E340="",G340=""),"",E340-(G340*20))</f>
        <v/>
      </c>
      <c r="J340" s="18">
        <f>IF(OR(D340="",E340=""),"INCOMPLETE",IF(AND(D340&gt;=80,E340&lt;50),"CONTRADICTION",IF(AND(D340&gt;=70,E340&lt;70),"DEPENDENCY GAP","NO TRIGGER")))</f>
        <v/>
      </c>
      <c r="K340" s="18">
        <f>IF(J340="CONTRADICTION","HIGH",IF(J340="DEPENDENCY GAP","MEDIUM","—"))</f>
        <v/>
      </c>
      <c r="L340" s="18">
        <f>IF(J340="CONTRADICTION","Strong upstream claim is not supported by linked downstream capability/evidence. Trigger: Translation review.",IF(J340="DEPENDENCY GAP","Downstream capability materially trails upstream expectation. Trigger: Translation review.",""))</f>
        <v/>
      </c>
    </row>
    <row r="341">
      <c r="A341" s="18" t="inlineStr">
        <is>
          <t>CD20</t>
        </is>
      </c>
      <c r="B341" s="18" t="inlineStr">
        <is>
          <t>D10-I10</t>
        </is>
      </c>
      <c r="C341" s="18" t="inlineStr">
        <is>
          <t>D09-I11</t>
        </is>
      </c>
      <c r="D341" s="18">
        <f>'P0-3_Scorecard'!L126</f>
        <v/>
      </c>
      <c r="E341" s="18">
        <f>'P0-3_Scorecard'!L115</f>
        <v/>
      </c>
      <c r="F341" s="18">
        <f>'P0-3_Scorecard'!M126</f>
        <v/>
      </c>
      <c r="G341" s="18">
        <f>'P0-3_Scorecard'!M115</f>
        <v/>
      </c>
      <c r="H341" s="18">
        <f>IF(OR(D341="",F341=""),"",D341-(F341*20))</f>
        <v/>
      </c>
      <c r="I341" s="18">
        <f>IF(OR(E341="",G341=""),"",E341-(G341*20))</f>
        <v/>
      </c>
      <c r="J341" s="18">
        <f>IF(OR(D341="",E341=""),"INCOMPLETE",IF(AND(D341&gt;=80,E341&lt;50),"CONTRADICTION",IF(AND(D341&gt;=70,E341&lt;70),"DEPENDENCY GAP","NO TRIGGER")))</f>
        <v/>
      </c>
      <c r="K341" s="18">
        <f>IF(J341="CONTRADICTION","HIGH",IF(J341="DEPENDENCY GAP","MEDIUM","—"))</f>
        <v/>
      </c>
      <c r="L341" s="18">
        <f>IF(J341="CONTRADICTION","Strong upstream claim is not supported by linked downstream capability/evidence. Trigger: Translation review.",IF(J341="DEPENDENCY GAP","Downstream capability materially trails upstream expectation. Trigger: Translation review.",""))</f>
        <v/>
      </c>
    </row>
    <row r="342">
      <c r="A342" s="18" t="inlineStr">
        <is>
          <t>CD20</t>
        </is>
      </c>
      <c r="B342" s="18" t="inlineStr">
        <is>
          <t>D10-I10</t>
        </is>
      </c>
      <c r="C342" s="18" t="inlineStr">
        <is>
          <t>D09-I12</t>
        </is>
      </c>
      <c r="D342" s="18">
        <f>'P0-3_Scorecard'!L126</f>
        <v/>
      </c>
      <c r="E342" s="18">
        <f>'P0-3_Scorecard'!L116</f>
        <v/>
      </c>
      <c r="F342" s="18">
        <f>'P0-3_Scorecard'!M126</f>
        <v/>
      </c>
      <c r="G342" s="18">
        <f>'P0-3_Scorecard'!M116</f>
        <v/>
      </c>
      <c r="H342" s="18">
        <f>IF(OR(D342="",F342=""),"",D342-(F342*20))</f>
        <v/>
      </c>
      <c r="I342" s="18">
        <f>IF(OR(E342="",G342=""),"",E342-(G342*20))</f>
        <v/>
      </c>
      <c r="J342" s="18">
        <f>IF(OR(D342="",E342=""),"INCOMPLETE",IF(AND(D342&gt;=80,E342&lt;50),"CONTRADICTION",IF(AND(D342&gt;=70,E342&lt;70),"DEPENDENCY GAP","NO TRIGGER")))</f>
        <v/>
      </c>
      <c r="K342" s="18">
        <f>IF(J342="CONTRADICTION","HIGH",IF(J342="DEPENDENCY GAP","MEDIUM","—"))</f>
        <v/>
      </c>
      <c r="L342" s="18">
        <f>IF(J342="CONTRADICTION","Strong upstream claim is not supported by linked downstream capability/evidence. Trigger: Translation review.",IF(J342="DEPENDENCY GAP","Downstream capability materially trails upstream expectation. Trigger: Translation review.",""))</f>
        <v/>
      </c>
    </row>
    <row r="343">
      <c r="A343" s="18" t="inlineStr">
        <is>
          <t>CD20</t>
        </is>
      </c>
      <c r="B343" s="18" t="inlineStr">
        <is>
          <t>D10-I13</t>
        </is>
      </c>
      <c r="C343" s="18" t="inlineStr">
        <is>
          <t>D09-I05</t>
        </is>
      </c>
      <c r="D343" s="18">
        <f>'P0-3_Scorecard'!L129</f>
        <v/>
      </c>
      <c r="E343" s="18">
        <f>'P0-3_Scorecard'!L109</f>
        <v/>
      </c>
      <c r="F343" s="18">
        <f>'P0-3_Scorecard'!M129</f>
        <v/>
      </c>
      <c r="G343" s="18">
        <f>'P0-3_Scorecard'!M109</f>
        <v/>
      </c>
      <c r="H343" s="18">
        <f>IF(OR(D343="",F343=""),"",D343-(F343*20))</f>
        <v/>
      </c>
      <c r="I343" s="18">
        <f>IF(OR(E343="",G343=""),"",E343-(G343*20))</f>
        <v/>
      </c>
      <c r="J343" s="18">
        <f>IF(OR(D343="",E343=""),"INCOMPLETE",IF(AND(D343&gt;=80,E343&lt;50),"CONTRADICTION",IF(AND(D343&gt;=70,E343&lt;70),"DEPENDENCY GAP","NO TRIGGER")))</f>
        <v/>
      </c>
      <c r="K343" s="18">
        <f>IF(J343="CONTRADICTION","HIGH",IF(J343="DEPENDENCY GAP","MEDIUM","—"))</f>
        <v/>
      </c>
      <c r="L343" s="18">
        <f>IF(J343="CONTRADICTION","Strong upstream claim is not supported by linked downstream capability/evidence. Trigger: Translation review.",IF(J343="DEPENDENCY GAP","Downstream capability materially trails upstream expectation. Trigger: Translation review.",""))</f>
        <v/>
      </c>
    </row>
    <row r="344">
      <c r="A344" s="18" t="inlineStr">
        <is>
          <t>CD20</t>
        </is>
      </c>
      <c r="B344" s="18" t="inlineStr">
        <is>
          <t>D10-I13</t>
        </is>
      </c>
      <c r="C344" s="18" t="inlineStr">
        <is>
          <t>D09-I10</t>
        </is>
      </c>
      <c r="D344" s="18">
        <f>'P0-3_Scorecard'!L129</f>
        <v/>
      </c>
      <c r="E344" s="18">
        <f>'P0-3_Scorecard'!L114</f>
        <v/>
      </c>
      <c r="F344" s="18">
        <f>'P0-3_Scorecard'!M129</f>
        <v/>
      </c>
      <c r="G344" s="18">
        <f>'P0-3_Scorecard'!M114</f>
        <v/>
      </c>
      <c r="H344" s="18">
        <f>IF(OR(D344="",F344=""),"",D344-(F344*20))</f>
        <v/>
      </c>
      <c r="I344" s="18">
        <f>IF(OR(E344="",G344=""),"",E344-(G344*20))</f>
        <v/>
      </c>
      <c r="J344" s="18">
        <f>IF(OR(D344="",E344=""),"INCOMPLETE",IF(AND(D344&gt;=80,E344&lt;50),"CONTRADICTION",IF(AND(D344&gt;=70,E344&lt;70),"DEPENDENCY GAP","NO TRIGGER")))</f>
        <v/>
      </c>
      <c r="K344" s="18">
        <f>IF(J344="CONTRADICTION","HIGH",IF(J344="DEPENDENCY GAP","MEDIUM","—"))</f>
        <v/>
      </c>
      <c r="L344" s="18">
        <f>IF(J344="CONTRADICTION","Strong upstream claim is not supported by linked downstream capability/evidence. Trigger: Translation review.",IF(J344="DEPENDENCY GAP","Downstream capability materially trails upstream expectation. Trigger: Translation review.",""))</f>
        <v/>
      </c>
    </row>
    <row r="345">
      <c r="A345" s="18" t="inlineStr">
        <is>
          <t>CD20</t>
        </is>
      </c>
      <c r="B345" s="18" t="inlineStr">
        <is>
          <t>D10-I13</t>
        </is>
      </c>
      <c r="C345" s="18" t="inlineStr">
        <is>
          <t>D09-I11</t>
        </is>
      </c>
      <c r="D345" s="18">
        <f>'P0-3_Scorecard'!L129</f>
        <v/>
      </c>
      <c r="E345" s="18">
        <f>'P0-3_Scorecard'!L115</f>
        <v/>
      </c>
      <c r="F345" s="18">
        <f>'P0-3_Scorecard'!M129</f>
        <v/>
      </c>
      <c r="G345" s="18">
        <f>'P0-3_Scorecard'!M115</f>
        <v/>
      </c>
      <c r="H345" s="18">
        <f>IF(OR(D345="",F345=""),"",D345-(F345*20))</f>
        <v/>
      </c>
      <c r="I345" s="18">
        <f>IF(OR(E345="",G345=""),"",E345-(G345*20))</f>
        <v/>
      </c>
      <c r="J345" s="18">
        <f>IF(OR(D345="",E345=""),"INCOMPLETE",IF(AND(D345&gt;=80,E345&lt;50),"CONTRADICTION",IF(AND(D345&gt;=70,E345&lt;70),"DEPENDENCY GAP","NO TRIGGER")))</f>
        <v/>
      </c>
      <c r="K345" s="18">
        <f>IF(J345="CONTRADICTION","HIGH",IF(J345="DEPENDENCY GAP","MEDIUM","—"))</f>
        <v/>
      </c>
      <c r="L345" s="18">
        <f>IF(J345="CONTRADICTION","Strong upstream claim is not supported by linked downstream capability/evidence. Trigger: Translation review.",IF(J345="DEPENDENCY GAP","Downstream capability materially trails upstream expectation. Trigger: Translation review.",""))</f>
        <v/>
      </c>
    </row>
    <row r="346">
      <c r="A346" s="18" t="inlineStr">
        <is>
          <t>CD20</t>
        </is>
      </c>
      <c r="B346" s="18" t="inlineStr">
        <is>
          <t>D10-I13</t>
        </is>
      </c>
      <c r="C346" s="18" t="inlineStr">
        <is>
          <t>D09-I12</t>
        </is>
      </c>
      <c r="D346" s="18">
        <f>'P0-3_Scorecard'!L129</f>
        <v/>
      </c>
      <c r="E346" s="18">
        <f>'P0-3_Scorecard'!L116</f>
        <v/>
      </c>
      <c r="F346" s="18">
        <f>'P0-3_Scorecard'!M129</f>
        <v/>
      </c>
      <c r="G346" s="18">
        <f>'P0-3_Scorecard'!M116</f>
        <v/>
      </c>
      <c r="H346" s="18">
        <f>IF(OR(D346="",F346=""),"",D346-(F346*20))</f>
        <v/>
      </c>
      <c r="I346" s="18">
        <f>IF(OR(E346="",G346=""),"",E346-(G346*20))</f>
        <v/>
      </c>
      <c r="J346" s="18">
        <f>IF(OR(D346="",E346=""),"INCOMPLETE",IF(AND(D346&gt;=80,E346&lt;50),"CONTRADICTION",IF(AND(D346&gt;=70,E346&lt;70),"DEPENDENCY GAP","NO TRIGGER")))</f>
        <v/>
      </c>
      <c r="K346" s="18">
        <f>IF(J346="CONTRADICTION","HIGH",IF(J346="DEPENDENCY GAP","MEDIUM","—"))</f>
        <v/>
      </c>
      <c r="L346" s="18">
        <f>IF(J346="CONTRADICTION","Strong upstream claim is not supported by linked downstream capability/evidence. Trigger: Translation review.",IF(J346="DEPENDENCY GAP","Downstream capability materially trails upstream expectation. Trigger: Translation review.",""))</f>
        <v/>
      </c>
    </row>
    <row r="347">
      <c r="A347" s="18" t="inlineStr">
        <is>
          <t>CD21</t>
        </is>
      </c>
      <c r="B347" s="18" t="inlineStr">
        <is>
          <t>D10-I01</t>
        </is>
      </c>
      <c r="C347" s="18" t="inlineStr">
        <is>
          <t>D11-I01</t>
        </is>
      </c>
      <c r="D347" s="18">
        <f>'P0-3_Scorecard'!L117</f>
        <v/>
      </c>
      <c r="E347" s="18">
        <f>'P0-3_Scorecard'!L131</f>
        <v/>
      </c>
      <c r="F347" s="18">
        <f>'P0-3_Scorecard'!M117</f>
        <v/>
      </c>
      <c r="G347" s="18">
        <f>'P0-3_Scorecard'!M131</f>
        <v/>
      </c>
      <c r="H347" s="18">
        <f>IF(OR(D347="",F347=""),"",D347-(F347*20))</f>
        <v/>
      </c>
      <c r="I347" s="18">
        <f>IF(OR(E347="",G347=""),"",E347-(G347*20))</f>
        <v/>
      </c>
      <c r="J347" s="18">
        <f>IF(OR(D347="",E347=""),"INCOMPLETE",IF(AND(D347&gt;=80,E347&lt;50),"CONTRADICTION",IF(AND(D347&gt;=70,E347&lt;70),"DEPENDENCY GAP","NO TRIGGER")))</f>
        <v/>
      </c>
      <c r="K347" s="18">
        <f>IF(J347="CONTRADICTION","HIGH",IF(J347="DEPENDENCY GAP","MEDIUM","—"))</f>
        <v/>
      </c>
      <c r="L347" s="18">
        <f>IF(J347="CONTRADICTION","Strong upstream claim is not supported by linked downstream capability/evidence. Trigger: Institutional learning review.",IF(J347="DEPENDENCY GAP","Downstream capability materially trails upstream expectation. Trigger: Institutional learning review.",""))</f>
        <v/>
      </c>
    </row>
    <row r="348">
      <c r="A348" s="18" t="inlineStr">
        <is>
          <t>CD21</t>
        </is>
      </c>
      <c r="B348" s="18" t="inlineStr">
        <is>
          <t>D10-I01</t>
        </is>
      </c>
      <c r="C348" s="18" t="inlineStr">
        <is>
          <t>D11-I06</t>
        </is>
      </c>
      <c r="D348" s="18">
        <f>'P0-3_Scorecard'!L117</f>
        <v/>
      </c>
      <c r="E348" s="18">
        <f>'P0-3_Scorecard'!L136</f>
        <v/>
      </c>
      <c r="F348" s="18">
        <f>'P0-3_Scorecard'!M117</f>
        <v/>
      </c>
      <c r="G348" s="18">
        <f>'P0-3_Scorecard'!M136</f>
        <v/>
      </c>
      <c r="H348" s="18">
        <f>IF(OR(D348="",F348=""),"",D348-(F348*20))</f>
        <v/>
      </c>
      <c r="I348" s="18">
        <f>IF(OR(E348="",G348=""),"",E348-(G348*20))</f>
        <v/>
      </c>
      <c r="J348" s="18">
        <f>IF(OR(D348="",E348=""),"INCOMPLETE",IF(AND(D348&gt;=80,E348&lt;50),"CONTRADICTION",IF(AND(D348&gt;=70,E348&lt;70),"DEPENDENCY GAP","NO TRIGGER")))</f>
        <v/>
      </c>
      <c r="K348" s="18">
        <f>IF(J348="CONTRADICTION","HIGH",IF(J348="DEPENDENCY GAP","MEDIUM","—"))</f>
        <v/>
      </c>
      <c r="L348" s="18">
        <f>IF(J348="CONTRADICTION","Strong upstream claim is not supported by linked downstream capability/evidence. Trigger: Institutional learning review.",IF(J348="DEPENDENCY GAP","Downstream capability materially trails upstream expectation. Trigger: Institutional learning review.",""))</f>
        <v/>
      </c>
    </row>
    <row r="349">
      <c r="A349" s="18" t="inlineStr">
        <is>
          <t>CD21</t>
        </is>
      </c>
      <c r="B349" s="18" t="inlineStr">
        <is>
          <t>D10-I01</t>
        </is>
      </c>
      <c r="C349" s="18" t="inlineStr">
        <is>
          <t>D11-I13</t>
        </is>
      </c>
      <c r="D349" s="18">
        <f>'P0-3_Scorecard'!L117</f>
        <v/>
      </c>
      <c r="E349" s="18">
        <f>'P0-3_Scorecard'!L143</f>
        <v/>
      </c>
      <c r="F349" s="18">
        <f>'P0-3_Scorecard'!M117</f>
        <v/>
      </c>
      <c r="G349" s="18">
        <f>'P0-3_Scorecard'!M143</f>
        <v/>
      </c>
      <c r="H349" s="18">
        <f>IF(OR(D349="",F349=""),"",D349-(F349*20))</f>
        <v/>
      </c>
      <c r="I349" s="18">
        <f>IF(OR(E349="",G349=""),"",E349-(G349*20))</f>
        <v/>
      </c>
      <c r="J349" s="18">
        <f>IF(OR(D349="",E349=""),"INCOMPLETE",IF(AND(D349&gt;=80,E349&lt;50),"CONTRADICTION",IF(AND(D349&gt;=70,E349&lt;70),"DEPENDENCY GAP","NO TRIGGER")))</f>
        <v/>
      </c>
      <c r="K349" s="18">
        <f>IF(J349="CONTRADICTION","HIGH",IF(J349="DEPENDENCY GAP","MEDIUM","—"))</f>
        <v/>
      </c>
      <c r="L349" s="18">
        <f>IF(J349="CONTRADICTION","Strong upstream claim is not supported by linked downstream capability/evidence. Trigger: Institutional learning review.",IF(J349="DEPENDENCY GAP","Downstream capability materially trails upstream expectation. Trigger: Institutional learning review.",""))</f>
        <v/>
      </c>
    </row>
    <row r="350">
      <c r="A350" s="18" t="inlineStr">
        <is>
          <t>CD21</t>
        </is>
      </c>
      <c r="B350" s="18" t="inlineStr">
        <is>
          <t>D10-I01</t>
        </is>
      </c>
      <c r="C350" s="18" t="inlineStr">
        <is>
          <t>D11-I14</t>
        </is>
      </c>
      <c r="D350" s="18">
        <f>'P0-3_Scorecard'!L117</f>
        <v/>
      </c>
      <c r="E350" s="18">
        <f>'P0-3_Scorecard'!L144</f>
        <v/>
      </c>
      <c r="F350" s="18">
        <f>'P0-3_Scorecard'!M117</f>
        <v/>
      </c>
      <c r="G350" s="18">
        <f>'P0-3_Scorecard'!M144</f>
        <v/>
      </c>
      <c r="H350" s="18">
        <f>IF(OR(D350="",F350=""),"",D350-(F350*20))</f>
        <v/>
      </c>
      <c r="I350" s="18">
        <f>IF(OR(E350="",G350=""),"",E350-(G350*20))</f>
        <v/>
      </c>
      <c r="J350" s="18">
        <f>IF(OR(D350="",E350=""),"INCOMPLETE",IF(AND(D350&gt;=80,E350&lt;50),"CONTRADICTION",IF(AND(D350&gt;=70,E350&lt;70),"DEPENDENCY GAP","NO TRIGGER")))</f>
        <v/>
      </c>
      <c r="K350" s="18">
        <f>IF(J350="CONTRADICTION","HIGH",IF(J350="DEPENDENCY GAP","MEDIUM","—"))</f>
        <v/>
      </c>
      <c r="L350" s="18">
        <f>IF(J350="CONTRADICTION","Strong upstream claim is not supported by linked downstream capability/evidence. Trigger: Institutional learning review.",IF(J350="DEPENDENCY GAP","Downstream capability materially trails upstream expectation. Trigger: Institutional learning review.",""))</f>
        <v/>
      </c>
    </row>
    <row r="351">
      <c r="A351" s="18" t="inlineStr">
        <is>
          <t>CD21</t>
        </is>
      </c>
      <c r="B351" s="18" t="inlineStr">
        <is>
          <t>D10-I02</t>
        </is>
      </c>
      <c r="C351" s="18" t="inlineStr">
        <is>
          <t>D11-I01</t>
        </is>
      </c>
      <c r="D351" s="18">
        <f>'P0-3_Scorecard'!L118</f>
        <v/>
      </c>
      <c r="E351" s="18">
        <f>'P0-3_Scorecard'!L131</f>
        <v/>
      </c>
      <c r="F351" s="18">
        <f>'P0-3_Scorecard'!M118</f>
        <v/>
      </c>
      <c r="G351" s="18">
        <f>'P0-3_Scorecard'!M131</f>
        <v/>
      </c>
      <c r="H351" s="18">
        <f>IF(OR(D351="",F351=""),"",D351-(F351*20))</f>
        <v/>
      </c>
      <c r="I351" s="18">
        <f>IF(OR(E351="",G351=""),"",E351-(G351*20))</f>
        <v/>
      </c>
      <c r="J351" s="18">
        <f>IF(OR(D351="",E351=""),"INCOMPLETE",IF(AND(D351&gt;=80,E351&lt;50),"CONTRADICTION",IF(AND(D351&gt;=70,E351&lt;70),"DEPENDENCY GAP","NO TRIGGER")))</f>
        <v/>
      </c>
      <c r="K351" s="18">
        <f>IF(J351="CONTRADICTION","HIGH",IF(J351="DEPENDENCY GAP","MEDIUM","—"))</f>
        <v/>
      </c>
      <c r="L351" s="18">
        <f>IF(J351="CONTRADICTION","Strong upstream claim is not supported by linked downstream capability/evidence. Trigger: Institutional learning review.",IF(J351="DEPENDENCY GAP","Downstream capability materially trails upstream expectation. Trigger: Institutional learning review.",""))</f>
        <v/>
      </c>
    </row>
    <row r="352">
      <c r="A352" s="18" t="inlineStr">
        <is>
          <t>CD21</t>
        </is>
      </c>
      <c r="B352" s="18" t="inlineStr">
        <is>
          <t>D10-I02</t>
        </is>
      </c>
      <c r="C352" s="18" t="inlineStr">
        <is>
          <t>D11-I06</t>
        </is>
      </c>
      <c r="D352" s="18">
        <f>'P0-3_Scorecard'!L118</f>
        <v/>
      </c>
      <c r="E352" s="18">
        <f>'P0-3_Scorecard'!L136</f>
        <v/>
      </c>
      <c r="F352" s="18">
        <f>'P0-3_Scorecard'!M118</f>
        <v/>
      </c>
      <c r="G352" s="18">
        <f>'P0-3_Scorecard'!M136</f>
        <v/>
      </c>
      <c r="H352" s="18">
        <f>IF(OR(D352="",F352=""),"",D352-(F352*20))</f>
        <v/>
      </c>
      <c r="I352" s="18">
        <f>IF(OR(E352="",G352=""),"",E352-(G352*20))</f>
        <v/>
      </c>
      <c r="J352" s="18">
        <f>IF(OR(D352="",E352=""),"INCOMPLETE",IF(AND(D352&gt;=80,E352&lt;50),"CONTRADICTION",IF(AND(D352&gt;=70,E352&lt;70),"DEPENDENCY GAP","NO TRIGGER")))</f>
        <v/>
      </c>
      <c r="K352" s="18">
        <f>IF(J352="CONTRADICTION","HIGH",IF(J352="DEPENDENCY GAP","MEDIUM","—"))</f>
        <v/>
      </c>
      <c r="L352" s="18">
        <f>IF(J352="CONTRADICTION","Strong upstream claim is not supported by linked downstream capability/evidence. Trigger: Institutional learning review.",IF(J352="DEPENDENCY GAP","Downstream capability materially trails upstream expectation. Trigger: Institutional learning review.",""))</f>
        <v/>
      </c>
    </row>
    <row r="353">
      <c r="A353" s="18" t="inlineStr">
        <is>
          <t>CD21</t>
        </is>
      </c>
      <c r="B353" s="18" t="inlineStr">
        <is>
          <t>D10-I02</t>
        </is>
      </c>
      <c r="C353" s="18" t="inlineStr">
        <is>
          <t>D11-I13</t>
        </is>
      </c>
      <c r="D353" s="18">
        <f>'P0-3_Scorecard'!L118</f>
        <v/>
      </c>
      <c r="E353" s="18">
        <f>'P0-3_Scorecard'!L143</f>
        <v/>
      </c>
      <c r="F353" s="18">
        <f>'P0-3_Scorecard'!M118</f>
        <v/>
      </c>
      <c r="G353" s="18">
        <f>'P0-3_Scorecard'!M143</f>
        <v/>
      </c>
      <c r="H353" s="18">
        <f>IF(OR(D353="",F353=""),"",D353-(F353*20))</f>
        <v/>
      </c>
      <c r="I353" s="18">
        <f>IF(OR(E353="",G353=""),"",E353-(G353*20))</f>
        <v/>
      </c>
      <c r="J353" s="18">
        <f>IF(OR(D353="",E353=""),"INCOMPLETE",IF(AND(D353&gt;=80,E353&lt;50),"CONTRADICTION",IF(AND(D353&gt;=70,E353&lt;70),"DEPENDENCY GAP","NO TRIGGER")))</f>
        <v/>
      </c>
      <c r="K353" s="18">
        <f>IF(J353="CONTRADICTION","HIGH",IF(J353="DEPENDENCY GAP","MEDIUM","—"))</f>
        <v/>
      </c>
      <c r="L353" s="18">
        <f>IF(J353="CONTRADICTION","Strong upstream claim is not supported by linked downstream capability/evidence. Trigger: Institutional learning review.",IF(J353="DEPENDENCY GAP","Downstream capability materially trails upstream expectation. Trigger: Institutional learning review.",""))</f>
        <v/>
      </c>
    </row>
    <row r="354">
      <c r="A354" s="18" t="inlineStr">
        <is>
          <t>CD21</t>
        </is>
      </c>
      <c r="B354" s="18" t="inlineStr">
        <is>
          <t>D10-I02</t>
        </is>
      </c>
      <c r="C354" s="18" t="inlineStr">
        <is>
          <t>D11-I14</t>
        </is>
      </c>
      <c r="D354" s="18">
        <f>'P0-3_Scorecard'!L118</f>
        <v/>
      </c>
      <c r="E354" s="18">
        <f>'P0-3_Scorecard'!L144</f>
        <v/>
      </c>
      <c r="F354" s="18">
        <f>'P0-3_Scorecard'!M118</f>
        <v/>
      </c>
      <c r="G354" s="18">
        <f>'P0-3_Scorecard'!M144</f>
        <v/>
      </c>
      <c r="H354" s="18">
        <f>IF(OR(D354="",F354=""),"",D354-(F354*20))</f>
        <v/>
      </c>
      <c r="I354" s="18">
        <f>IF(OR(E354="",G354=""),"",E354-(G354*20))</f>
        <v/>
      </c>
      <c r="J354" s="18">
        <f>IF(OR(D354="",E354=""),"INCOMPLETE",IF(AND(D354&gt;=80,E354&lt;50),"CONTRADICTION",IF(AND(D354&gt;=70,E354&lt;70),"DEPENDENCY GAP","NO TRIGGER")))</f>
        <v/>
      </c>
      <c r="K354" s="18">
        <f>IF(J354="CONTRADICTION","HIGH",IF(J354="DEPENDENCY GAP","MEDIUM","—"))</f>
        <v/>
      </c>
      <c r="L354" s="18">
        <f>IF(J354="CONTRADICTION","Strong upstream claim is not supported by linked downstream capability/evidence. Trigger: Institutional learning review.",IF(J354="DEPENDENCY GAP","Downstream capability materially trails upstream expectation. Trigger: Institutional learning review.",""))</f>
        <v/>
      </c>
    </row>
    <row r="355">
      <c r="A355" s="18" t="inlineStr">
        <is>
          <t>CD21</t>
        </is>
      </c>
      <c r="B355" s="18" t="inlineStr">
        <is>
          <t>D10-I13</t>
        </is>
      </c>
      <c r="C355" s="18" t="inlineStr">
        <is>
          <t>D11-I01</t>
        </is>
      </c>
      <c r="D355" s="18">
        <f>'P0-3_Scorecard'!L129</f>
        <v/>
      </c>
      <c r="E355" s="18">
        <f>'P0-3_Scorecard'!L131</f>
        <v/>
      </c>
      <c r="F355" s="18">
        <f>'P0-3_Scorecard'!M129</f>
        <v/>
      </c>
      <c r="G355" s="18">
        <f>'P0-3_Scorecard'!M131</f>
        <v/>
      </c>
      <c r="H355" s="18">
        <f>IF(OR(D355="",F355=""),"",D355-(F355*20))</f>
        <v/>
      </c>
      <c r="I355" s="18">
        <f>IF(OR(E355="",G355=""),"",E355-(G355*20))</f>
        <v/>
      </c>
      <c r="J355" s="18">
        <f>IF(OR(D355="",E355=""),"INCOMPLETE",IF(AND(D355&gt;=80,E355&lt;50),"CONTRADICTION",IF(AND(D355&gt;=70,E355&lt;70),"DEPENDENCY GAP","NO TRIGGER")))</f>
        <v/>
      </c>
      <c r="K355" s="18">
        <f>IF(J355="CONTRADICTION","HIGH",IF(J355="DEPENDENCY GAP","MEDIUM","—"))</f>
        <v/>
      </c>
      <c r="L355" s="18">
        <f>IF(J355="CONTRADICTION","Strong upstream claim is not supported by linked downstream capability/evidence. Trigger: Institutional learning review.",IF(J355="DEPENDENCY GAP","Downstream capability materially trails upstream expectation. Trigger: Institutional learning review.",""))</f>
        <v/>
      </c>
    </row>
    <row r="356">
      <c r="A356" s="18" t="inlineStr">
        <is>
          <t>CD21</t>
        </is>
      </c>
      <c r="B356" s="18" t="inlineStr">
        <is>
          <t>D10-I13</t>
        </is>
      </c>
      <c r="C356" s="18" t="inlineStr">
        <is>
          <t>D11-I06</t>
        </is>
      </c>
      <c r="D356" s="18">
        <f>'P0-3_Scorecard'!L129</f>
        <v/>
      </c>
      <c r="E356" s="18">
        <f>'P0-3_Scorecard'!L136</f>
        <v/>
      </c>
      <c r="F356" s="18">
        <f>'P0-3_Scorecard'!M129</f>
        <v/>
      </c>
      <c r="G356" s="18">
        <f>'P0-3_Scorecard'!M136</f>
        <v/>
      </c>
      <c r="H356" s="18">
        <f>IF(OR(D356="",F356=""),"",D356-(F356*20))</f>
        <v/>
      </c>
      <c r="I356" s="18">
        <f>IF(OR(E356="",G356=""),"",E356-(G356*20))</f>
        <v/>
      </c>
      <c r="J356" s="18">
        <f>IF(OR(D356="",E356=""),"INCOMPLETE",IF(AND(D356&gt;=80,E356&lt;50),"CONTRADICTION",IF(AND(D356&gt;=70,E356&lt;70),"DEPENDENCY GAP","NO TRIGGER")))</f>
        <v/>
      </c>
      <c r="K356" s="18">
        <f>IF(J356="CONTRADICTION","HIGH",IF(J356="DEPENDENCY GAP","MEDIUM","—"))</f>
        <v/>
      </c>
      <c r="L356" s="18">
        <f>IF(J356="CONTRADICTION","Strong upstream claim is not supported by linked downstream capability/evidence. Trigger: Institutional learning review.",IF(J356="DEPENDENCY GAP","Downstream capability materially trails upstream expectation. Trigger: Institutional learning review.",""))</f>
        <v/>
      </c>
    </row>
    <row r="357">
      <c r="A357" s="18" t="inlineStr">
        <is>
          <t>CD21</t>
        </is>
      </c>
      <c r="B357" s="18" t="inlineStr">
        <is>
          <t>D10-I13</t>
        </is>
      </c>
      <c r="C357" s="18" t="inlineStr">
        <is>
          <t>D11-I13</t>
        </is>
      </c>
      <c r="D357" s="18">
        <f>'P0-3_Scorecard'!L129</f>
        <v/>
      </c>
      <c r="E357" s="18">
        <f>'P0-3_Scorecard'!L143</f>
        <v/>
      </c>
      <c r="F357" s="18">
        <f>'P0-3_Scorecard'!M129</f>
        <v/>
      </c>
      <c r="G357" s="18">
        <f>'P0-3_Scorecard'!M143</f>
        <v/>
      </c>
      <c r="H357" s="18">
        <f>IF(OR(D357="",F357=""),"",D357-(F357*20))</f>
        <v/>
      </c>
      <c r="I357" s="18">
        <f>IF(OR(E357="",G357=""),"",E357-(G357*20))</f>
        <v/>
      </c>
      <c r="J357" s="18">
        <f>IF(OR(D357="",E357=""),"INCOMPLETE",IF(AND(D357&gt;=80,E357&lt;50),"CONTRADICTION",IF(AND(D357&gt;=70,E357&lt;70),"DEPENDENCY GAP","NO TRIGGER")))</f>
        <v/>
      </c>
      <c r="K357" s="18">
        <f>IF(J357="CONTRADICTION","HIGH",IF(J357="DEPENDENCY GAP","MEDIUM","—"))</f>
        <v/>
      </c>
      <c r="L357" s="18">
        <f>IF(J357="CONTRADICTION","Strong upstream claim is not supported by linked downstream capability/evidence. Trigger: Institutional learning review.",IF(J357="DEPENDENCY GAP","Downstream capability materially trails upstream expectation. Trigger: Institutional learning review.",""))</f>
        <v/>
      </c>
    </row>
    <row r="358">
      <c r="A358" s="18" t="inlineStr">
        <is>
          <t>CD21</t>
        </is>
      </c>
      <c r="B358" s="18" t="inlineStr">
        <is>
          <t>D10-I13</t>
        </is>
      </c>
      <c r="C358" s="18" t="inlineStr">
        <is>
          <t>D11-I14</t>
        </is>
      </c>
      <c r="D358" s="18">
        <f>'P0-3_Scorecard'!L129</f>
        <v/>
      </c>
      <c r="E358" s="18">
        <f>'P0-3_Scorecard'!L144</f>
        <v/>
      </c>
      <c r="F358" s="18">
        <f>'P0-3_Scorecard'!M129</f>
        <v/>
      </c>
      <c r="G358" s="18">
        <f>'P0-3_Scorecard'!M144</f>
        <v/>
      </c>
      <c r="H358" s="18">
        <f>IF(OR(D358="",F358=""),"",D358-(F358*20))</f>
        <v/>
      </c>
      <c r="I358" s="18">
        <f>IF(OR(E358="",G358=""),"",E358-(G358*20))</f>
        <v/>
      </c>
      <c r="J358" s="18">
        <f>IF(OR(D358="",E358=""),"INCOMPLETE",IF(AND(D358&gt;=80,E358&lt;50),"CONTRADICTION",IF(AND(D358&gt;=70,E358&lt;70),"DEPENDENCY GAP","NO TRIGGER")))</f>
        <v/>
      </c>
      <c r="K358" s="18">
        <f>IF(J358="CONTRADICTION","HIGH",IF(J358="DEPENDENCY GAP","MEDIUM","—"))</f>
        <v/>
      </c>
      <c r="L358" s="18">
        <f>IF(J358="CONTRADICTION","Strong upstream claim is not supported by linked downstream capability/evidence. Trigger: Institutional learning review.",IF(J358="DEPENDENCY GAP","Downstream capability materially trails upstream expectation. Trigger: Institutional learning review.",""))</f>
        <v/>
      </c>
    </row>
    <row r="359">
      <c r="A359" s="18" t="inlineStr">
        <is>
          <t>CD22</t>
        </is>
      </c>
      <c r="B359" s="18" t="inlineStr">
        <is>
          <t>D11-I01</t>
        </is>
      </c>
      <c r="C359" s="18" t="inlineStr">
        <is>
          <t>D01-I02</t>
        </is>
      </c>
      <c r="D359" s="18">
        <f>'P0-3_Scorecard'!L131</f>
        <v/>
      </c>
      <c r="E359" s="18">
        <f>'P0-3_Scorecard'!L3</f>
        <v/>
      </c>
      <c r="F359" s="18">
        <f>'P0-3_Scorecard'!M131</f>
        <v/>
      </c>
      <c r="G359" s="18">
        <f>'P0-3_Scorecard'!M3</f>
        <v/>
      </c>
      <c r="H359" s="18">
        <f>IF(OR(D359="",F359=""),"",D359-(F359*20))</f>
        <v/>
      </c>
      <c r="I359" s="18">
        <f>IF(OR(E359="",G359=""),"",E359-(G359*20))</f>
        <v/>
      </c>
      <c r="J359" s="18">
        <f>IF(OR(D359="",E359=""),"INCOMPLETE",IF(AND(D359&gt;=80,E359&lt;50),"CONTRADICTION",IF(AND(D359&gt;=70,E359&lt;70),"DEPENDENCY GAP","NO TRIGGER")))</f>
        <v/>
      </c>
      <c r="K359" s="18">
        <f>IF(J359="CONTRADICTION","HIGH",IF(J359="DEPENDENCY GAP","MEDIUM","—"))</f>
        <v/>
      </c>
      <c r="L359" s="18">
        <f>IF(J359="CONTRADICTION","Strong upstream claim is not supported by linked downstream capability/evidence. Trigger: Strategy learning review.",IF(J359="DEPENDENCY GAP","Downstream capability materially trails upstream expectation. Trigger: Strategy learning review.",""))</f>
        <v/>
      </c>
    </row>
    <row r="360">
      <c r="A360" s="18" t="inlineStr">
        <is>
          <t>CD22</t>
        </is>
      </c>
      <c r="B360" s="18" t="inlineStr">
        <is>
          <t>D11-I01</t>
        </is>
      </c>
      <c r="C360" s="18" t="inlineStr">
        <is>
          <t>D01-I03</t>
        </is>
      </c>
      <c r="D360" s="18">
        <f>'P0-3_Scorecard'!L131</f>
        <v/>
      </c>
      <c r="E360" s="18">
        <f>'P0-3_Scorecard'!L4</f>
        <v/>
      </c>
      <c r="F360" s="18">
        <f>'P0-3_Scorecard'!M131</f>
        <v/>
      </c>
      <c r="G360" s="18">
        <f>'P0-3_Scorecard'!M4</f>
        <v/>
      </c>
      <c r="H360" s="18">
        <f>IF(OR(D360="",F360=""),"",D360-(F360*20))</f>
        <v/>
      </c>
      <c r="I360" s="18">
        <f>IF(OR(E360="",G360=""),"",E360-(G360*20))</f>
        <v/>
      </c>
      <c r="J360" s="18">
        <f>IF(OR(D360="",E360=""),"INCOMPLETE",IF(AND(D360&gt;=80,E360&lt;50),"CONTRADICTION",IF(AND(D360&gt;=70,E360&lt;70),"DEPENDENCY GAP","NO TRIGGER")))</f>
        <v/>
      </c>
      <c r="K360" s="18">
        <f>IF(J360="CONTRADICTION","HIGH",IF(J360="DEPENDENCY GAP","MEDIUM","—"))</f>
        <v/>
      </c>
      <c r="L360" s="18">
        <f>IF(J360="CONTRADICTION","Strong upstream claim is not supported by linked downstream capability/evidence. Trigger: Strategy learning review.",IF(J360="DEPENDENCY GAP","Downstream capability materially trails upstream expectation. Trigger: Strategy learning review.",""))</f>
        <v/>
      </c>
    </row>
    <row r="361">
      <c r="A361" s="18" t="inlineStr">
        <is>
          <t>CD22</t>
        </is>
      </c>
      <c r="B361" s="18" t="inlineStr">
        <is>
          <t>D11-I01</t>
        </is>
      </c>
      <c r="C361" s="18" t="inlineStr">
        <is>
          <t>D01-I10</t>
        </is>
      </c>
      <c r="D361" s="18">
        <f>'P0-3_Scorecard'!L131</f>
        <v/>
      </c>
      <c r="E361" s="18">
        <f>'P0-3_Scorecard'!L11</f>
        <v/>
      </c>
      <c r="F361" s="18">
        <f>'P0-3_Scorecard'!M131</f>
        <v/>
      </c>
      <c r="G361" s="18">
        <f>'P0-3_Scorecard'!M11</f>
        <v/>
      </c>
      <c r="H361" s="18">
        <f>IF(OR(D361="",F361=""),"",D361-(F361*20))</f>
        <v/>
      </c>
      <c r="I361" s="18">
        <f>IF(OR(E361="",G361=""),"",E361-(G361*20))</f>
        <v/>
      </c>
      <c r="J361" s="18">
        <f>IF(OR(D361="",E361=""),"INCOMPLETE",IF(AND(D361&gt;=80,E361&lt;50),"CONTRADICTION",IF(AND(D361&gt;=70,E361&lt;70),"DEPENDENCY GAP","NO TRIGGER")))</f>
        <v/>
      </c>
      <c r="K361" s="18">
        <f>IF(J361="CONTRADICTION","HIGH",IF(J361="DEPENDENCY GAP","MEDIUM","—"))</f>
        <v/>
      </c>
      <c r="L361" s="18">
        <f>IF(J361="CONTRADICTION","Strong upstream claim is not supported by linked downstream capability/evidence. Trigger: Strategy learning review.",IF(J361="DEPENDENCY GAP","Downstream capability materially trails upstream expectation. Trigger: Strategy learning review.",""))</f>
        <v/>
      </c>
    </row>
    <row r="362">
      <c r="A362" s="18" t="inlineStr">
        <is>
          <t>CD22</t>
        </is>
      </c>
      <c r="B362" s="18" t="inlineStr">
        <is>
          <t>D11-I02</t>
        </is>
      </c>
      <c r="C362" s="18" t="inlineStr">
        <is>
          <t>D01-I02</t>
        </is>
      </c>
      <c r="D362" s="18">
        <f>'P0-3_Scorecard'!L132</f>
        <v/>
      </c>
      <c r="E362" s="18">
        <f>'P0-3_Scorecard'!L3</f>
        <v/>
      </c>
      <c r="F362" s="18">
        <f>'P0-3_Scorecard'!M132</f>
        <v/>
      </c>
      <c r="G362" s="18">
        <f>'P0-3_Scorecard'!M3</f>
        <v/>
      </c>
      <c r="H362" s="18">
        <f>IF(OR(D362="",F362=""),"",D362-(F362*20))</f>
        <v/>
      </c>
      <c r="I362" s="18">
        <f>IF(OR(E362="",G362=""),"",E362-(G362*20))</f>
        <v/>
      </c>
      <c r="J362" s="18">
        <f>IF(OR(D362="",E362=""),"INCOMPLETE",IF(AND(D362&gt;=80,E362&lt;50),"CONTRADICTION",IF(AND(D362&gt;=70,E362&lt;70),"DEPENDENCY GAP","NO TRIGGER")))</f>
        <v/>
      </c>
      <c r="K362" s="18">
        <f>IF(J362="CONTRADICTION","HIGH",IF(J362="DEPENDENCY GAP","MEDIUM","—"))</f>
        <v/>
      </c>
      <c r="L362" s="18">
        <f>IF(J362="CONTRADICTION","Strong upstream claim is not supported by linked downstream capability/evidence. Trigger: Strategy learning review.",IF(J362="DEPENDENCY GAP","Downstream capability materially trails upstream expectation. Trigger: Strategy learning review.",""))</f>
        <v/>
      </c>
    </row>
    <row r="363">
      <c r="A363" s="18" t="inlineStr">
        <is>
          <t>CD22</t>
        </is>
      </c>
      <c r="B363" s="18" t="inlineStr">
        <is>
          <t>D11-I02</t>
        </is>
      </c>
      <c r="C363" s="18" t="inlineStr">
        <is>
          <t>D01-I03</t>
        </is>
      </c>
      <c r="D363" s="18">
        <f>'P0-3_Scorecard'!L132</f>
        <v/>
      </c>
      <c r="E363" s="18">
        <f>'P0-3_Scorecard'!L4</f>
        <v/>
      </c>
      <c r="F363" s="18">
        <f>'P0-3_Scorecard'!M132</f>
        <v/>
      </c>
      <c r="G363" s="18">
        <f>'P0-3_Scorecard'!M4</f>
        <v/>
      </c>
      <c r="H363" s="18">
        <f>IF(OR(D363="",F363=""),"",D363-(F363*20))</f>
        <v/>
      </c>
      <c r="I363" s="18">
        <f>IF(OR(E363="",G363=""),"",E363-(G363*20))</f>
        <v/>
      </c>
      <c r="J363" s="18">
        <f>IF(OR(D363="",E363=""),"INCOMPLETE",IF(AND(D363&gt;=80,E363&lt;50),"CONTRADICTION",IF(AND(D363&gt;=70,E363&lt;70),"DEPENDENCY GAP","NO TRIGGER")))</f>
        <v/>
      </c>
      <c r="K363" s="18">
        <f>IF(J363="CONTRADICTION","HIGH",IF(J363="DEPENDENCY GAP","MEDIUM","—"))</f>
        <v/>
      </c>
      <c r="L363" s="18">
        <f>IF(J363="CONTRADICTION","Strong upstream claim is not supported by linked downstream capability/evidence. Trigger: Strategy learning review.",IF(J363="DEPENDENCY GAP","Downstream capability materially trails upstream expectation. Trigger: Strategy learning review.",""))</f>
        <v/>
      </c>
    </row>
    <row r="364">
      <c r="A364" s="18" t="inlineStr">
        <is>
          <t>CD22</t>
        </is>
      </c>
      <c r="B364" s="18" t="inlineStr">
        <is>
          <t>D11-I02</t>
        </is>
      </c>
      <c r="C364" s="18" t="inlineStr">
        <is>
          <t>D01-I10</t>
        </is>
      </c>
      <c r="D364" s="18">
        <f>'P0-3_Scorecard'!L132</f>
        <v/>
      </c>
      <c r="E364" s="18">
        <f>'P0-3_Scorecard'!L11</f>
        <v/>
      </c>
      <c r="F364" s="18">
        <f>'P0-3_Scorecard'!M132</f>
        <v/>
      </c>
      <c r="G364" s="18">
        <f>'P0-3_Scorecard'!M11</f>
        <v/>
      </c>
      <c r="H364" s="18">
        <f>IF(OR(D364="",F364=""),"",D364-(F364*20))</f>
        <v/>
      </c>
      <c r="I364" s="18">
        <f>IF(OR(E364="",G364=""),"",E364-(G364*20))</f>
        <v/>
      </c>
      <c r="J364" s="18">
        <f>IF(OR(D364="",E364=""),"INCOMPLETE",IF(AND(D364&gt;=80,E364&lt;50),"CONTRADICTION",IF(AND(D364&gt;=70,E364&lt;70),"DEPENDENCY GAP","NO TRIGGER")))</f>
        <v/>
      </c>
      <c r="K364" s="18">
        <f>IF(J364="CONTRADICTION","HIGH",IF(J364="DEPENDENCY GAP","MEDIUM","—"))</f>
        <v/>
      </c>
      <c r="L364" s="18">
        <f>IF(J364="CONTRADICTION","Strong upstream claim is not supported by linked downstream capability/evidence. Trigger: Strategy learning review.",IF(J364="DEPENDENCY GAP","Downstream capability materially trails upstream expectation. Trigger: Strategy learning review.",""))</f>
        <v/>
      </c>
    </row>
    <row r="365">
      <c r="A365" s="18" t="inlineStr">
        <is>
          <t>CD22</t>
        </is>
      </c>
      <c r="B365" s="18" t="inlineStr">
        <is>
          <t>D11-I06</t>
        </is>
      </c>
      <c r="C365" s="18" t="inlineStr">
        <is>
          <t>D01-I02</t>
        </is>
      </c>
      <c r="D365" s="18">
        <f>'P0-3_Scorecard'!L136</f>
        <v/>
      </c>
      <c r="E365" s="18">
        <f>'P0-3_Scorecard'!L3</f>
        <v/>
      </c>
      <c r="F365" s="18">
        <f>'P0-3_Scorecard'!M136</f>
        <v/>
      </c>
      <c r="G365" s="18">
        <f>'P0-3_Scorecard'!M3</f>
        <v/>
      </c>
      <c r="H365" s="18">
        <f>IF(OR(D365="",F365=""),"",D365-(F365*20))</f>
        <v/>
      </c>
      <c r="I365" s="18">
        <f>IF(OR(E365="",G365=""),"",E365-(G365*20))</f>
        <v/>
      </c>
      <c r="J365" s="18">
        <f>IF(OR(D365="",E365=""),"INCOMPLETE",IF(AND(D365&gt;=80,E365&lt;50),"CONTRADICTION",IF(AND(D365&gt;=70,E365&lt;70),"DEPENDENCY GAP","NO TRIGGER")))</f>
        <v/>
      </c>
      <c r="K365" s="18">
        <f>IF(J365="CONTRADICTION","HIGH",IF(J365="DEPENDENCY GAP","MEDIUM","—"))</f>
        <v/>
      </c>
      <c r="L365" s="18">
        <f>IF(J365="CONTRADICTION","Strong upstream claim is not supported by linked downstream capability/evidence. Trigger: Strategy learning review.",IF(J365="DEPENDENCY GAP","Downstream capability materially trails upstream expectation. Trigger: Strategy learning review.",""))</f>
        <v/>
      </c>
    </row>
    <row r="366">
      <c r="A366" s="18" t="inlineStr">
        <is>
          <t>CD22</t>
        </is>
      </c>
      <c r="B366" s="18" t="inlineStr">
        <is>
          <t>D11-I06</t>
        </is>
      </c>
      <c r="C366" s="18" t="inlineStr">
        <is>
          <t>D01-I03</t>
        </is>
      </c>
      <c r="D366" s="18">
        <f>'P0-3_Scorecard'!L136</f>
        <v/>
      </c>
      <c r="E366" s="18">
        <f>'P0-3_Scorecard'!L4</f>
        <v/>
      </c>
      <c r="F366" s="18">
        <f>'P0-3_Scorecard'!M136</f>
        <v/>
      </c>
      <c r="G366" s="18">
        <f>'P0-3_Scorecard'!M4</f>
        <v/>
      </c>
      <c r="H366" s="18">
        <f>IF(OR(D366="",F366=""),"",D366-(F366*20))</f>
        <v/>
      </c>
      <c r="I366" s="18">
        <f>IF(OR(E366="",G366=""),"",E366-(G366*20))</f>
        <v/>
      </c>
      <c r="J366" s="18">
        <f>IF(OR(D366="",E366=""),"INCOMPLETE",IF(AND(D366&gt;=80,E366&lt;50),"CONTRADICTION",IF(AND(D366&gt;=70,E366&lt;70),"DEPENDENCY GAP","NO TRIGGER")))</f>
        <v/>
      </c>
      <c r="K366" s="18">
        <f>IF(J366="CONTRADICTION","HIGH",IF(J366="DEPENDENCY GAP","MEDIUM","—"))</f>
        <v/>
      </c>
      <c r="L366" s="18">
        <f>IF(J366="CONTRADICTION","Strong upstream claim is not supported by linked downstream capability/evidence. Trigger: Strategy learning review.",IF(J366="DEPENDENCY GAP","Downstream capability materially trails upstream expectation. Trigger: Strategy learning review.",""))</f>
        <v/>
      </c>
    </row>
    <row r="367">
      <c r="A367" s="18" t="inlineStr">
        <is>
          <t>CD22</t>
        </is>
      </c>
      <c r="B367" s="18" t="inlineStr">
        <is>
          <t>D11-I06</t>
        </is>
      </c>
      <c r="C367" s="18" t="inlineStr">
        <is>
          <t>D01-I10</t>
        </is>
      </c>
      <c r="D367" s="18">
        <f>'P0-3_Scorecard'!L136</f>
        <v/>
      </c>
      <c r="E367" s="18">
        <f>'P0-3_Scorecard'!L11</f>
        <v/>
      </c>
      <c r="F367" s="18">
        <f>'P0-3_Scorecard'!M136</f>
        <v/>
      </c>
      <c r="G367" s="18">
        <f>'P0-3_Scorecard'!M11</f>
        <v/>
      </c>
      <c r="H367" s="18">
        <f>IF(OR(D367="",F367=""),"",D367-(F367*20))</f>
        <v/>
      </c>
      <c r="I367" s="18">
        <f>IF(OR(E367="",G367=""),"",E367-(G367*20))</f>
        <v/>
      </c>
      <c r="J367" s="18">
        <f>IF(OR(D367="",E367=""),"INCOMPLETE",IF(AND(D367&gt;=80,E367&lt;50),"CONTRADICTION",IF(AND(D367&gt;=70,E367&lt;70),"DEPENDENCY GAP","NO TRIGGER")))</f>
        <v/>
      </c>
      <c r="K367" s="18">
        <f>IF(J367="CONTRADICTION","HIGH",IF(J367="DEPENDENCY GAP","MEDIUM","—"))</f>
        <v/>
      </c>
      <c r="L367" s="18">
        <f>IF(J367="CONTRADICTION","Strong upstream claim is not supported by linked downstream capability/evidence. Trigger: Strategy learning review.",IF(J367="DEPENDENCY GAP","Downstream capability materially trails upstream expectation. Trigger: Strategy learning review.",""))</f>
        <v/>
      </c>
    </row>
    <row r="368">
      <c r="A368" s="18" t="inlineStr">
        <is>
          <t>CD22</t>
        </is>
      </c>
      <c r="B368" s="18" t="inlineStr">
        <is>
          <t>D11-I13</t>
        </is>
      </c>
      <c r="C368" s="18" t="inlineStr">
        <is>
          <t>D01-I02</t>
        </is>
      </c>
      <c r="D368" s="18">
        <f>'P0-3_Scorecard'!L143</f>
        <v/>
      </c>
      <c r="E368" s="18">
        <f>'P0-3_Scorecard'!L3</f>
        <v/>
      </c>
      <c r="F368" s="18">
        <f>'P0-3_Scorecard'!M143</f>
        <v/>
      </c>
      <c r="G368" s="18">
        <f>'P0-3_Scorecard'!M3</f>
        <v/>
      </c>
      <c r="H368" s="18">
        <f>IF(OR(D368="",F368=""),"",D368-(F368*20))</f>
        <v/>
      </c>
      <c r="I368" s="18">
        <f>IF(OR(E368="",G368=""),"",E368-(G368*20))</f>
        <v/>
      </c>
      <c r="J368" s="18">
        <f>IF(OR(D368="",E368=""),"INCOMPLETE",IF(AND(D368&gt;=80,E368&lt;50),"CONTRADICTION",IF(AND(D368&gt;=70,E368&lt;70),"DEPENDENCY GAP","NO TRIGGER")))</f>
        <v/>
      </c>
      <c r="K368" s="18">
        <f>IF(J368="CONTRADICTION","HIGH",IF(J368="DEPENDENCY GAP","MEDIUM","—"))</f>
        <v/>
      </c>
      <c r="L368" s="18">
        <f>IF(J368="CONTRADICTION","Strong upstream claim is not supported by linked downstream capability/evidence. Trigger: Strategy learning review.",IF(J368="DEPENDENCY GAP","Downstream capability materially trails upstream expectation. Trigger: Strategy learning review.",""))</f>
        <v/>
      </c>
    </row>
    <row r="369">
      <c r="A369" s="18" t="inlineStr">
        <is>
          <t>CD22</t>
        </is>
      </c>
      <c r="B369" s="18" t="inlineStr">
        <is>
          <t>D11-I13</t>
        </is>
      </c>
      <c r="C369" s="18" t="inlineStr">
        <is>
          <t>D01-I03</t>
        </is>
      </c>
      <c r="D369" s="18">
        <f>'P0-3_Scorecard'!L143</f>
        <v/>
      </c>
      <c r="E369" s="18">
        <f>'P0-3_Scorecard'!L4</f>
        <v/>
      </c>
      <c r="F369" s="18">
        <f>'P0-3_Scorecard'!M143</f>
        <v/>
      </c>
      <c r="G369" s="18">
        <f>'P0-3_Scorecard'!M4</f>
        <v/>
      </c>
      <c r="H369" s="18">
        <f>IF(OR(D369="",F369=""),"",D369-(F369*20))</f>
        <v/>
      </c>
      <c r="I369" s="18">
        <f>IF(OR(E369="",G369=""),"",E369-(G369*20))</f>
        <v/>
      </c>
      <c r="J369" s="18">
        <f>IF(OR(D369="",E369=""),"INCOMPLETE",IF(AND(D369&gt;=80,E369&lt;50),"CONTRADICTION",IF(AND(D369&gt;=70,E369&lt;70),"DEPENDENCY GAP","NO TRIGGER")))</f>
        <v/>
      </c>
      <c r="K369" s="18">
        <f>IF(J369="CONTRADICTION","HIGH",IF(J369="DEPENDENCY GAP","MEDIUM","—"))</f>
        <v/>
      </c>
      <c r="L369" s="18">
        <f>IF(J369="CONTRADICTION","Strong upstream claim is not supported by linked downstream capability/evidence. Trigger: Strategy learning review.",IF(J369="DEPENDENCY GAP","Downstream capability materially trails upstream expectation. Trigger: Strategy learning review.",""))</f>
        <v/>
      </c>
    </row>
    <row r="370">
      <c r="A370" s="18" t="inlineStr">
        <is>
          <t>CD22</t>
        </is>
      </c>
      <c r="B370" s="18" t="inlineStr">
        <is>
          <t>D11-I13</t>
        </is>
      </c>
      <c r="C370" s="18" t="inlineStr">
        <is>
          <t>D01-I10</t>
        </is>
      </c>
      <c r="D370" s="18">
        <f>'P0-3_Scorecard'!L143</f>
        <v/>
      </c>
      <c r="E370" s="18">
        <f>'P0-3_Scorecard'!L11</f>
        <v/>
      </c>
      <c r="F370" s="18">
        <f>'P0-3_Scorecard'!M143</f>
        <v/>
      </c>
      <c r="G370" s="18">
        <f>'P0-3_Scorecard'!M11</f>
        <v/>
      </c>
      <c r="H370" s="18">
        <f>IF(OR(D370="",F370=""),"",D370-(F370*20))</f>
        <v/>
      </c>
      <c r="I370" s="18">
        <f>IF(OR(E370="",G370=""),"",E370-(G370*20))</f>
        <v/>
      </c>
      <c r="J370" s="18">
        <f>IF(OR(D370="",E370=""),"INCOMPLETE",IF(AND(D370&gt;=80,E370&lt;50),"CONTRADICTION",IF(AND(D370&gt;=70,E370&lt;70),"DEPENDENCY GAP","NO TRIGGER")))</f>
        <v/>
      </c>
      <c r="K370" s="18">
        <f>IF(J370="CONTRADICTION","HIGH",IF(J370="DEPENDENCY GAP","MEDIUM","—"))</f>
        <v/>
      </c>
      <c r="L370" s="18">
        <f>IF(J370="CONTRADICTION","Strong upstream claim is not supported by linked downstream capability/evidence. Trigger: Strategy learning review.",IF(J370="DEPENDENCY GAP","Downstream capability materially trails upstream expectation. Trigger: Strategy learning review.",""))</f>
        <v/>
      </c>
    </row>
    <row r="371">
      <c r="A371" s="18" t="inlineStr">
        <is>
          <t>CD22</t>
        </is>
      </c>
      <c r="B371" s="18" t="inlineStr">
        <is>
          <t>D11-I14</t>
        </is>
      </c>
      <c r="C371" s="18" t="inlineStr">
        <is>
          <t>D01-I02</t>
        </is>
      </c>
      <c r="D371" s="18">
        <f>'P0-3_Scorecard'!L144</f>
        <v/>
      </c>
      <c r="E371" s="18">
        <f>'P0-3_Scorecard'!L3</f>
        <v/>
      </c>
      <c r="F371" s="18">
        <f>'P0-3_Scorecard'!M144</f>
        <v/>
      </c>
      <c r="G371" s="18">
        <f>'P0-3_Scorecard'!M3</f>
        <v/>
      </c>
      <c r="H371" s="18">
        <f>IF(OR(D371="",F371=""),"",D371-(F371*20))</f>
        <v/>
      </c>
      <c r="I371" s="18">
        <f>IF(OR(E371="",G371=""),"",E371-(G371*20))</f>
        <v/>
      </c>
      <c r="J371" s="18">
        <f>IF(OR(D371="",E371=""),"INCOMPLETE",IF(AND(D371&gt;=80,E371&lt;50),"CONTRADICTION",IF(AND(D371&gt;=70,E371&lt;70),"DEPENDENCY GAP","NO TRIGGER")))</f>
        <v/>
      </c>
      <c r="K371" s="18">
        <f>IF(J371="CONTRADICTION","HIGH",IF(J371="DEPENDENCY GAP","MEDIUM","—"))</f>
        <v/>
      </c>
      <c r="L371" s="18">
        <f>IF(J371="CONTRADICTION","Strong upstream claim is not supported by linked downstream capability/evidence. Trigger: Strategy learning review.",IF(J371="DEPENDENCY GAP","Downstream capability materially trails upstream expectation. Trigger: Strategy learning review.",""))</f>
        <v/>
      </c>
    </row>
    <row r="372">
      <c r="A372" s="18" t="inlineStr">
        <is>
          <t>CD22</t>
        </is>
      </c>
      <c r="B372" s="18" t="inlineStr">
        <is>
          <t>D11-I14</t>
        </is>
      </c>
      <c r="C372" s="18" t="inlineStr">
        <is>
          <t>D01-I03</t>
        </is>
      </c>
      <c r="D372" s="18">
        <f>'P0-3_Scorecard'!L144</f>
        <v/>
      </c>
      <c r="E372" s="18">
        <f>'P0-3_Scorecard'!L4</f>
        <v/>
      </c>
      <c r="F372" s="18">
        <f>'P0-3_Scorecard'!M144</f>
        <v/>
      </c>
      <c r="G372" s="18">
        <f>'P0-3_Scorecard'!M4</f>
        <v/>
      </c>
      <c r="H372" s="18">
        <f>IF(OR(D372="",F372=""),"",D372-(F372*20))</f>
        <v/>
      </c>
      <c r="I372" s="18">
        <f>IF(OR(E372="",G372=""),"",E372-(G372*20))</f>
        <v/>
      </c>
      <c r="J372" s="18">
        <f>IF(OR(D372="",E372=""),"INCOMPLETE",IF(AND(D372&gt;=80,E372&lt;50),"CONTRADICTION",IF(AND(D372&gt;=70,E372&lt;70),"DEPENDENCY GAP","NO TRIGGER")))</f>
        <v/>
      </c>
      <c r="K372" s="18">
        <f>IF(J372="CONTRADICTION","HIGH",IF(J372="DEPENDENCY GAP","MEDIUM","—"))</f>
        <v/>
      </c>
      <c r="L372" s="18">
        <f>IF(J372="CONTRADICTION","Strong upstream claim is not supported by linked downstream capability/evidence. Trigger: Strategy learning review.",IF(J372="DEPENDENCY GAP","Downstream capability materially trails upstream expectation. Trigger: Strategy learning review.",""))</f>
        <v/>
      </c>
    </row>
    <row r="373">
      <c r="A373" s="18" t="inlineStr">
        <is>
          <t>CD22</t>
        </is>
      </c>
      <c r="B373" s="18" t="inlineStr">
        <is>
          <t>D11-I14</t>
        </is>
      </c>
      <c r="C373" s="18" t="inlineStr">
        <is>
          <t>D01-I10</t>
        </is>
      </c>
      <c r="D373" s="18">
        <f>'P0-3_Scorecard'!L144</f>
        <v/>
      </c>
      <c r="E373" s="18">
        <f>'P0-3_Scorecard'!L11</f>
        <v/>
      </c>
      <c r="F373" s="18">
        <f>'P0-3_Scorecard'!M144</f>
        <v/>
      </c>
      <c r="G373" s="18">
        <f>'P0-3_Scorecard'!M11</f>
        <v/>
      </c>
      <c r="H373" s="18">
        <f>IF(OR(D373="",F373=""),"",D373-(F373*20))</f>
        <v/>
      </c>
      <c r="I373" s="18">
        <f>IF(OR(E373="",G373=""),"",E373-(G373*20))</f>
        <v/>
      </c>
      <c r="J373" s="18">
        <f>IF(OR(D373="",E373=""),"INCOMPLETE",IF(AND(D373&gt;=80,E373&lt;50),"CONTRADICTION",IF(AND(D373&gt;=70,E373&lt;70),"DEPENDENCY GAP","NO TRIGGER")))</f>
        <v/>
      </c>
      <c r="K373" s="18">
        <f>IF(J373="CONTRADICTION","HIGH",IF(J373="DEPENDENCY GAP","MEDIUM","—"))</f>
        <v/>
      </c>
      <c r="L373" s="18">
        <f>IF(J373="CONTRADICTION","Strong upstream claim is not supported by linked downstream capability/evidence. Trigger: Strategy learning review.",IF(J373="DEPENDENCY GAP","Downstream capability materially trails upstream expectation. Trigger: Strategy learning review.",""))</f>
        <v/>
      </c>
    </row>
    <row r="374">
      <c r="A374" s="18" t="inlineStr">
        <is>
          <t>CD23</t>
        </is>
      </c>
      <c r="B374" s="18" t="inlineStr">
        <is>
          <t>D11-I02</t>
        </is>
      </c>
      <c r="C374" s="18" t="inlineStr">
        <is>
          <t>D04-I03</t>
        </is>
      </c>
      <c r="D374" s="18">
        <f>'P0-3_Scorecard'!L132</f>
        <v/>
      </c>
      <c r="E374" s="18">
        <f>'P0-3_Scorecard'!L45</f>
        <v/>
      </c>
      <c r="F374" s="18">
        <f>'P0-3_Scorecard'!M132</f>
        <v/>
      </c>
      <c r="G374" s="18">
        <f>'P0-3_Scorecard'!M45</f>
        <v/>
      </c>
      <c r="H374" s="18">
        <f>IF(OR(D374="",F374=""),"",D374-(F374*20))</f>
        <v/>
      </c>
      <c r="I374" s="18">
        <f>IF(OR(E374="",G374=""),"",E374-(G374*20))</f>
        <v/>
      </c>
      <c r="J374" s="18">
        <f>IF(OR(D374="",E374=""),"INCOMPLETE",IF(AND(D374&gt;=80,E374&lt;50),"CONTRADICTION",IF(AND(D374&gt;=70,E374&lt;70),"DEPENDENCY GAP","NO TRIGGER")))</f>
        <v/>
      </c>
      <c r="K374" s="18">
        <f>IF(J374="CONTRADICTION","HIGH",IF(J374="DEPENDENCY GAP","MEDIUM","—"))</f>
        <v/>
      </c>
      <c r="L374" s="18">
        <f>IF(J374="CONTRADICTION","Strong upstream claim is not supported by linked downstream capability/evidence. Trigger: Programme adaptation review.",IF(J374="DEPENDENCY GAP","Downstream capability materially trails upstream expectation. Trigger: Programme adaptation review.",""))</f>
        <v/>
      </c>
    </row>
    <row r="375">
      <c r="A375" s="18" t="inlineStr">
        <is>
          <t>CD23</t>
        </is>
      </c>
      <c r="B375" s="18" t="inlineStr">
        <is>
          <t>D11-I02</t>
        </is>
      </c>
      <c r="C375" s="18" t="inlineStr">
        <is>
          <t>D04-I05</t>
        </is>
      </c>
      <c r="D375" s="18">
        <f>'P0-3_Scorecard'!L132</f>
        <v/>
      </c>
      <c r="E375" s="18">
        <f>'P0-3_Scorecard'!L47</f>
        <v/>
      </c>
      <c r="F375" s="18">
        <f>'P0-3_Scorecard'!M132</f>
        <v/>
      </c>
      <c r="G375" s="18">
        <f>'P0-3_Scorecard'!M47</f>
        <v/>
      </c>
      <c r="H375" s="18">
        <f>IF(OR(D375="",F375=""),"",D375-(F375*20))</f>
        <v/>
      </c>
      <c r="I375" s="18">
        <f>IF(OR(E375="",G375=""),"",E375-(G375*20))</f>
        <v/>
      </c>
      <c r="J375" s="18">
        <f>IF(OR(D375="",E375=""),"INCOMPLETE",IF(AND(D375&gt;=80,E375&lt;50),"CONTRADICTION",IF(AND(D375&gt;=70,E375&lt;70),"DEPENDENCY GAP","NO TRIGGER")))</f>
        <v/>
      </c>
      <c r="K375" s="18">
        <f>IF(J375="CONTRADICTION","HIGH",IF(J375="DEPENDENCY GAP","MEDIUM","—"))</f>
        <v/>
      </c>
      <c r="L375" s="18">
        <f>IF(J375="CONTRADICTION","Strong upstream claim is not supported by linked downstream capability/evidence. Trigger: Programme adaptation review.",IF(J375="DEPENDENCY GAP","Downstream capability materially trails upstream expectation. Trigger: Programme adaptation review.",""))</f>
        <v/>
      </c>
    </row>
    <row r="376">
      <c r="A376" s="18" t="inlineStr">
        <is>
          <t>CD23</t>
        </is>
      </c>
      <c r="B376" s="18" t="inlineStr">
        <is>
          <t>D11-I02</t>
        </is>
      </c>
      <c r="C376" s="18" t="inlineStr">
        <is>
          <t>D04-I08</t>
        </is>
      </c>
      <c r="D376" s="18">
        <f>'P0-3_Scorecard'!L132</f>
        <v/>
      </c>
      <c r="E376" s="18">
        <f>'P0-3_Scorecard'!L50</f>
        <v/>
      </c>
      <c r="F376" s="18">
        <f>'P0-3_Scorecard'!M132</f>
        <v/>
      </c>
      <c r="G376" s="18">
        <f>'P0-3_Scorecard'!M50</f>
        <v/>
      </c>
      <c r="H376" s="18">
        <f>IF(OR(D376="",F376=""),"",D376-(F376*20))</f>
        <v/>
      </c>
      <c r="I376" s="18">
        <f>IF(OR(E376="",G376=""),"",E376-(G376*20))</f>
        <v/>
      </c>
      <c r="J376" s="18">
        <f>IF(OR(D376="",E376=""),"INCOMPLETE",IF(AND(D376&gt;=80,E376&lt;50),"CONTRADICTION",IF(AND(D376&gt;=70,E376&lt;70),"DEPENDENCY GAP","NO TRIGGER")))</f>
        <v/>
      </c>
      <c r="K376" s="18">
        <f>IF(J376="CONTRADICTION","HIGH",IF(J376="DEPENDENCY GAP","MEDIUM","—"))</f>
        <v/>
      </c>
      <c r="L376" s="18">
        <f>IF(J376="CONTRADICTION","Strong upstream claim is not supported by linked downstream capability/evidence. Trigger: Programme adaptation review.",IF(J376="DEPENDENCY GAP","Downstream capability materially trails upstream expectation. Trigger: Programme adaptation review.",""))</f>
        <v/>
      </c>
    </row>
    <row r="377">
      <c r="A377" s="18" t="inlineStr">
        <is>
          <t>CD23</t>
        </is>
      </c>
      <c r="B377" s="18" t="inlineStr">
        <is>
          <t>D11-I02</t>
        </is>
      </c>
      <c r="C377" s="18" t="inlineStr">
        <is>
          <t>D04-I12</t>
        </is>
      </c>
      <c r="D377" s="18">
        <f>'P0-3_Scorecard'!L132</f>
        <v/>
      </c>
      <c r="E377" s="18">
        <f>'P0-3_Scorecard'!L54</f>
        <v/>
      </c>
      <c r="F377" s="18">
        <f>'P0-3_Scorecard'!M132</f>
        <v/>
      </c>
      <c r="G377" s="18">
        <f>'P0-3_Scorecard'!M54</f>
        <v/>
      </c>
      <c r="H377" s="18">
        <f>IF(OR(D377="",F377=""),"",D377-(F377*20))</f>
        <v/>
      </c>
      <c r="I377" s="18">
        <f>IF(OR(E377="",G377=""),"",E377-(G377*20))</f>
        <v/>
      </c>
      <c r="J377" s="18">
        <f>IF(OR(D377="",E377=""),"INCOMPLETE",IF(AND(D377&gt;=80,E377&lt;50),"CONTRADICTION",IF(AND(D377&gt;=70,E377&lt;70),"DEPENDENCY GAP","NO TRIGGER")))</f>
        <v/>
      </c>
      <c r="K377" s="18">
        <f>IF(J377="CONTRADICTION","HIGH",IF(J377="DEPENDENCY GAP","MEDIUM","—"))</f>
        <v/>
      </c>
      <c r="L377" s="18">
        <f>IF(J377="CONTRADICTION","Strong upstream claim is not supported by linked downstream capability/evidence. Trigger: Programme adaptation review.",IF(J377="DEPENDENCY GAP","Downstream capability materially trails upstream expectation. Trigger: Programme adaptation review.",""))</f>
        <v/>
      </c>
    </row>
    <row r="378">
      <c r="A378" s="18" t="inlineStr">
        <is>
          <t>CD23</t>
        </is>
      </c>
      <c r="B378" s="18" t="inlineStr">
        <is>
          <t>D11-I04</t>
        </is>
      </c>
      <c r="C378" s="18" t="inlineStr">
        <is>
          <t>D04-I03</t>
        </is>
      </c>
      <c r="D378" s="18">
        <f>'P0-3_Scorecard'!L134</f>
        <v/>
      </c>
      <c r="E378" s="18">
        <f>'P0-3_Scorecard'!L45</f>
        <v/>
      </c>
      <c r="F378" s="18">
        <f>'P0-3_Scorecard'!M134</f>
        <v/>
      </c>
      <c r="G378" s="18">
        <f>'P0-3_Scorecard'!M45</f>
        <v/>
      </c>
      <c r="H378" s="18">
        <f>IF(OR(D378="",F378=""),"",D378-(F378*20))</f>
        <v/>
      </c>
      <c r="I378" s="18">
        <f>IF(OR(E378="",G378=""),"",E378-(G378*20))</f>
        <v/>
      </c>
      <c r="J378" s="18">
        <f>IF(OR(D378="",E378=""),"INCOMPLETE",IF(AND(D378&gt;=80,E378&lt;50),"CONTRADICTION",IF(AND(D378&gt;=70,E378&lt;70),"DEPENDENCY GAP","NO TRIGGER")))</f>
        <v/>
      </c>
      <c r="K378" s="18">
        <f>IF(J378="CONTRADICTION","HIGH",IF(J378="DEPENDENCY GAP","MEDIUM","—"))</f>
        <v/>
      </c>
      <c r="L378" s="18">
        <f>IF(J378="CONTRADICTION","Strong upstream claim is not supported by linked downstream capability/evidence. Trigger: Programme adaptation review.",IF(J378="DEPENDENCY GAP","Downstream capability materially trails upstream expectation. Trigger: Programme adaptation review.",""))</f>
        <v/>
      </c>
    </row>
    <row r="379">
      <c r="A379" s="18" t="inlineStr">
        <is>
          <t>CD23</t>
        </is>
      </c>
      <c r="B379" s="18" t="inlineStr">
        <is>
          <t>D11-I04</t>
        </is>
      </c>
      <c r="C379" s="18" t="inlineStr">
        <is>
          <t>D04-I05</t>
        </is>
      </c>
      <c r="D379" s="18">
        <f>'P0-3_Scorecard'!L134</f>
        <v/>
      </c>
      <c r="E379" s="18">
        <f>'P0-3_Scorecard'!L47</f>
        <v/>
      </c>
      <c r="F379" s="18">
        <f>'P0-3_Scorecard'!M134</f>
        <v/>
      </c>
      <c r="G379" s="18">
        <f>'P0-3_Scorecard'!M47</f>
        <v/>
      </c>
      <c r="H379" s="18">
        <f>IF(OR(D379="",F379=""),"",D379-(F379*20))</f>
        <v/>
      </c>
      <c r="I379" s="18">
        <f>IF(OR(E379="",G379=""),"",E379-(G379*20))</f>
        <v/>
      </c>
      <c r="J379" s="18">
        <f>IF(OR(D379="",E379=""),"INCOMPLETE",IF(AND(D379&gt;=80,E379&lt;50),"CONTRADICTION",IF(AND(D379&gt;=70,E379&lt;70),"DEPENDENCY GAP","NO TRIGGER")))</f>
        <v/>
      </c>
      <c r="K379" s="18">
        <f>IF(J379="CONTRADICTION","HIGH",IF(J379="DEPENDENCY GAP","MEDIUM","—"))</f>
        <v/>
      </c>
      <c r="L379" s="18">
        <f>IF(J379="CONTRADICTION","Strong upstream claim is not supported by linked downstream capability/evidence. Trigger: Programme adaptation review.",IF(J379="DEPENDENCY GAP","Downstream capability materially trails upstream expectation. Trigger: Programme adaptation review.",""))</f>
        <v/>
      </c>
    </row>
    <row r="380">
      <c r="A380" s="18" t="inlineStr">
        <is>
          <t>CD23</t>
        </is>
      </c>
      <c r="B380" s="18" t="inlineStr">
        <is>
          <t>D11-I04</t>
        </is>
      </c>
      <c r="C380" s="18" t="inlineStr">
        <is>
          <t>D04-I08</t>
        </is>
      </c>
      <c r="D380" s="18">
        <f>'P0-3_Scorecard'!L134</f>
        <v/>
      </c>
      <c r="E380" s="18">
        <f>'P0-3_Scorecard'!L50</f>
        <v/>
      </c>
      <c r="F380" s="18">
        <f>'P0-3_Scorecard'!M134</f>
        <v/>
      </c>
      <c r="G380" s="18">
        <f>'P0-3_Scorecard'!M50</f>
        <v/>
      </c>
      <c r="H380" s="18">
        <f>IF(OR(D380="",F380=""),"",D380-(F380*20))</f>
        <v/>
      </c>
      <c r="I380" s="18">
        <f>IF(OR(E380="",G380=""),"",E380-(G380*20))</f>
        <v/>
      </c>
      <c r="J380" s="18">
        <f>IF(OR(D380="",E380=""),"INCOMPLETE",IF(AND(D380&gt;=80,E380&lt;50),"CONTRADICTION",IF(AND(D380&gt;=70,E380&lt;70),"DEPENDENCY GAP","NO TRIGGER")))</f>
        <v/>
      </c>
      <c r="K380" s="18">
        <f>IF(J380="CONTRADICTION","HIGH",IF(J380="DEPENDENCY GAP","MEDIUM","—"))</f>
        <v/>
      </c>
      <c r="L380" s="18">
        <f>IF(J380="CONTRADICTION","Strong upstream claim is not supported by linked downstream capability/evidence. Trigger: Programme adaptation review.",IF(J380="DEPENDENCY GAP","Downstream capability materially trails upstream expectation. Trigger: Programme adaptation review.",""))</f>
        <v/>
      </c>
    </row>
    <row r="381">
      <c r="A381" s="18" t="inlineStr">
        <is>
          <t>CD23</t>
        </is>
      </c>
      <c r="B381" s="18" t="inlineStr">
        <is>
          <t>D11-I04</t>
        </is>
      </c>
      <c r="C381" s="18" t="inlineStr">
        <is>
          <t>D04-I12</t>
        </is>
      </c>
      <c r="D381" s="18">
        <f>'P0-3_Scorecard'!L134</f>
        <v/>
      </c>
      <c r="E381" s="18">
        <f>'P0-3_Scorecard'!L54</f>
        <v/>
      </c>
      <c r="F381" s="18">
        <f>'P0-3_Scorecard'!M134</f>
        <v/>
      </c>
      <c r="G381" s="18">
        <f>'P0-3_Scorecard'!M54</f>
        <v/>
      </c>
      <c r="H381" s="18">
        <f>IF(OR(D381="",F381=""),"",D381-(F381*20))</f>
        <v/>
      </c>
      <c r="I381" s="18">
        <f>IF(OR(E381="",G381=""),"",E381-(G381*20))</f>
        <v/>
      </c>
      <c r="J381" s="18">
        <f>IF(OR(D381="",E381=""),"INCOMPLETE",IF(AND(D381&gt;=80,E381&lt;50),"CONTRADICTION",IF(AND(D381&gt;=70,E381&lt;70),"DEPENDENCY GAP","NO TRIGGER")))</f>
        <v/>
      </c>
      <c r="K381" s="18">
        <f>IF(J381="CONTRADICTION","HIGH",IF(J381="DEPENDENCY GAP","MEDIUM","—"))</f>
        <v/>
      </c>
      <c r="L381" s="18">
        <f>IF(J381="CONTRADICTION","Strong upstream claim is not supported by linked downstream capability/evidence. Trigger: Programme adaptation review.",IF(J381="DEPENDENCY GAP","Downstream capability materially trails upstream expectation. Trigger: Programme adaptation review.",""))</f>
        <v/>
      </c>
    </row>
    <row r="382">
      <c r="A382" s="18" t="inlineStr">
        <is>
          <t>CD23</t>
        </is>
      </c>
      <c r="B382" s="18" t="inlineStr">
        <is>
          <t>D11-I07</t>
        </is>
      </c>
      <c r="C382" s="18" t="inlineStr">
        <is>
          <t>D04-I03</t>
        </is>
      </c>
      <c r="D382" s="18">
        <f>'P0-3_Scorecard'!L137</f>
        <v/>
      </c>
      <c r="E382" s="18">
        <f>'P0-3_Scorecard'!L45</f>
        <v/>
      </c>
      <c r="F382" s="18">
        <f>'P0-3_Scorecard'!M137</f>
        <v/>
      </c>
      <c r="G382" s="18">
        <f>'P0-3_Scorecard'!M45</f>
        <v/>
      </c>
      <c r="H382" s="18">
        <f>IF(OR(D382="",F382=""),"",D382-(F382*20))</f>
        <v/>
      </c>
      <c r="I382" s="18">
        <f>IF(OR(E382="",G382=""),"",E382-(G382*20))</f>
        <v/>
      </c>
      <c r="J382" s="18">
        <f>IF(OR(D382="",E382=""),"INCOMPLETE",IF(AND(D382&gt;=80,E382&lt;50),"CONTRADICTION",IF(AND(D382&gt;=70,E382&lt;70),"DEPENDENCY GAP","NO TRIGGER")))</f>
        <v/>
      </c>
      <c r="K382" s="18">
        <f>IF(J382="CONTRADICTION","HIGH",IF(J382="DEPENDENCY GAP","MEDIUM","—"))</f>
        <v/>
      </c>
      <c r="L382" s="18">
        <f>IF(J382="CONTRADICTION","Strong upstream claim is not supported by linked downstream capability/evidence. Trigger: Programme adaptation review.",IF(J382="DEPENDENCY GAP","Downstream capability materially trails upstream expectation. Trigger: Programme adaptation review.",""))</f>
        <v/>
      </c>
    </row>
    <row r="383">
      <c r="A383" s="18" t="inlineStr">
        <is>
          <t>CD23</t>
        </is>
      </c>
      <c r="B383" s="18" t="inlineStr">
        <is>
          <t>D11-I07</t>
        </is>
      </c>
      <c r="C383" s="18" t="inlineStr">
        <is>
          <t>D04-I05</t>
        </is>
      </c>
      <c r="D383" s="18">
        <f>'P0-3_Scorecard'!L137</f>
        <v/>
      </c>
      <c r="E383" s="18">
        <f>'P0-3_Scorecard'!L47</f>
        <v/>
      </c>
      <c r="F383" s="18">
        <f>'P0-3_Scorecard'!M137</f>
        <v/>
      </c>
      <c r="G383" s="18">
        <f>'P0-3_Scorecard'!M47</f>
        <v/>
      </c>
      <c r="H383" s="18">
        <f>IF(OR(D383="",F383=""),"",D383-(F383*20))</f>
        <v/>
      </c>
      <c r="I383" s="18">
        <f>IF(OR(E383="",G383=""),"",E383-(G383*20))</f>
        <v/>
      </c>
      <c r="J383" s="18">
        <f>IF(OR(D383="",E383=""),"INCOMPLETE",IF(AND(D383&gt;=80,E383&lt;50),"CONTRADICTION",IF(AND(D383&gt;=70,E383&lt;70),"DEPENDENCY GAP","NO TRIGGER")))</f>
        <v/>
      </c>
      <c r="K383" s="18">
        <f>IF(J383="CONTRADICTION","HIGH",IF(J383="DEPENDENCY GAP","MEDIUM","—"))</f>
        <v/>
      </c>
      <c r="L383" s="18">
        <f>IF(J383="CONTRADICTION","Strong upstream claim is not supported by linked downstream capability/evidence. Trigger: Programme adaptation review.",IF(J383="DEPENDENCY GAP","Downstream capability materially trails upstream expectation. Trigger: Programme adaptation review.",""))</f>
        <v/>
      </c>
    </row>
    <row r="384">
      <c r="A384" s="18" t="inlineStr">
        <is>
          <t>CD23</t>
        </is>
      </c>
      <c r="B384" s="18" t="inlineStr">
        <is>
          <t>D11-I07</t>
        </is>
      </c>
      <c r="C384" s="18" t="inlineStr">
        <is>
          <t>D04-I08</t>
        </is>
      </c>
      <c r="D384" s="18">
        <f>'P0-3_Scorecard'!L137</f>
        <v/>
      </c>
      <c r="E384" s="18">
        <f>'P0-3_Scorecard'!L50</f>
        <v/>
      </c>
      <c r="F384" s="18">
        <f>'P0-3_Scorecard'!M137</f>
        <v/>
      </c>
      <c r="G384" s="18">
        <f>'P0-3_Scorecard'!M50</f>
        <v/>
      </c>
      <c r="H384" s="18">
        <f>IF(OR(D384="",F384=""),"",D384-(F384*20))</f>
        <v/>
      </c>
      <c r="I384" s="18">
        <f>IF(OR(E384="",G384=""),"",E384-(G384*20))</f>
        <v/>
      </c>
      <c r="J384" s="18">
        <f>IF(OR(D384="",E384=""),"INCOMPLETE",IF(AND(D384&gt;=80,E384&lt;50),"CONTRADICTION",IF(AND(D384&gt;=70,E384&lt;70),"DEPENDENCY GAP","NO TRIGGER")))</f>
        <v/>
      </c>
      <c r="K384" s="18">
        <f>IF(J384="CONTRADICTION","HIGH",IF(J384="DEPENDENCY GAP","MEDIUM","—"))</f>
        <v/>
      </c>
      <c r="L384" s="18">
        <f>IF(J384="CONTRADICTION","Strong upstream claim is not supported by linked downstream capability/evidence. Trigger: Programme adaptation review.",IF(J384="DEPENDENCY GAP","Downstream capability materially trails upstream expectation. Trigger: Programme adaptation review.",""))</f>
        <v/>
      </c>
    </row>
    <row r="385">
      <c r="A385" s="18" t="inlineStr">
        <is>
          <t>CD23</t>
        </is>
      </c>
      <c r="B385" s="18" t="inlineStr">
        <is>
          <t>D11-I07</t>
        </is>
      </c>
      <c r="C385" s="18" t="inlineStr">
        <is>
          <t>D04-I12</t>
        </is>
      </c>
      <c r="D385" s="18">
        <f>'P0-3_Scorecard'!L137</f>
        <v/>
      </c>
      <c r="E385" s="18">
        <f>'P0-3_Scorecard'!L54</f>
        <v/>
      </c>
      <c r="F385" s="18">
        <f>'P0-3_Scorecard'!M137</f>
        <v/>
      </c>
      <c r="G385" s="18">
        <f>'P0-3_Scorecard'!M54</f>
        <v/>
      </c>
      <c r="H385" s="18">
        <f>IF(OR(D385="",F385=""),"",D385-(F385*20))</f>
        <v/>
      </c>
      <c r="I385" s="18">
        <f>IF(OR(E385="",G385=""),"",E385-(G385*20))</f>
        <v/>
      </c>
      <c r="J385" s="18">
        <f>IF(OR(D385="",E385=""),"INCOMPLETE",IF(AND(D385&gt;=80,E385&lt;50),"CONTRADICTION",IF(AND(D385&gt;=70,E385&lt;70),"DEPENDENCY GAP","NO TRIGGER")))</f>
        <v/>
      </c>
      <c r="K385" s="18">
        <f>IF(J385="CONTRADICTION","HIGH",IF(J385="DEPENDENCY GAP","MEDIUM","—"))</f>
        <v/>
      </c>
      <c r="L385" s="18">
        <f>IF(J385="CONTRADICTION","Strong upstream claim is not supported by linked downstream capability/evidence. Trigger: Programme adaptation review.",IF(J385="DEPENDENCY GAP","Downstream capability materially trails upstream expectation. Trigger: Programme adaptation review.",""))</f>
        <v/>
      </c>
    </row>
    <row r="386">
      <c r="A386" s="18" t="inlineStr">
        <is>
          <t>CD23</t>
        </is>
      </c>
      <c r="B386" s="18" t="inlineStr">
        <is>
          <t>D11-I09</t>
        </is>
      </c>
      <c r="C386" s="18" t="inlineStr">
        <is>
          <t>D04-I03</t>
        </is>
      </c>
      <c r="D386" s="18">
        <f>'P0-3_Scorecard'!L139</f>
        <v/>
      </c>
      <c r="E386" s="18">
        <f>'P0-3_Scorecard'!L45</f>
        <v/>
      </c>
      <c r="F386" s="18">
        <f>'P0-3_Scorecard'!M139</f>
        <v/>
      </c>
      <c r="G386" s="18">
        <f>'P0-3_Scorecard'!M45</f>
        <v/>
      </c>
      <c r="H386" s="18">
        <f>IF(OR(D386="",F386=""),"",D386-(F386*20))</f>
        <v/>
      </c>
      <c r="I386" s="18">
        <f>IF(OR(E386="",G386=""),"",E386-(G386*20))</f>
        <v/>
      </c>
      <c r="J386" s="18">
        <f>IF(OR(D386="",E386=""),"INCOMPLETE",IF(AND(D386&gt;=80,E386&lt;50),"CONTRADICTION",IF(AND(D386&gt;=70,E386&lt;70),"DEPENDENCY GAP","NO TRIGGER")))</f>
        <v/>
      </c>
      <c r="K386" s="18">
        <f>IF(J386="CONTRADICTION","HIGH",IF(J386="DEPENDENCY GAP","MEDIUM","—"))</f>
        <v/>
      </c>
      <c r="L386" s="18">
        <f>IF(J386="CONTRADICTION","Strong upstream claim is not supported by linked downstream capability/evidence. Trigger: Programme adaptation review.",IF(J386="DEPENDENCY GAP","Downstream capability materially trails upstream expectation. Trigger: Programme adaptation review.",""))</f>
        <v/>
      </c>
    </row>
    <row r="387">
      <c r="A387" s="18" t="inlineStr">
        <is>
          <t>CD23</t>
        </is>
      </c>
      <c r="B387" s="18" t="inlineStr">
        <is>
          <t>D11-I09</t>
        </is>
      </c>
      <c r="C387" s="18" t="inlineStr">
        <is>
          <t>D04-I05</t>
        </is>
      </c>
      <c r="D387" s="18">
        <f>'P0-3_Scorecard'!L139</f>
        <v/>
      </c>
      <c r="E387" s="18">
        <f>'P0-3_Scorecard'!L47</f>
        <v/>
      </c>
      <c r="F387" s="18">
        <f>'P0-3_Scorecard'!M139</f>
        <v/>
      </c>
      <c r="G387" s="18">
        <f>'P0-3_Scorecard'!M47</f>
        <v/>
      </c>
      <c r="H387" s="18">
        <f>IF(OR(D387="",F387=""),"",D387-(F387*20))</f>
        <v/>
      </c>
      <c r="I387" s="18">
        <f>IF(OR(E387="",G387=""),"",E387-(G387*20))</f>
        <v/>
      </c>
      <c r="J387" s="18">
        <f>IF(OR(D387="",E387=""),"INCOMPLETE",IF(AND(D387&gt;=80,E387&lt;50),"CONTRADICTION",IF(AND(D387&gt;=70,E387&lt;70),"DEPENDENCY GAP","NO TRIGGER")))</f>
        <v/>
      </c>
      <c r="K387" s="18">
        <f>IF(J387="CONTRADICTION","HIGH",IF(J387="DEPENDENCY GAP","MEDIUM","—"))</f>
        <v/>
      </c>
      <c r="L387" s="18">
        <f>IF(J387="CONTRADICTION","Strong upstream claim is not supported by linked downstream capability/evidence. Trigger: Programme adaptation review.",IF(J387="DEPENDENCY GAP","Downstream capability materially trails upstream expectation. Trigger: Programme adaptation review.",""))</f>
        <v/>
      </c>
    </row>
    <row r="388">
      <c r="A388" s="18" t="inlineStr">
        <is>
          <t>CD23</t>
        </is>
      </c>
      <c r="B388" s="18" t="inlineStr">
        <is>
          <t>D11-I09</t>
        </is>
      </c>
      <c r="C388" s="18" t="inlineStr">
        <is>
          <t>D04-I08</t>
        </is>
      </c>
      <c r="D388" s="18">
        <f>'P0-3_Scorecard'!L139</f>
        <v/>
      </c>
      <c r="E388" s="18">
        <f>'P0-3_Scorecard'!L50</f>
        <v/>
      </c>
      <c r="F388" s="18">
        <f>'P0-3_Scorecard'!M139</f>
        <v/>
      </c>
      <c r="G388" s="18">
        <f>'P0-3_Scorecard'!M50</f>
        <v/>
      </c>
      <c r="H388" s="18">
        <f>IF(OR(D388="",F388=""),"",D388-(F388*20))</f>
        <v/>
      </c>
      <c r="I388" s="18">
        <f>IF(OR(E388="",G388=""),"",E388-(G388*20))</f>
        <v/>
      </c>
      <c r="J388" s="18">
        <f>IF(OR(D388="",E388=""),"INCOMPLETE",IF(AND(D388&gt;=80,E388&lt;50),"CONTRADICTION",IF(AND(D388&gt;=70,E388&lt;70),"DEPENDENCY GAP","NO TRIGGER")))</f>
        <v/>
      </c>
      <c r="K388" s="18">
        <f>IF(J388="CONTRADICTION","HIGH",IF(J388="DEPENDENCY GAP","MEDIUM","—"))</f>
        <v/>
      </c>
      <c r="L388" s="18">
        <f>IF(J388="CONTRADICTION","Strong upstream claim is not supported by linked downstream capability/evidence. Trigger: Programme adaptation review.",IF(J388="DEPENDENCY GAP","Downstream capability materially trails upstream expectation. Trigger: Programme adaptation review.",""))</f>
        <v/>
      </c>
    </row>
    <row r="389">
      <c r="A389" s="18" t="inlineStr">
        <is>
          <t>CD23</t>
        </is>
      </c>
      <c r="B389" s="18" t="inlineStr">
        <is>
          <t>D11-I09</t>
        </is>
      </c>
      <c r="C389" s="18" t="inlineStr">
        <is>
          <t>D04-I12</t>
        </is>
      </c>
      <c r="D389" s="18">
        <f>'P0-3_Scorecard'!L139</f>
        <v/>
      </c>
      <c r="E389" s="18">
        <f>'P0-3_Scorecard'!L54</f>
        <v/>
      </c>
      <c r="F389" s="18">
        <f>'P0-3_Scorecard'!M139</f>
        <v/>
      </c>
      <c r="G389" s="18">
        <f>'P0-3_Scorecard'!M54</f>
        <v/>
      </c>
      <c r="H389" s="18">
        <f>IF(OR(D389="",F389=""),"",D389-(F389*20))</f>
        <v/>
      </c>
      <c r="I389" s="18">
        <f>IF(OR(E389="",G389=""),"",E389-(G389*20))</f>
        <v/>
      </c>
      <c r="J389" s="18">
        <f>IF(OR(D389="",E389=""),"INCOMPLETE",IF(AND(D389&gt;=80,E389&lt;50),"CONTRADICTION",IF(AND(D389&gt;=70,E389&lt;70),"DEPENDENCY GAP","NO TRIGGER")))</f>
        <v/>
      </c>
      <c r="K389" s="18">
        <f>IF(J389="CONTRADICTION","HIGH",IF(J389="DEPENDENCY GAP","MEDIUM","—"))</f>
        <v/>
      </c>
      <c r="L389" s="18">
        <f>IF(J389="CONTRADICTION","Strong upstream claim is not supported by linked downstream capability/evidence. Trigger: Programme adaptation review.",IF(J389="DEPENDENCY GAP","Downstream capability materially trails upstream expectation. Trigger: Programme adaptation review.",""))</f>
        <v/>
      </c>
    </row>
    <row r="390">
      <c r="A390" s="18" t="inlineStr">
        <is>
          <t>CD23</t>
        </is>
      </c>
      <c r="B390" s="18" t="inlineStr">
        <is>
          <t>D11-I10</t>
        </is>
      </c>
      <c r="C390" s="18" t="inlineStr">
        <is>
          <t>D04-I03</t>
        </is>
      </c>
      <c r="D390" s="18">
        <f>'P0-3_Scorecard'!L140</f>
        <v/>
      </c>
      <c r="E390" s="18">
        <f>'P0-3_Scorecard'!L45</f>
        <v/>
      </c>
      <c r="F390" s="18">
        <f>'P0-3_Scorecard'!M140</f>
        <v/>
      </c>
      <c r="G390" s="18">
        <f>'P0-3_Scorecard'!M45</f>
        <v/>
      </c>
      <c r="H390" s="18">
        <f>IF(OR(D390="",F390=""),"",D390-(F390*20))</f>
        <v/>
      </c>
      <c r="I390" s="18">
        <f>IF(OR(E390="",G390=""),"",E390-(G390*20))</f>
        <v/>
      </c>
      <c r="J390" s="18">
        <f>IF(OR(D390="",E390=""),"INCOMPLETE",IF(AND(D390&gt;=80,E390&lt;50),"CONTRADICTION",IF(AND(D390&gt;=70,E390&lt;70),"DEPENDENCY GAP","NO TRIGGER")))</f>
        <v/>
      </c>
      <c r="K390" s="18">
        <f>IF(J390="CONTRADICTION","HIGH",IF(J390="DEPENDENCY GAP","MEDIUM","—"))</f>
        <v/>
      </c>
      <c r="L390" s="18">
        <f>IF(J390="CONTRADICTION","Strong upstream claim is not supported by linked downstream capability/evidence. Trigger: Programme adaptation review.",IF(J390="DEPENDENCY GAP","Downstream capability materially trails upstream expectation. Trigger: Programme adaptation review.",""))</f>
        <v/>
      </c>
    </row>
    <row r="391">
      <c r="A391" s="18" t="inlineStr">
        <is>
          <t>CD23</t>
        </is>
      </c>
      <c r="B391" s="18" t="inlineStr">
        <is>
          <t>D11-I10</t>
        </is>
      </c>
      <c r="C391" s="18" t="inlineStr">
        <is>
          <t>D04-I05</t>
        </is>
      </c>
      <c r="D391" s="18">
        <f>'P0-3_Scorecard'!L140</f>
        <v/>
      </c>
      <c r="E391" s="18">
        <f>'P0-3_Scorecard'!L47</f>
        <v/>
      </c>
      <c r="F391" s="18">
        <f>'P0-3_Scorecard'!M140</f>
        <v/>
      </c>
      <c r="G391" s="18">
        <f>'P0-3_Scorecard'!M47</f>
        <v/>
      </c>
      <c r="H391" s="18">
        <f>IF(OR(D391="",F391=""),"",D391-(F391*20))</f>
        <v/>
      </c>
      <c r="I391" s="18">
        <f>IF(OR(E391="",G391=""),"",E391-(G391*20))</f>
        <v/>
      </c>
      <c r="J391" s="18">
        <f>IF(OR(D391="",E391=""),"INCOMPLETE",IF(AND(D391&gt;=80,E391&lt;50),"CONTRADICTION",IF(AND(D391&gt;=70,E391&lt;70),"DEPENDENCY GAP","NO TRIGGER")))</f>
        <v/>
      </c>
      <c r="K391" s="18">
        <f>IF(J391="CONTRADICTION","HIGH",IF(J391="DEPENDENCY GAP","MEDIUM","—"))</f>
        <v/>
      </c>
      <c r="L391" s="18">
        <f>IF(J391="CONTRADICTION","Strong upstream claim is not supported by linked downstream capability/evidence. Trigger: Programme adaptation review.",IF(J391="DEPENDENCY GAP","Downstream capability materially trails upstream expectation. Trigger: Programme adaptation review.",""))</f>
        <v/>
      </c>
    </row>
    <row r="392">
      <c r="A392" s="18" t="inlineStr">
        <is>
          <t>CD23</t>
        </is>
      </c>
      <c r="B392" s="18" t="inlineStr">
        <is>
          <t>D11-I10</t>
        </is>
      </c>
      <c r="C392" s="18" t="inlineStr">
        <is>
          <t>D04-I08</t>
        </is>
      </c>
      <c r="D392" s="18">
        <f>'P0-3_Scorecard'!L140</f>
        <v/>
      </c>
      <c r="E392" s="18">
        <f>'P0-3_Scorecard'!L50</f>
        <v/>
      </c>
      <c r="F392" s="18">
        <f>'P0-3_Scorecard'!M140</f>
        <v/>
      </c>
      <c r="G392" s="18">
        <f>'P0-3_Scorecard'!M50</f>
        <v/>
      </c>
      <c r="H392" s="18">
        <f>IF(OR(D392="",F392=""),"",D392-(F392*20))</f>
        <v/>
      </c>
      <c r="I392" s="18">
        <f>IF(OR(E392="",G392=""),"",E392-(G392*20))</f>
        <v/>
      </c>
      <c r="J392" s="18">
        <f>IF(OR(D392="",E392=""),"INCOMPLETE",IF(AND(D392&gt;=80,E392&lt;50),"CONTRADICTION",IF(AND(D392&gt;=70,E392&lt;70),"DEPENDENCY GAP","NO TRIGGER")))</f>
        <v/>
      </c>
      <c r="K392" s="18">
        <f>IF(J392="CONTRADICTION","HIGH",IF(J392="DEPENDENCY GAP","MEDIUM","—"))</f>
        <v/>
      </c>
      <c r="L392" s="18">
        <f>IF(J392="CONTRADICTION","Strong upstream claim is not supported by linked downstream capability/evidence. Trigger: Programme adaptation review.",IF(J392="DEPENDENCY GAP","Downstream capability materially trails upstream expectation. Trigger: Programme adaptation review.",""))</f>
        <v/>
      </c>
    </row>
    <row r="393">
      <c r="A393" s="18" t="inlineStr">
        <is>
          <t>CD23</t>
        </is>
      </c>
      <c r="B393" s="18" t="inlineStr">
        <is>
          <t>D11-I10</t>
        </is>
      </c>
      <c r="C393" s="18" t="inlineStr">
        <is>
          <t>D04-I12</t>
        </is>
      </c>
      <c r="D393" s="18">
        <f>'P0-3_Scorecard'!L140</f>
        <v/>
      </c>
      <c r="E393" s="18">
        <f>'P0-3_Scorecard'!L54</f>
        <v/>
      </c>
      <c r="F393" s="18">
        <f>'P0-3_Scorecard'!M140</f>
        <v/>
      </c>
      <c r="G393" s="18">
        <f>'P0-3_Scorecard'!M54</f>
        <v/>
      </c>
      <c r="H393" s="18">
        <f>IF(OR(D393="",F393=""),"",D393-(F393*20))</f>
        <v/>
      </c>
      <c r="I393" s="18">
        <f>IF(OR(E393="",G393=""),"",E393-(G393*20))</f>
        <v/>
      </c>
      <c r="J393" s="18">
        <f>IF(OR(D393="",E393=""),"INCOMPLETE",IF(AND(D393&gt;=80,E393&lt;50),"CONTRADICTION",IF(AND(D393&gt;=70,E393&lt;70),"DEPENDENCY GAP","NO TRIGGER")))</f>
        <v/>
      </c>
      <c r="K393" s="18">
        <f>IF(J393="CONTRADICTION","HIGH",IF(J393="DEPENDENCY GAP","MEDIUM","—"))</f>
        <v/>
      </c>
      <c r="L393" s="18">
        <f>IF(J393="CONTRADICTION","Strong upstream claim is not supported by linked downstream capability/evidence. Trigger: Programme adaptation review.",IF(J393="DEPENDENCY GAP","Downstream capability materially trails upstream expectation. Trigger: Programme adaptation review.",""))</f>
        <v/>
      </c>
    </row>
    <row r="394">
      <c r="A394" s="18" t="inlineStr">
        <is>
          <t>CD24</t>
        </is>
      </c>
      <c r="B394" s="18" t="inlineStr">
        <is>
          <t>D11-I02</t>
        </is>
      </c>
      <c r="C394" s="18" t="inlineStr">
        <is>
          <t>D05-I08</t>
        </is>
      </c>
      <c r="D394" s="18">
        <f>'P0-3_Scorecard'!L132</f>
        <v/>
      </c>
      <c r="E394" s="18">
        <f>'P0-3_Scorecard'!L62</f>
        <v/>
      </c>
      <c r="F394" s="18">
        <f>'P0-3_Scorecard'!M132</f>
        <v/>
      </c>
      <c r="G394" s="18">
        <f>'P0-3_Scorecard'!M62</f>
        <v/>
      </c>
      <c r="H394" s="18">
        <f>IF(OR(D394="",F394=""),"",D394-(F394*20))</f>
        <v/>
      </c>
      <c r="I394" s="18">
        <f>IF(OR(E394="",G394=""),"",E394-(G394*20))</f>
        <v/>
      </c>
      <c r="J394" s="18">
        <f>IF(OR(D394="",E394=""),"INCOMPLETE",IF(AND(D394&gt;=80,E394&lt;50),"CONTRADICTION",IF(AND(D394&gt;=70,E394&lt;70),"DEPENDENCY GAP","NO TRIGGER")))</f>
        <v/>
      </c>
      <c r="K394" s="18">
        <f>IF(J394="CONTRADICTION","HIGH",IF(J394="DEPENDENCY GAP","MEDIUM","—"))</f>
        <v/>
      </c>
      <c r="L394" s="18">
        <f>IF(J394="CONTRADICTION","Strong upstream claim is not supported by linked downstream capability/evidence. Trigger: Academic workforce review.",IF(J394="DEPENDENCY GAP","Downstream capability materially trails upstream expectation. Trigger: Academic workforce review.",""))</f>
        <v/>
      </c>
    </row>
    <row r="395">
      <c r="A395" s="18" t="inlineStr">
        <is>
          <t>CD24</t>
        </is>
      </c>
      <c r="B395" s="18" t="inlineStr">
        <is>
          <t>D11-I02</t>
        </is>
      </c>
      <c r="C395" s="18" t="inlineStr">
        <is>
          <t>D05-I09</t>
        </is>
      </c>
      <c r="D395" s="18">
        <f>'P0-3_Scorecard'!L132</f>
        <v/>
      </c>
      <c r="E395" s="18">
        <f>'P0-3_Scorecard'!L63</f>
        <v/>
      </c>
      <c r="F395" s="18">
        <f>'P0-3_Scorecard'!M132</f>
        <v/>
      </c>
      <c r="G395" s="18">
        <f>'P0-3_Scorecard'!M63</f>
        <v/>
      </c>
      <c r="H395" s="18">
        <f>IF(OR(D395="",F395=""),"",D395-(F395*20))</f>
        <v/>
      </c>
      <c r="I395" s="18">
        <f>IF(OR(E395="",G395=""),"",E395-(G395*20))</f>
        <v/>
      </c>
      <c r="J395" s="18">
        <f>IF(OR(D395="",E395=""),"INCOMPLETE",IF(AND(D395&gt;=80,E395&lt;50),"CONTRADICTION",IF(AND(D395&gt;=70,E395&lt;70),"DEPENDENCY GAP","NO TRIGGER")))</f>
        <v/>
      </c>
      <c r="K395" s="18">
        <f>IF(J395="CONTRADICTION","HIGH",IF(J395="DEPENDENCY GAP","MEDIUM","—"))</f>
        <v/>
      </c>
      <c r="L395" s="18">
        <f>IF(J395="CONTRADICTION","Strong upstream claim is not supported by linked downstream capability/evidence. Trigger: Academic workforce review.",IF(J395="DEPENDENCY GAP","Downstream capability materially trails upstream expectation. Trigger: Academic workforce review.",""))</f>
        <v/>
      </c>
    </row>
    <row r="396">
      <c r="A396" s="18" t="inlineStr">
        <is>
          <t>CD24</t>
        </is>
      </c>
      <c r="B396" s="18" t="inlineStr">
        <is>
          <t>D11-I02</t>
        </is>
      </c>
      <c r="C396" s="18" t="inlineStr">
        <is>
          <t>D05-I10</t>
        </is>
      </c>
      <c r="D396" s="18">
        <f>'P0-3_Scorecard'!L132</f>
        <v/>
      </c>
      <c r="E396" s="18">
        <f>'P0-3_Scorecard'!L64</f>
        <v/>
      </c>
      <c r="F396" s="18">
        <f>'P0-3_Scorecard'!M132</f>
        <v/>
      </c>
      <c r="G396" s="18">
        <f>'P0-3_Scorecard'!M64</f>
        <v/>
      </c>
      <c r="H396" s="18">
        <f>IF(OR(D396="",F396=""),"",D396-(F396*20))</f>
        <v/>
      </c>
      <c r="I396" s="18">
        <f>IF(OR(E396="",G396=""),"",E396-(G396*20))</f>
        <v/>
      </c>
      <c r="J396" s="18">
        <f>IF(OR(D396="",E396=""),"INCOMPLETE",IF(AND(D396&gt;=80,E396&lt;50),"CONTRADICTION",IF(AND(D396&gt;=70,E396&lt;70),"DEPENDENCY GAP","NO TRIGGER")))</f>
        <v/>
      </c>
      <c r="K396" s="18">
        <f>IF(J396="CONTRADICTION","HIGH",IF(J396="DEPENDENCY GAP","MEDIUM","—"))</f>
        <v/>
      </c>
      <c r="L396" s="18">
        <f>IF(J396="CONTRADICTION","Strong upstream claim is not supported by linked downstream capability/evidence. Trigger: Academic workforce review.",IF(J396="DEPENDENCY GAP","Downstream capability materially trails upstream expectation. Trigger: Academic workforce review.",""))</f>
        <v/>
      </c>
    </row>
    <row r="397">
      <c r="A397" s="18" t="inlineStr">
        <is>
          <t>CD24</t>
        </is>
      </c>
      <c r="B397" s="18" t="inlineStr">
        <is>
          <t>D11-I02</t>
        </is>
      </c>
      <c r="C397" s="18" t="inlineStr">
        <is>
          <t>D05-I12</t>
        </is>
      </c>
      <c r="D397" s="18">
        <f>'P0-3_Scorecard'!L132</f>
        <v/>
      </c>
      <c r="E397" s="18">
        <f>'P0-3_Scorecard'!L66</f>
        <v/>
      </c>
      <c r="F397" s="18">
        <f>'P0-3_Scorecard'!M132</f>
        <v/>
      </c>
      <c r="G397" s="18">
        <f>'P0-3_Scorecard'!M66</f>
        <v/>
      </c>
      <c r="H397" s="18">
        <f>IF(OR(D397="",F397=""),"",D397-(F397*20))</f>
        <v/>
      </c>
      <c r="I397" s="18">
        <f>IF(OR(E397="",G397=""),"",E397-(G397*20))</f>
        <v/>
      </c>
      <c r="J397" s="18">
        <f>IF(OR(D397="",E397=""),"INCOMPLETE",IF(AND(D397&gt;=80,E397&lt;50),"CONTRADICTION",IF(AND(D397&gt;=70,E397&lt;70),"DEPENDENCY GAP","NO TRIGGER")))</f>
        <v/>
      </c>
      <c r="K397" s="18">
        <f>IF(J397="CONTRADICTION","HIGH",IF(J397="DEPENDENCY GAP","MEDIUM","—"))</f>
        <v/>
      </c>
      <c r="L397" s="18">
        <f>IF(J397="CONTRADICTION","Strong upstream claim is not supported by linked downstream capability/evidence. Trigger: Academic workforce review.",IF(J397="DEPENDENCY GAP","Downstream capability materially trails upstream expectation. Trigger: Academic workforce review.",""))</f>
        <v/>
      </c>
    </row>
    <row r="398">
      <c r="A398" s="18" t="inlineStr">
        <is>
          <t>CD24</t>
        </is>
      </c>
      <c r="B398" s="18" t="inlineStr">
        <is>
          <t>D11-I07</t>
        </is>
      </c>
      <c r="C398" s="18" t="inlineStr">
        <is>
          <t>D05-I08</t>
        </is>
      </c>
      <c r="D398" s="18">
        <f>'P0-3_Scorecard'!L137</f>
        <v/>
      </c>
      <c r="E398" s="18">
        <f>'P0-3_Scorecard'!L62</f>
        <v/>
      </c>
      <c r="F398" s="18">
        <f>'P0-3_Scorecard'!M137</f>
        <v/>
      </c>
      <c r="G398" s="18">
        <f>'P0-3_Scorecard'!M62</f>
        <v/>
      </c>
      <c r="H398" s="18">
        <f>IF(OR(D398="",F398=""),"",D398-(F398*20))</f>
        <v/>
      </c>
      <c r="I398" s="18">
        <f>IF(OR(E398="",G398=""),"",E398-(G398*20))</f>
        <v/>
      </c>
      <c r="J398" s="18">
        <f>IF(OR(D398="",E398=""),"INCOMPLETE",IF(AND(D398&gt;=80,E398&lt;50),"CONTRADICTION",IF(AND(D398&gt;=70,E398&lt;70),"DEPENDENCY GAP","NO TRIGGER")))</f>
        <v/>
      </c>
      <c r="K398" s="18">
        <f>IF(J398="CONTRADICTION","HIGH",IF(J398="DEPENDENCY GAP","MEDIUM","—"))</f>
        <v/>
      </c>
      <c r="L398" s="18">
        <f>IF(J398="CONTRADICTION","Strong upstream claim is not supported by linked downstream capability/evidence. Trigger: Academic workforce review.",IF(J398="DEPENDENCY GAP","Downstream capability materially trails upstream expectation. Trigger: Academic workforce review.",""))</f>
        <v/>
      </c>
    </row>
    <row r="399">
      <c r="A399" s="18" t="inlineStr">
        <is>
          <t>CD24</t>
        </is>
      </c>
      <c r="B399" s="18" t="inlineStr">
        <is>
          <t>D11-I07</t>
        </is>
      </c>
      <c r="C399" s="18" t="inlineStr">
        <is>
          <t>D05-I09</t>
        </is>
      </c>
      <c r="D399" s="18">
        <f>'P0-3_Scorecard'!L137</f>
        <v/>
      </c>
      <c r="E399" s="18">
        <f>'P0-3_Scorecard'!L63</f>
        <v/>
      </c>
      <c r="F399" s="18">
        <f>'P0-3_Scorecard'!M137</f>
        <v/>
      </c>
      <c r="G399" s="18">
        <f>'P0-3_Scorecard'!M63</f>
        <v/>
      </c>
      <c r="H399" s="18">
        <f>IF(OR(D399="",F399=""),"",D399-(F399*20))</f>
        <v/>
      </c>
      <c r="I399" s="18">
        <f>IF(OR(E399="",G399=""),"",E399-(G399*20))</f>
        <v/>
      </c>
      <c r="J399" s="18">
        <f>IF(OR(D399="",E399=""),"INCOMPLETE",IF(AND(D399&gt;=80,E399&lt;50),"CONTRADICTION",IF(AND(D399&gt;=70,E399&lt;70),"DEPENDENCY GAP","NO TRIGGER")))</f>
        <v/>
      </c>
      <c r="K399" s="18">
        <f>IF(J399="CONTRADICTION","HIGH",IF(J399="DEPENDENCY GAP","MEDIUM","—"))</f>
        <v/>
      </c>
      <c r="L399" s="18">
        <f>IF(J399="CONTRADICTION","Strong upstream claim is not supported by linked downstream capability/evidence. Trigger: Academic workforce review.",IF(J399="DEPENDENCY GAP","Downstream capability materially trails upstream expectation. Trigger: Academic workforce review.",""))</f>
        <v/>
      </c>
    </row>
    <row r="400">
      <c r="A400" s="18" t="inlineStr">
        <is>
          <t>CD24</t>
        </is>
      </c>
      <c r="B400" s="18" t="inlineStr">
        <is>
          <t>D11-I07</t>
        </is>
      </c>
      <c r="C400" s="18" t="inlineStr">
        <is>
          <t>D05-I10</t>
        </is>
      </c>
      <c r="D400" s="18">
        <f>'P0-3_Scorecard'!L137</f>
        <v/>
      </c>
      <c r="E400" s="18">
        <f>'P0-3_Scorecard'!L64</f>
        <v/>
      </c>
      <c r="F400" s="18">
        <f>'P0-3_Scorecard'!M137</f>
        <v/>
      </c>
      <c r="G400" s="18">
        <f>'P0-3_Scorecard'!M64</f>
        <v/>
      </c>
      <c r="H400" s="18">
        <f>IF(OR(D400="",F400=""),"",D400-(F400*20))</f>
        <v/>
      </c>
      <c r="I400" s="18">
        <f>IF(OR(E400="",G400=""),"",E400-(G400*20))</f>
        <v/>
      </c>
      <c r="J400" s="18">
        <f>IF(OR(D400="",E400=""),"INCOMPLETE",IF(AND(D400&gt;=80,E400&lt;50),"CONTRADICTION",IF(AND(D400&gt;=70,E400&lt;70),"DEPENDENCY GAP","NO TRIGGER")))</f>
        <v/>
      </c>
      <c r="K400" s="18">
        <f>IF(J400="CONTRADICTION","HIGH",IF(J400="DEPENDENCY GAP","MEDIUM","—"))</f>
        <v/>
      </c>
      <c r="L400" s="18">
        <f>IF(J400="CONTRADICTION","Strong upstream claim is not supported by linked downstream capability/evidence. Trigger: Academic workforce review.",IF(J400="DEPENDENCY GAP","Downstream capability materially trails upstream expectation. Trigger: Academic workforce review.",""))</f>
        <v/>
      </c>
    </row>
    <row r="401">
      <c r="A401" s="18" t="inlineStr">
        <is>
          <t>CD24</t>
        </is>
      </c>
      <c r="B401" s="18" t="inlineStr">
        <is>
          <t>D11-I07</t>
        </is>
      </c>
      <c r="C401" s="18" t="inlineStr">
        <is>
          <t>D05-I12</t>
        </is>
      </c>
      <c r="D401" s="18">
        <f>'P0-3_Scorecard'!L137</f>
        <v/>
      </c>
      <c r="E401" s="18">
        <f>'P0-3_Scorecard'!L66</f>
        <v/>
      </c>
      <c r="F401" s="18">
        <f>'P0-3_Scorecard'!M137</f>
        <v/>
      </c>
      <c r="G401" s="18">
        <f>'P0-3_Scorecard'!M66</f>
        <v/>
      </c>
      <c r="H401" s="18">
        <f>IF(OR(D401="",F401=""),"",D401-(F401*20))</f>
        <v/>
      </c>
      <c r="I401" s="18">
        <f>IF(OR(E401="",G401=""),"",E401-(G401*20))</f>
        <v/>
      </c>
      <c r="J401" s="18">
        <f>IF(OR(D401="",E401=""),"INCOMPLETE",IF(AND(D401&gt;=80,E401&lt;50),"CONTRADICTION",IF(AND(D401&gt;=70,E401&lt;70),"DEPENDENCY GAP","NO TRIGGER")))</f>
        <v/>
      </c>
      <c r="K401" s="18">
        <f>IF(J401="CONTRADICTION","HIGH",IF(J401="DEPENDENCY GAP","MEDIUM","—"))</f>
        <v/>
      </c>
      <c r="L401" s="18">
        <f>IF(J401="CONTRADICTION","Strong upstream claim is not supported by linked downstream capability/evidence. Trigger: Academic workforce review.",IF(J401="DEPENDENCY GAP","Downstream capability materially trails upstream expectation. Trigger: Academic workforce review.",""))</f>
        <v/>
      </c>
    </row>
    <row r="402">
      <c r="A402" s="18" t="inlineStr">
        <is>
          <t>CD24</t>
        </is>
      </c>
      <c r="B402" s="18" t="inlineStr">
        <is>
          <t>D11-I08</t>
        </is>
      </c>
      <c r="C402" s="18" t="inlineStr">
        <is>
          <t>D05-I08</t>
        </is>
      </c>
      <c r="D402" s="18">
        <f>'P0-3_Scorecard'!L138</f>
        <v/>
      </c>
      <c r="E402" s="18">
        <f>'P0-3_Scorecard'!L62</f>
        <v/>
      </c>
      <c r="F402" s="18">
        <f>'P0-3_Scorecard'!M138</f>
        <v/>
      </c>
      <c r="G402" s="18">
        <f>'P0-3_Scorecard'!M62</f>
        <v/>
      </c>
      <c r="H402" s="18">
        <f>IF(OR(D402="",F402=""),"",D402-(F402*20))</f>
        <v/>
      </c>
      <c r="I402" s="18">
        <f>IF(OR(E402="",G402=""),"",E402-(G402*20))</f>
        <v/>
      </c>
      <c r="J402" s="18">
        <f>IF(OR(D402="",E402=""),"INCOMPLETE",IF(AND(D402&gt;=80,E402&lt;50),"CONTRADICTION",IF(AND(D402&gt;=70,E402&lt;70),"DEPENDENCY GAP","NO TRIGGER")))</f>
        <v/>
      </c>
      <c r="K402" s="18">
        <f>IF(J402="CONTRADICTION","HIGH",IF(J402="DEPENDENCY GAP","MEDIUM","—"))</f>
        <v/>
      </c>
      <c r="L402" s="18">
        <f>IF(J402="CONTRADICTION","Strong upstream claim is not supported by linked downstream capability/evidence. Trigger: Academic workforce review.",IF(J402="DEPENDENCY GAP","Downstream capability materially trails upstream expectation. Trigger: Academic workforce review.",""))</f>
        <v/>
      </c>
    </row>
    <row r="403">
      <c r="A403" s="18" t="inlineStr">
        <is>
          <t>CD24</t>
        </is>
      </c>
      <c r="B403" s="18" t="inlineStr">
        <is>
          <t>D11-I08</t>
        </is>
      </c>
      <c r="C403" s="18" t="inlineStr">
        <is>
          <t>D05-I09</t>
        </is>
      </c>
      <c r="D403" s="18">
        <f>'P0-3_Scorecard'!L138</f>
        <v/>
      </c>
      <c r="E403" s="18">
        <f>'P0-3_Scorecard'!L63</f>
        <v/>
      </c>
      <c r="F403" s="18">
        <f>'P0-3_Scorecard'!M138</f>
        <v/>
      </c>
      <c r="G403" s="18">
        <f>'P0-3_Scorecard'!M63</f>
        <v/>
      </c>
      <c r="H403" s="18">
        <f>IF(OR(D403="",F403=""),"",D403-(F403*20))</f>
        <v/>
      </c>
      <c r="I403" s="18">
        <f>IF(OR(E403="",G403=""),"",E403-(G403*20))</f>
        <v/>
      </c>
      <c r="J403" s="18">
        <f>IF(OR(D403="",E403=""),"INCOMPLETE",IF(AND(D403&gt;=80,E403&lt;50),"CONTRADICTION",IF(AND(D403&gt;=70,E403&lt;70),"DEPENDENCY GAP","NO TRIGGER")))</f>
        <v/>
      </c>
      <c r="K403" s="18">
        <f>IF(J403="CONTRADICTION","HIGH",IF(J403="DEPENDENCY GAP","MEDIUM","—"))</f>
        <v/>
      </c>
      <c r="L403" s="18">
        <f>IF(J403="CONTRADICTION","Strong upstream claim is not supported by linked downstream capability/evidence. Trigger: Academic workforce review.",IF(J403="DEPENDENCY GAP","Downstream capability materially trails upstream expectation. Trigger: Academic workforce review.",""))</f>
        <v/>
      </c>
    </row>
    <row r="404">
      <c r="A404" s="18" t="inlineStr">
        <is>
          <t>CD24</t>
        </is>
      </c>
      <c r="B404" s="18" t="inlineStr">
        <is>
          <t>D11-I08</t>
        </is>
      </c>
      <c r="C404" s="18" t="inlineStr">
        <is>
          <t>D05-I10</t>
        </is>
      </c>
      <c r="D404" s="18">
        <f>'P0-3_Scorecard'!L138</f>
        <v/>
      </c>
      <c r="E404" s="18">
        <f>'P0-3_Scorecard'!L64</f>
        <v/>
      </c>
      <c r="F404" s="18">
        <f>'P0-3_Scorecard'!M138</f>
        <v/>
      </c>
      <c r="G404" s="18">
        <f>'P0-3_Scorecard'!M64</f>
        <v/>
      </c>
      <c r="H404" s="18">
        <f>IF(OR(D404="",F404=""),"",D404-(F404*20))</f>
        <v/>
      </c>
      <c r="I404" s="18">
        <f>IF(OR(E404="",G404=""),"",E404-(G404*20))</f>
        <v/>
      </c>
      <c r="J404" s="18">
        <f>IF(OR(D404="",E404=""),"INCOMPLETE",IF(AND(D404&gt;=80,E404&lt;50),"CONTRADICTION",IF(AND(D404&gt;=70,E404&lt;70),"DEPENDENCY GAP","NO TRIGGER")))</f>
        <v/>
      </c>
      <c r="K404" s="18">
        <f>IF(J404="CONTRADICTION","HIGH",IF(J404="DEPENDENCY GAP","MEDIUM","—"))</f>
        <v/>
      </c>
      <c r="L404" s="18">
        <f>IF(J404="CONTRADICTION","Strong upstream claim is not supported by linked downstream capability/evidence. Trigger: Academic workforce review.",IF(J404="DEPENDENCY GAP","Downstream capability materially trails upstream expectation. Trigger: Academic workforce review.",""))</f>
        <v/>
      </c>
    </row>
    <row r="405">
      <c r="A405" s="18" t="inlineStr">
        <is>
          <t>CD24</t>
        </is>
      </c>
      <c r="B405" s="18" t="inlineStr">
        <is>
          <t>D11-I08</t>
        </is>
      </c>
      <c r="C405" s="18" t="inlineStr">
        <is>
          <t>D05-I12</t>
        </is>
      </c>
      <c r="D405" s="18">
        <f>'P0-3_Scorecard'!L138</f>
        <v/>
      </c>
      <c r="E405" s="18">
        <f>'P0-3_Scorecard'!L66</f>
        <v/>
      </c>
      <c r="F405" s="18">
        <f>'P0-3_Scorecard'!M138</f>
        <v/>
      </c>
      <c r="G405" s="18">
        <f>'P0-3_Scorecard'!M66</f>
        <v/>
      </c>
      <c r="H405" s="18">
        <f>IF(OR(D405="",F405=""),"",D405-(F405*20))</f>
        <v/>
      </c>
      <c r="I405" s="18">
        <f>IF(OR(E405="",G405=""),"",E405-(G405*20))</f>
        <v/>
      </c>
      <c r="J405" s="18">
        <f>IF(OR(D405="",E405=""),"INCOMPLETE",IF(AND(D405&gt;=80,E405&lt;50),"CONTRADICTION",IF(AND(D405&gt;=70,E405&lt;70),"DEPENDENCY GAP","NO TRIGGER")))</f>
        <v/>
      </c>
      <c r="K405" s="18">
        <f>IF(J405="CONTRADICTION","HIGH",IF(J405="DEPENDENCY GAP","MEDIUM","—"))</f>
        <v/>
      </c>
      <c r="L405" s="18">
        <f>IF(J405="CONTRADICTION","Strong upstream claim is not supported by linked downstream capability/evidence. Trigger: Academic workforce review.",IF(J405="DEPENDENCY GAP","Downstream capability materially trails upstream expectation. Trigger: Academic workforce review.",""))</f>
        <v/>
      </c>
    </row>
    <row r="406">
      <c r="A406" s="18" t="inlineStr">
        <is>
          <t>CD25</t>
        </is>
      </c>
      <c r="B406" s="18" t="inlineStr">
        <is>
          <t>D11-I09</t>
        </is>
      </c>
      <c r="C406" s="18" t="inlineStr">
        <is>
          <t>D06-I08</t>
        </is>
      </c>
      <c r="D406" s="18">
        <f>'P0-3_Scorecard'!L139</f>
        <v/>
      </c>
      <c r="E406" s="18">
        <f>'P0-3_Scorecard'!L74</f>
        <v/>
      </c>
      <c r="F406" s="18">
        <f>'P0-3_Scorecard'!M139</f>
        <v/>
      </c>
      <c r="G406" s="18">
        <f>'P0-3_Scorecard'!M74</f>
        <v/>
      </c>
      <c r="H406" s="18">
        <f>IF(OR(D406="",F406=""),"",D406-(F406*20))</f>
        <v/>
      </c>
      <c r="I406" s="18">
        <f>IF(OR(E406="",G406=""),"",E406-(G406*20))</f>
        <v/>
      </c>
      <c r="J406" s="18">
        <f>IF(OR(D406="",E406=""),"INCOMPLETE",IF(AND(D406&gt;=80,E406&lt;50),"CONTRADICTION",IF(AND(D406&gt;=70,E406&lt;70),"DEPENDENCY GAP","NO TRIGGER")))</f>
        <v/>
      </c>
      <c r="K406" s="18">
        <f>IF(J406="CONTRADICTION","HIGH",IF(J406="DEPENDENCY GAP","MEDIUM","—"))</f>
        <v/>
      </c>
      <c r="L406" s="18">
        <f>IF(J406="CONTRADICTION","Strong upstream claim is not supported by linked downstream capability/evidence. Trigger: Learner response review.",IF(J406="DEPENDENCY GAP","Downstream capability materially trails upstream expectation. Trigger: Learner response review.",""))</f>
        <v/>
      </c>
    </row>
    <row r="407">
      <c r="A407" s="18" t="inlineStr">
        <is>
          <t>CD25</t>
        </is>
      </c>
      <c r="B407" s="18" t="inlineStr">
        <is>
          <t>D11-I09</t>
        </is>
      </c>
      <c r="C407" s="18" t="inlineStr">
        <is>
          <t>D06-I10</t>
        </is>
      </c>
      <c r="D407" s="18">
        <f>'P0-3_Scorecard'!L139</f>
        <v/>
      </c>
      <c r="E407" s="18">
        <f>'P0-3_Scorecard'!L76</f>
        <v/>
      </c>
      <c r="F407" s="18">
        <f>'P0-3_Scorecard'!M139</f>
        <v/>
      </c>
      <c r="G407" s="18">
        <f>'P0-3_Scorecard'!M76</f>
        <v/>
      </c>
      <c r="H407" s="18">
        <f>IF(OR(D407="",F407=""),"",D407-(F407*20))</f>
        <v/>
      </c>
      <c r="I407" s="18">
        <f>IF(OR(E407="",G407=""),"",E407-(G407*20))</f>
        <v/>
      </c>
      <c r="J407" s="18">
        <f>IF(OR(D407="",E407=""),"INCOMPLETE",IF(AND(D407&gt;=80,E407&lt;50),"CONTRADICTION",IF(AND(D407&gt;=70,E407&lt;70),"DEPENDENCY GAP","NO TRIGGER")))</f>
        <v/>
      </c>
      <c r="K407" s="18">
        <f>IF(J407="CONTRADICTION","HIGH",IF(J407="DEPENDENCY GAP","MEDIUM","—"))</f>
        <v/>
      </c>
      <c r="L407" s="18">
        <f>IF(J407="CONTRADICTION","Strong upstream claim is not supported by linked downstream capability/evidence. Trigger: Learner response review.",IF(J407="DEPENDENCY GAP","Downstream capability materially trails upstream expectation. Trigger: Learner response review.",""))</f>
        <v/>
      </c>
    </row>
    <row r="408">
      <c r="A408" s="18" t="inlineStr">
        <is>
          <t>CD25</t>
        </is>
      </c>
      <c r="B408" s="18" t="inlineStr">
        <is>
          <t>D11-I09</t>
        </is>
      </c>
      <c r="C408" s="18" t="inlineStr">
        <is>
          <t>D06-I14</t>
        </is>
      </c>
      <c r="D408" s="18">
        <f>'P0-3_Scorecard'!L139</f>
        <v/>
      </c>
      <c r="E408" s="18">
        <f>'P0-3_Scorecard'!L80</f>
        <v/>
      </c>
      <c r="F408" s="18">
        <f>'P0-3_Scorecard'!M139</f>
        <v/>
      </c>
      <c r="G408" s="18">
        <f>'P0-3_Scorecard'!M80</f>
        <v/>
      </c>
      <c r="H408" s="18">
        <f>IF(OR(D408="",F408=""),"",D408-(F408*20))</f>
        <v/>
      </c>
      <c r="I408" s="18">
        <f>IF(OR(E408="",G408=""),"",E408-(G408*20))</f>
        <v/>
      </c>
      <c r="J408" s="18">
        <f>IF(OR(D408="",E408=""),"INCOMPLETE",IF(AND(D408&gt;=80,E408&lt;50),"CONTRADICTION",IF(AND(D408&gt;=70,E408&lt;70),"DEPENDENCY GAP","NO TRIGGER")))</f>
        <v/>
      </c>
      <c r="K408" s="18">
        <f>IF(J408="CONTRADICTION","HIGH",IF(J408="DEPENDENCY GAP","MEDIUM","—"))</f>
        <v/>
      </c>
      <c r="L408" s="18">
        <f>IF(J408="CONTRADICTION","Strong upstream claim is not supported by linked downstream capability/evidence. Trigger: Learner response review.",IF(J408="DEPENDENCY GAP","Downstream capability materially trails upstream expectation. Trigger: Learner response review.",""))</f>
        <v/>
      </c>
    </row>
    <row r="409">
      <c r="A409" s="18" t="inlineStr">
        <is>
          <t>CD25</t>
        </is>
      </c>
      <c r="B409" s="18" t="inlineStr">
        <is>
          <t>D11-I10</t>
        </is>
      </c>
      <c r="C409" s="18" t="inlineStr">
        <is>
          <t>D06-I08</t>
        </is>
      </c>
      <c r="D409" s="18">
        <f>'P0-3_Scorecard'!L140</f>
        <v/>
      </c>
      <c r="E409" s="18">
        <f>'P0-3_Scorecard'!L74</f>
        <v/>
      </c>
      <c r="F409" s="18">
        <f>'P0-3_Scorecard'!M140</f>
        <v/>
      </c>
      <c r="G409" s="18">
        <f>'P0-3_Scorecard'!M74</f>
        <v/>
      </c>
      <c r="H409" s="18">
        <f>IF(OR(D409="",F409=""),"",D409-(F409*20))</f>
        <v/>
      </c>
      <c r="I409" s="18">
        <f>IF(OR(E409="",G409=""),"",E409-(G409*20))</f>
        <v/>
      </c>
      <c r="J409" s="18">
        <f>IF(OR(D409="",E409=""),"INCOMPLETE",IF(AND(D409&gt;=80,E409&lt;50),"CONTRADICTION",IF(AND(D409&gt;=70,E409&lt;70),"DEPENDENCY GAP","NO TRIGGER")))</f>
        <v/>
      </c>
      <c r="K409" s="18">
        <f>IF(J409="CONTRADICTION","HIGH",IF(J409="DEPENDENCY GAP","MEDIUM","—"))</f>
        <v/>
      </c>
      <c r="L409" s="18">
        <f>IF(J409="CONTRADICTION","Strong upstream claim is not supported by linked downstream capability/evidence. Trigger: Learner response review.",IF(J409="DEPENDENCY GAP","Downstream capability materially trails upstream expectation. Trigger: Learner response review.",""))</f>
        <v/>
      </c>
    </row>
    <row r="410">
      <c r="A410" s="18" t="inlineStr">
        <is>
          <t>CD25</t>
        </is>
      </c>
      <c r="B410" s="18" t="inlineStr">
        <is>
          <t>D11-I10</t>
        </is>
      </c>
      <c r="C410" s="18" t="inlineStr">
        <is>
          <t>D06-I10</t>
        </is>
      </c>
      <c r="D410" s="18">
        <f>'P0-3_Scorecard'!L140</f>
        <v/>
      </c>
      <c r="E410" s="18">
        <f>'P0-3_Scorecard'!L76</f>
        <v/>
      </c>
      <c r="F410" s="18">
        <f>'P0-3_Scorecard'!M140</f>
        <v/>
      </c>
      <c r="G410" s="18">
        <f>'P0-3_Scorecard'!M76</f>
        <v/>
      </c>
      <c r="H410" s="18">
        <f>IF(OR(D410="",F410=""),"",D410-(F410*20))</f>
        <v/>
      </c>
      <c r="I410" s="18">
        <f>IF(OR(E410="",G410=""),"",E410-(G410*20))</f>
        <v/>
      </c>
      <c r="J410" s="18">
        <f>IF(OR(D410="",E410=""),"INCOMPLETE",IF(AND(D410&gt;=80,E410&lt;50),"CONTRADICTION",IF(AND(D410&gt;=70,E410&lt;70),"DEPENDENCY GAP","NO TRIGGER")))</f>
        <v/>
      </c>
      <c r="K410" s="18">
        <f>IF(J410="CONTRADICTION","HIGH",IF(J410="DEPENDENCY GAP","MEDIUM","—"))</f>
        <v/>
      </c>
      <c r="L410" s="18">
        <f>IF(J410="CONTRADICTION","Strong upstream claim is not supported by linked downstream capability/evidence. Trigger: Learner response review.",IF(J410="DEPENDENCY GAP","Downstream capability materially trails upstream expectation. Trigger: Learner response review.",""))</f>
        <v/>
      </c>
    </row>
    <row r="411">
      <c r="A411" s="18" t="inlineStr">
        <is>
          <t>CD25</t>
        </is>
      </c>
      <c r="B411" s="18" t="inlineStr">
        <is>
          <t>D11-I10</t>
        </is>
      </c>
      <c r="C411" s="18" t="inlineStr">
        <is>
          <t>D06-I14</t>
        </is>
      </c>
      <c r="D411" s="18">
        <f>'P0-3_Scorecard'!L140</f>
        <v/>
      </c>
      <c r="E411" s="18">
        <f>'P0-3_Scorecard'!L80</f>
        <v/>
      </c>
      <c r="F411" s="18">
        <f>'P0-3_Scorecard'!M140</f>
        <v/>
      </c>
      <c r="G411" s="18">
        <f>'P0-3_Scorecard'!M80</f>
        <v/>
      </c>
      <c r="H411" s="18">
        <f>IF(OR(D411="",F411=""),"",D411-(F411*20))</f>
        <v/>
      </c>
      <c r="I411" s="18">
        <f>IF(OR(E411="",G411=""),"",E411-(G411*20))</f>
        <v/>
      </c>
      <c r="J411" s="18">
        <f>IF(OR(D411="",E411=""),"INCOMPLETE",IF(AND(D411&gt;=80,E411&lt;50),"CONTRADICTION",IF(AND(D411&gt;=70,E411&lt;70),"DEPENDENCY GAP","NO TRIGGER")))</f>
        <v/>
      </c>
      <c r="K411" s="18">
        <f>IF(J411="CONTRADICTION","HIGH",IF(J411="DEPENDENCY GAP","MEDIUM","—"))</f>
        <v/>
      </c>
      <c r="L411" s="18">
        <f>IF(J411="CONTRADICTION","Strong upstream claim is not supported by linked downstream capability/evidence. Trigger: Learner response review.",IF(J411="DEPENDENCY GAP","Downstream capability materially trails upstream expectation. Trigger: Learner response review.",""))</f>
        <v/>
      </c>
    </row>
    <row r="412">
      <c r="A412" s="18" t="inlineStr">
        <is>
          <t>CD25</t>
        </is>
      </c>
      <c r="B412" s="18" t="inlineStr">
        <is>
          <t>D11-I13</t>
        </is>
      </c>
      <c r="C412" s="18" t="inlineStr">
        <is>
          <t>D06-I08</t>
        </is>
      </c>
      <c r="D412" s="18">
        <f>'P0-3_Scorecard'!L143</f>
        <v/>
      </c>
      <c r="E412" s="18">
        <f>'P0-3_Scorecard'!L74</f>
        <v/>
      </c>
      <c r="F412" s="18">
        <f>'P0-3_Scorecard'!M143</f>
        <v/>
      </c>
      <c r="G412" s="18">
        <f>'P0-3_Scorecard'!M74</f>
        <v/>
      </c>
      <c r="H412" s="18">
        <f>IF(OR(D412="",F412=""),"",D412-(F412*20))</f>
        <v/>
      </c>
      <c r="I412" s="18">
        <f>IF(OR(E412="",G412=""),"",E412-(G412*20))</f>
        <v/>
      </c>
      <c r="J412" s="18">
        <f>IF(OR(D412="",E412=""),"INCOMPLETE",IF(AND(D412&gt;=80,E412&lt;50),"CONTRADICTION",IF(AND(D412&gt;=70,E412&lt;70),"DEPENDENCY GAP","NO TRIGGER")))</f>
        <v/>
      </c>
      <c r="K412" s="18">
        <f>IF(J412="CONTRADICTION","HIGH",IF(J412="DEPENDENCY GAP","MEDIUM","—"))</f>
        <v/>
      </c>
      <c r="L412" s="18">
        <f>IF(J412="CONTRADICTION","Strong upstream claim is not supported by linked downstream capability/evidence. Trigger: Learner response review.",IF(J412="DEPENDENCY GAP","Downstream capability materially trails upstream expectation. Trigger: Learner response review.",""))</f>
        <v/>
      </c>
    </row>
    <row r="413">
      <c r="A413" s="18" t="inlineStr">
        <is>
          <t>CD25</t>
        </is>
      </c>
      <c r="B413" s="18" t="inlineStr">
        <is>
          <t>D11-I13</t>
        </is>
      </c>
      <c r="C413" s="18" t="inlineStr">
        <is>
          <t>D06-I10</t>
        </is>
      </c>
      <c r="D413" s="18">
        <f>'P0-3_Scorecard'!L143</f>
        <v/>
      </c>
      <c r="E413" s="18">
        <f>'P0-3_Scorecard'!L76</f>
        <v/>
      </c>
      <c r="F413" s="18">
        <f>'P0-3_Scorecard'!M143</f>
        <v/>
      </c>
      <c r="G413" s="18">
        <f>'P0-3_Scorecard'!M76</f>
        <v/>
      </c>
      <c r="H413" s="18">
        <f>IF(OR(D413="",F413=""),"",D413-(F413*20))</f>
        <v/>
      </c>
      <c r="I413" s="18">
        <f>IF(OR(E413="",G413=""),"",E413-(G413*20))</f>
        <v/>
      </c>
      <c r="J413" s="18">
        <f>IF(OR(D413="",E413=""),"INCOMPLETE",IF(AND(D413&gt;=80,E413&lt;50),"CONTRADICTION",IF(AND(D413&gt;=70,E413&lt;70),"DEPENDENCY GAP","NO TRIGGER")))</f>
        <v/>
      </c>
      <c r="K413" s="18">
        <f>IF(J413="CONTRADICTION","HIGH",IF(J413="DEPENDENCY GAP","MEDIUM","—"))</f>
        <v/>
      </c>
      <c r="L413" s="18">
        <f>IF(J413="CONTRADICTION","Strong upstream claim is not supported by linked downstream capability/evidence. Trigger: Learner response review.",IF(J413="DEPENDENCY GAP","Downstream capability materially trails upstream expectation. Trigger: Learner response review.",""))</f>
        <v/>
      </c>
    </row>
    <row r="414">
      <c r="A414" s="18" t="inlineStr">
        <is>
          <t>CD25</t>
        </is>
      </c>
      <c r="B414" s="18" t="inlineStr">
        <is>
          <t>D11-I13</t>
        </is>
      </c>
      <c r="C414" s="18" t="inlineStr">
        <is>
          <t>D06-I14</t>
        </is>
      </c>
      <c r="D414" s="18">
        <f>'P0-3_Scorecard'!L143</f>
        <v/>
      </c>
      <c r="E414" s="18">
        <f>'P0-3_Scorecard'!L80</f>
        <v/>
      </c>
      <c r="F414" s="18">
        <f>'P0-3_Scorecard'!M143</f>
        <v/>
      </c>
      <c r="G414" s="18">
        <f>'P0-3_Scorecard'!M80</f>
        <v/>
      </c>
      <c r="H414" s="18">
        <f>IF(OR(D414="",F414=""),"",D414-(F414*20))</f>
        <v/>
      </c>
      <c r="I414" s="18">
        <f>IF(OR(E414="",G414=""),"",E414-(G414*20))</f>
        <v/>
      </c>
      <c r="J414" s="18">
        <f>IF(OR(D414="",E414=""),"INCOMPLETE",IF(AND(D414&gt;=80,E414&lt;50),"CONTRADICTION",IF(AND(D414&gt;=70,E414&lt;70),"DEPENDENCY GAP","NO TRIGGER")))</f>
        <v/>
      </c>
      <c r="K414" s="18">
        <f>IF(J414="CONTRADICTION","HIGH",IF(J414="DEPENDENCY GAP","MEDIUM","—"))</f>
        <v/>
      </c>
      <c r="L414" s="18">
        <f>IF(J414="CONTRADICTION","Strong upstream claim is not supported by linked downstream capability/evidence. Trigger: Learner response review.",IF(J414="DEPENDENCY GAP","Downstream capability materially trails upstream expectation. Trigger: Learner response review.",""))</f>
        <v/>
      </c>
    </row>
  </sheetData>
  <autoFilter ref="A1:L414"/>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J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36" customWidth="1" min="3" max="3"/>
    <col width="15" customWidth="1" min="4" max="4"/>
    <col width="17" customWidth="1" min="5" max="5"/>
    <col width="20" customWidth="1" min="6" max="6"/>
    <col width="20" customWidth="1" min="7" max="7"/>
    <col width="14" customWidth="1" min="8" max="8"/>
    <col width="24" customWidth="1" min="9" max="9"/>
    <col width="35" customWidth="1" min="10" max="10"/>
  </cols>
  <sheetData>
    <row r="1">
      <c r="A1" s="17" t="inlineStr">
        <is>
          <t>Rule ID</t>
        </is>
      </c>
      <c r="B1" s="17" t="inlineStr">
        <is>
          <t>Upstream Metric</t>
        </is>
      </c>
      <c r="C1" s="17" t="inlineStr">
        <is>
          <t>Downstream Metric</t>
        </is>
      </c>
      <c r="D1" s="17" t="inlineStr">
        <is>
          <t>Upstream Score</t>
        </is>
      </c>
      <c r="E1" s="17" t="inlineStr">
        <is>
          <t>Downstream Score</t>
        </is>
      </c>
      <c r="F1" s="17" t="inlineStr">
        <is>
          <t>Downstream Required R</t>
        </is>
      </c>
      <c r="G1" s="17" t="inlineStr">
        <is>
          <t>Downstream Maturity M</t>
        </is>
      </c>
      <c r="H1" s="17" t="inlineStr">
        <is>
          <t>Evidence</t>
        </is>
      </c>
      <c r="I1" s="17" t="inlineStr">
        <is>
          <t>Dependency Status</t>
        </is>
      </c>
      <c r="J1" s="17" t="inlineStr">
        <is>
          <t>Action</t>
        </is>
      </c>
    </row>
    <row r="2">
      <c r="A2" s="18" t="inlineStr">
        <is>
          <t>CD01</t>
        </is>
      </c>
      <c r="B2" s="18" t="inlineStr">
        <is>
          <t>D01-I01</t>
        </is>
      </c>
      <c r="C2" s="18" t="inlineStr">
        <is>
          <t>D03-I01</t>
        </is>
      </c>
      <c r="D2" s="18">
        <f>'P0-3_Scorecard'!L2</f>
        <v/>
      </c>
      <c r="E2" s="18">
        <f>'P0-3_Scorecard'!L26</f>
        <v/>
      </c>
      <c r="F2" s="18">
        <f>'P0-3_Scorecard'!M26</f>
        <v/>
      </c>
      <c r="G2" s="18">
        <f>'P0-3_Scorecard'!E26</f>
        <v/>
      </c>
      <c r="H2" s="18">
        <f>'P0-3_Scorecard'!H26</f>
        <v/>
      </c>
      <c r="I2" s="18">
        <f>IF(OR(D2="",E2=""),"INCOMPLETE",IF(AND(D2&gt;=70,E2&lt;60),"DEPENDENCY GAP",IF(AND(D2&gt;=70,G2&lt;F2),"REQUIRED MATURITY GAP","OK")))</f>
        <v/>
      </c>
      <c r="J2" s="18" t="inlineStr">
        <is>
          <t>D03 deep-dive</t>
        </is>
      </c>
    </row>
    <row r="3">
      <c r="A3" s="18" t="inlineStr">
        <is>
          <t>CD01</t>
        </is>
      </c>
      <c r="B3" s="18" t="inlineStr">
        <is>
          <t>D01-I01</t>
        </is>
      </c>
      <c r="C3" s="18" t="inlineStr">
        <is>
          <t>D03-I02</t>
        </is>
      </c>
      <c r="D3" s="18">
        <f>'P0-3_Scorecard'!L2</f>
        <v/>
      </c>
      <c r="E3" s="18">
        <f>'P0-3_Scorecard'!L27</f>
        <v/>
      </c>
      <c r="F3" s="18">
        <f>'P0-3_Scorecard'!M27</f>
        <v/>
      </c>
      <c r="G3" s="18">
        <f>'P0-3_Scorecard'!E27</f>
        <v/>
      </c>
      <c r="H3" s="18">
        <f>'P0-3_Scorecard'!H27</f>
        <v/>
      </c>
      <c r="I3" s="18">
        <f>IF(OR(D3="",E3=""),"INCOMPLETE",IF(AND(D3&gt;=70,E3&lt;60),"DEPENDENCY GAP",IF(AND(D3&gt;=70,G3&lt;F3),"REQUIRED MATURITY GAP","OK")))</f>
        <v/>
      </c>
      <c r="J3" s="18" t="inlineStr">
        <is>
          <t>D03 deep-dive</t>
        </is>
      </c>
    </row>
    <row r="4">
      <c r="A4" s="18" t="inlineStr">
        <is>
          <t>CD01</t>
        </is>
      </c>
      <c r="B4" s="18" t="inlineStr">
        <is>
          <t>D01-I01</t>
        </is>
      </c>
      <c r="C4" s="18" t="inlineStr">
        <is>
          <t>D03-I05</t>
        </is>
      </c>
      <c r="D4" s="18">
        <f>'P0-3_Scorecard'!L2</f>
        <v/>
      </c>
      <c r="E4" s="18">
        <f>'P0-3_Scorecard'!L30</f>
        <v/>
      </c>
      <c r="F4" s="18">
        <f>'P0-3_Scorecard'!M30</f>
        <v/>
      </c>
      <c r="G4" s="18">
        <f>'P0-3_Scorecard'!E30</f>
        <v/>
      </c>
      <c r="H4" s="18">
        <f>'P0-3_Scorecard'!H30</f>
        <v/>
      </c>
      <c r="I4" s="18">
        <f>IF(OR(D4="",E4=""),"INCOMPLETE",IF(AND(D4&gt;=70,E4&lt;60),"DEPENDENCY GAP",IF(AND(D4&gt;=70,G4&lt;F4),"REQUIRED MATURITY GAP","OK")))</f>
        <v/>
      </c>
      <c r="J4" s="18" t="inlineStr">
        <is>
          <t>D03 deep-dive</t>
        </is>
      </c>
    </row>
    <row r="5">
      <c r="A5" s="18" t="inlineStr">
        <is>
          <t>CD01</t>
        </is>
      </c>
      <c r="B5" s="18" t="inlineStr">
        <is>
          <t>D01-I01</t>
        </is>
      </c>
      <c r="C5" s="18" t="inlineStr">
        <is>
          <t>D03-I07</t>
        </is>
      </c>
      <c r="D5" s="18">
        <f>'P0-3_Scorecard'!L2</f>
        <v/>
      </c>
      <c r="E5" s="18">
        <f>'P0-3_Scorecard'!L32</f>
        <v/>
      </c>
      <c r="F5" s="18">
        <f>'P0-3_Scorecard'!M32</f>
        <v/>
      </c>
      <c r="G5" s="18">
        <f>'P0-3_Scorecard'!E32</f>
        <v/>
      </c>
      <c r="H5" s="18">
        <f>'P0-3_Scorecard'!H32</f>
        <v/>
      </c>
      <c r="I5" s="18">
        <f>IF(OR(D5="",E5=""),"INCOMPLETE",IF(AND(D5&gt;=70,E5&lt;60),"DEPENDENCY GAP",IF(AND(D5&gt;=70,G5&lt;F5),"REQUIRED MATURITY GAP","OK")))</f>
        <v/>
      </c>
      <c r="J5" s="18" t="inlineStr">
        <is>
          <t>D03 deep-dive</t>
        </is>
      </c>
    </row>
    <row r="6">
      <c r="A6" s="18" t="inlineStr">
        <is>
          <t>CD01</t>
        </is>
      </c>
      <c r="B6" s="18" t="inlineStr">
        <is>
          <t>D01-I01</t>
        </is>
      </c>
      <c r="C6" s="18" t="inlineStr">
        <is>
          <t>D03-I15</t>
        </is>
      </c>
      <c r="D6" s="18">
        <f>'P0-3_Scorecard'!L2</f>
        <v/>
      </c>
      <c r="E6" s="18">
        <f>'P0-3_Scorecard'!L40</f>
        <v/>
      </c>
      <c r="F6" s="18">
        <f>'P0-3_Scorecard'!M40</f>
        <v/>
      </c>
      <c r="G6" s="18">
        <f>'P0-3_Scorecard'!E40</f>
        <v/>
      </c>
      <c r="H6" s="18">
        <f>'P0-3_Scorecard'!H40</f>
        <v/>
      </c>
      <c r="I6" s="18">
        <f>IF(OR(D6="",E6=""),"INCOMPLETE",IF(AND(D6&gt;=70,E6&lt;60),"DEPENDENCY GAP",IF(AND(D6&gt;=70,G6&lt;F6),"REQUIRED MATURITY GAP","OK")))</f>
        <v/>
      </c>
      <c r="J6" s="18" t="inlineStr">
        <is>
          <t>D03 deep-dive</t>
        </is>
      </c>
    </row>
    <row r="7">
      <c r="A7" s="18" t="inlineStr">
        <is>
          <t>CD01</t>
        </is>
      </c>
      <c r="B7" s="18" t="inlineStr">
        <is>
          <t>D01-I01</t>
        </is>
      </c>
      <c r="C7" s="18" t="inlineStr">
        <is>
          <t>D03-I16</t>
        </is>
      </c>
      <c r="D7" s="18">
        <f>'P0-3_Scorecard'!L2</f>
        <v/>
      </c>
      <c r="E7" s="18">
        <f>'P0-3_Scorecard'!L41</f>
        <v/>
      </c>
      <c r="F7" s="18">
        <f>'P0-3_Scorecard'!M41</f>
        <v/>
      </c>
      <c r="G7" s="18">
        <f>'P0-3_Scorecard'!E41</f>
        <v/>
      </c>
      <c r="H7" s="18">
        <f>'P0-3_Scorecard'!H41</f>
        <v/>
      </c>
      <c r="I7" s="18">
        <f>IF(OR(D7="",E7=""),"INCOMPLETE",IF(AND(D7&gt;=70,E7&lt;60),"DEPENDENCY GAP",IF(AND(D7&gt;=70,G7&lt;F7),"REQUIRED MATURITY GAP","OK")))</f>
        <v/>
      </c>
      <c r="J7" s="18" t="inlineStr">
        <is>
          <t>D03 deep-dive</t>
        </is>
      </c>
    </row>
    <row r="8">
      <c r="A8" s="18" t="inlineStr">
        <is>
          <t>CD01</t>
        </is>
      </c>
      <c r="B8" s="18" t="inlineStr">
        <is>
          <t>D01-I03</t>
        </is>
      </c>
      <c r="C8" s="18" t="inlineStr">
        <is>
          <t>D03-I01</t>
        </is>
      </c>
      <c r="D8" s="18">
        <f>'P0-3_Scorecard'!L4</f>
        <v/>
      </c>
      <c r="E8" s="18">
        <f>'P0-3_Scorecard'!L26</f>
        <v/>
      </c>
      <c r="F8" s="18">
        <f>'P0-3_Scorecard'!M26</f>
        <v/>
      </c>
      <c r="G8" s="18">
        <f>'P0-3_Scorecard'!E26</f>
        <v/>
      </c>
      <c r="H8" s="18">
        <f>'P0-3_Scorecard'!H26</f>
        <v/>
      </c>
      <c r="I8" s="18">
        <f>IF(OR(D8="",E8=""),"INCOMPLETE",IF(AND(D8&gt;=70,E8&lt;60),"DEPENDENCY GAP",IF(AND(D8&gt;=70,G8&lt;F8),"REQUIRED MATURITY GAP","OK")))</f>
        <v/>
      </c>
      <c r="J8" s="18" t="inlineStr">
        <is>
          <t>D03 deep-dive</t>
        </is>
      </c>
    </row>
    <row r="9">
      <c r="A9" s="18" t="inlineStr">
        <is>
          <t>CD01</t>
        </is>
      </c>
      <c r="B9" s="18" t="inlineStr">
        <is>
          <t>D01-I03</t>
        </is>
      </c>
      <c r="C9" s="18" t="inlineStr">
        <is>
          <t>D03-I02</t>
        </is>
      </c>
      <c r="D9" s="18">
        <f>'P0-3_Scorecard'!L4</f>
        <v/>
      </c>
      <c r="E9" s="18">
        <f>'P0-3_Scorecard'!L27</f>
        <v/>
      </c>
      <c r="F9" s="18">
        <f>'P0-3_Scorecard'!M27</f>
        <v/>
      </c>
      <c r="G9" s="18">
        <f>'P0-3_Scorecard'!E27</f>
        <v/>
      </c>
      <c r="H9" s="18">
        <f>'P0-3_Scorecard'!H27</f>
        <v/>
      </c>
      <c r="I9" s="18">
        <f>IF(OR(D9="",E9=""),"INCOMPLETE",IF(AND(D9&gt;=70,E9&lt;60),"DEPENDENCY GAP",IF(AND(D9&gt;=70,G9&lt;F9),"REQUIRED MATURITY GAP","OK")))</f>
        <v/>
      </c>
      <c r="J9" s="18" t="inlineStr">
        <is>
          <t>D03 deep-dive</t>
        </is>
      </c>
    </row>
    <row r="10">
      <c r="A10" s="18" t="inlineStr">
        <is>
          <t>CD01</t>
        </is>
      </c>
      <c r="B10" s="18" t="inlineStr">
        <is>
          <t>D01-I03</t>
        </is>
      </c>
      <c r="C10" s="18" t="inlineStr">
        <is>
          <t>D03-I05</t>
        </is>
      </c>
      <c r="D10" s="18">
        <f>'P0-3_Scorecard'!L4</f>
        <v/>
      </c>
      <c r="E10" s="18">
        <f>'P0-3_Scorecard'!L30</f>
        <v/>
      </c>
      <c r="F10" s="18">
        <f>'P0-3_Scorecard'!M30</f>
        <v/>
      </c>
      <c r="G10" s="18">
        <f>'P0-3_Scorecard'!E30</f>
        <v/>
      </c>
      <c r="H10" s="18">
        <f>'P0-3_Scorecard'!H30</f>
        <v/>
      </c>
      <c r="I10" s="18">
        <f>IF(OR(D10="",E10=""),"INCOMPLETE",IF(AND(D10&gt;=70,E10&lt;60),"DEPENDENCY GAP",IF(AND(D10&gt;=70,G10&lt;F10),"REQUIRED MATURITY GAP","OK")))</f>
        <v/>
      </c>
      <c r="J10" s="18" t="inlineStr">
        <is>
          <t>D03 deep-dive</t>
        </is>
      </c>
    </row>
    <row r="11">
      <c r="A11" s="18" t="inlineStr">
        <is>
          <t>CD01</t>
        </is>
      </c>
      <c r="B11" s="18" t="inlineStr">
        <is>
          <t>D01-I03</t>
        </is>
      </c>
      <c r="C11" s="18" t="inlineStr">
        <is>
          <t>D03-I07</t>
        </is>
      </c>
      <c r="D11" s="18">
        <f>'P0-3_Scorecard'!L4</f>
        <v/>
      </c>
      <c r="E11" s="18">
        <f>'P0-3_Scorecard'!L32</f>
        <v/>
      </c>
      <c r="F11" s="18">
        <f>'P0-3_Scorecard'!M32</f>
        <v/>
      </c>
      <c r="G11" s="18">
        <f>'P0-3_Scorecard'!E32</f>
        <v/>
      </c>
      <c r="H11" s="18">
        <f>'P0-3_Scorecard'!H32</f>
        <v/>
      </c>
      <c r="I11" s="18">
        <f>IF(OR(D11="",E11=""),"INCOMPLETE",IF(AND(D11&gt;=70,E11&lt;60),"DEPENDENCY GAP",IF(AND(D11&gt;=70,G11&lt;F11),"REQUIRED MATURITY GAP","OK")))</f>
        <v/>
      </c>
      <c r="J11" s="18" t="inlineStr">
        <is>
          <t>D03 deep-dive</t>
        </is>
      </c>
    </row>
    <row r="12">
      <c r="A12" s="18" t="inlineStr">
        <is>
          <t>CD01</t>
        </is>
      </c>
      <c r="B12" s="18" t="inlineStr">
        <is>
          <t>D01-I03</t>
        </is>
      </c>
      <c r="C12" s="18" t="inlineStr">
        <is>
          <t>D03-I15</t>
        </is>
      </c>
      <c r="D12" s="18">
        <f>'P0-3_Scorecard'!L4</f>
        <v/>
      </c>
      <c r="E12" s="18">
        <f>'P0-3_Scorecard'!L40</f>
        <v/>
      </c>
      <c r="F12" s="18">
        <f>'P0-3_Scorecard'!M40</f>
        <v/>
      </c>
      <c r="G12" s="18">
        <f>'P0-3_Scorecard'!E40</f>
        <v/>
      </c>
      <c r="H12" s="18">
        <f>'P0-3_Scorecard'!H40</f>
        <v/>
      </c>
      <c r="I12" s="18">
        <f>IF(OR(D12="",E12=""),"INCOMPLETE",IF(AND(D12&gt;=70,E12&lt;60),"DEPENDENCY GAP",IF(AND(D12&gt;=70,G12&lt;F12),"REQUIRED MATURITY GAP","OK")))</f>
        <v/>
      </c>
      <c r="J12" s="18" t="inlineStr">
        <is>
          <t>D03 deep-dive</t>
        </is>
      </c>
    </row>
    <row r="13">
      <c r="A13" s="18" t="inlineStr">
        <is>
          <t>CD01</t>
        </is>
      </c>
      <c r="B13" s="18" t="inlineStr">
        <is>
          <t>D01-I03</t>
        </is>
      </c>
      <c r="C13" s="18" t="inlineStr">
        <is>
          <t>D03-I16</t>
        </is>
      </c>
      <c r="D13" s="18">
        <f>'P0-3_Scorecard'!L4</f>
        <v/>
      </c>
      <c r="E13" s="18">
        <f>'P0-3_Scorecard'!L41</f>
        <v/>
      </c>
      <c r="F13" s="18">
        <f>'P0-3_Scorecard'!M41</f>
        <v/>
      </c>
      <c r="G13" s="18">
        <f>'P0-3_Scorecard'!E41</f>
        <v/>
      </c>
      <c r="H13" s="18">
        <f>'P0-3_Scorecard'!H41</f>
        <v/>
      </c>
      <c r="I13" s="18">
        <f>IF(OR(D13="",E13=""),"INCOMPLETE",IF(AND(D13&gt;=70,E13&lt;60),"DEPENDENCY GAP",IF(AND(D13&gt;=70,G13&lt;F13),"REQUIRED MATURITY GAP","OK")))</f>
        <v/>
      </c>
      <c r="J13" s="18" t="inlineStr">
        <is>
          <t>D03 deep-dive</t>
        </is>
      </c>
    </row>
    <row r="14">
      <c r="A14" s="18" t="inlineStr">
        <is>
          <t>CD02</t>
        </is>
      </c>
      <c r="B14" s="18" t="inlineStr">
        <is>
          <t>D01-I01</t>
        </is>
      </c>
      <c r="C14" s="18" t="inlineStr">
        <is>
          <t>D02-I01</t>
        </is>
      </c>
      <c r="D14" s="18">
        <f>'P0-3_Scorecard'!L2</f>
        <v/>
      </c>
      <c r="E14" s="18">
        <f>'P0-3_Scorecard'!L12</f>
        <v/>
      </c>
      <c r="F14" s="18">
        <f>'P0-3_Scorecard'!M12</f>
        <v/>
      </c>
      <c r="G14" s="18">
        <f>'P0-3_Scorecard'!E12</f>
        <v/>
      </c>
      <c r="H14" s="18">
        <f>'P0-3_Scorecard'!H12</f>
        <v/>
      </c>
      <c r="I14" s="18">
        <f>IF(OR(D14="",E14=""),"INCOMPLETE",IF(AND(D14&gt;=70,E14&lt;60),"DEPENDENCY GAP",IF(AND(D14&gt;=70,G14&lt;F14),"REQUIRED MATURITY GAP","OK")))</f>
        <v/>
      </c>
      <c r="J14" s="18" t="inlineStr">
        <is>
          <t>Governance review</t>
        </is>
      </c>
    </row>
    <row r="15">
      <c r="A15" s="18" t="inlineStr">
        <is>
          <t>CD02</t>
        </is>
      </c>
      <c r="B15" s="18" t="inlineStr">
        <is>
          <t>D01-I01</t>
        </is>
      </c>
      <c r="C15" s="18" t="inlineStr">
        <is>
          <t>D02-I03</t>
        </is>
      </c>
      <c r="D15" s="18">
        <f>'P0-3_Scorecard'!L2</f>
        <v/>
      </c>
      <c r="E15" s="18">
        <f>'P0-3_Scorecard'!L14</f>
        <v/>
      </c>
      <c r="F15" s="18">
        <f>'P0-3_Scorecard'!M14</f>
        <v/>
      </c>
      <c r="G15" s="18">
        <f>'P0-3_Scorecard'!E14</f>
        <v/>
      </c>
      <c r="H15" s="18">
        <f>'P0-3_Scorecard'!H14</f>
        <v/>
      </c>
      <c r="I15" s="18">
        <f>IF(OR(D15="",E15=""),"INCOMPLETE",IF(AND(D15&gt;=70,E15&lt;60),"DEPENDENCY GAP",IF(AND(D15&gt;=70,G15&lt;F15),"REQUIRED MATURITY GAP","OK")))</f>
        <v/>
      </c>
      <c r="J15" s="18" t="inlineStr">
        <is>
          <t>Governance review</t>
        </is>
      </c>
    </row>
    <row r="16">
      <c r="A16" s="18" t="inlineStr">
        <is>
          <t>CD02</t>
        </is>
      </c>
      <c r="B16" s="18" t="inlineStr">
        <is>
          <t>D01-I01</t>
        </is>
      </c>
      <c r="C16" s="18" t="inlineStr">
        <is>
          <t>D02-I07</t>
        </is>
      </c>
      <c r="D16" s="18">
        <f>'P0-3_Scorecard'!L2</f>
        <v/>
      </c>
      <c r="E16" s="18">
        <f>'P0-3_Scorecard'!L18</f>
        <v/>
      </c>
      <c r="F16" s="18">
        <f>'P0-3_Scorecard'!M18</f>
        <v/>
      </c>
      <c r="G16" s="18">
        <f>'P0-3_Scorecard'!E18</f>
        <v/>
      </c>
      <c r="H16" s="18">
        <f>'P0-3_Scorecard'!H18</f>
        <v/>
      </c>
      <c r="I16" s="18">
        <f>IF(OR(D16="",E16=""),"INCOMPLETE",IF(AND(D16&gt;=70,E16&lt;60),"DEPENDENCY GAP",IF(AND(D16&gt;=70,G16&lt;F16),"REQUIRED MATURITY GAP","OK")))</f>
        <v/>
      </c>
      <c r="J16" s="18" t="inlineStr">
        <is>
          <t>Governance review</t>
        </is>
      </c>
    </row>
    <row r="17">
      <c r="A17" s="18" t="inlineStr">
        <is>
          <t>CD02</t>
        </is>
      </c>
      <c r="B17" s="18" t="inlineStr">
        <is>
          <t>D01-I01</t>
        </is>
      </c>
      <c r="C17" s="18" t="inlineStr">
        <is>
          <t>D02-I13</t>
        </is>
      </c>
      <c r="D17" s="18">
        <f>'P0-3_Scorecard'!L2</f>
        <v/>
      </c>
      <c r="E17" s="18">
        <f>'P0-3_Scorecard'!L24</f>
        <v/>
      </c>
      <c r="F17" s="18">
        <f>'P0-3_Scorecard'!M24</f>
        <v/>
      </c>
      <c r="G17" s="18">
        <f>'P0-3_Scorecard'!E24</f>
        <v/>
      </c>
      <c r="H17" s="18">
        <f>'P0-3_Scorecard'!H24</f>
        <v/>
      </c>
      <c r="I17" s="18">
        <f>IF(OR(D17="",E17=""),"INCOMPLETE",IF(AND(D17&gt;=70,E17&lt;60),"DEPENDENCY GAP",IF(AND(D17&gt;=70,G17&lt;F17),"REQUIRED MATURITY GAP","OK")))</f>
        <v/>
      </c>
      <c r="J17" s="18" t="inlineStr">
        <is>
          <t>Governance review</t>
        </is>
      </c>
    </row>
    <row r="18">
      <c r="A18" s="18" t="inlineStr">
        <is>
          <t>CD02</t>
        </is>
      </c>
      <c r="B18" s="18" t="inlineStr">
        <is>
          <t>D01-I06</t>
        </is>
      </c>
      <c r="C18" s="18" t="inlineStr">
        <is>
          <t>D02-I01</t>
        </is>
      </c>
      <c r="D18" s="18">
        <f>'P0-3_Scorecard'!L7</f>
        <v/>
      </c>
      <c r="E18" s="18">
        <f>'P0-3_Scorecard'!L12</f>
        <v/>
      </c>
      <c r="F18" s="18">
        <f>'P0-3_Scorecard'!M12</f>
        <v/>
      </c>
      <c r="G18" s="18">
        <f>'P0-3_Scorecard'!E12</f>
        <v/>
      </c>
      <c r="H18" s="18">
        <f>'P0-3_Scorecard'!H12</f>
        <v/>
      </c>
      <c r="I18" s="18">
        <f>IF(OR(D18="",E18=""),"INCOMPLETE",IF(AND(D18&gt;=70,E18&lt;60),"DEPENDENCY GAP",IF(AND(D18&gt;=70,G18&lt;F18),"REQUIRED MATURITY GAP","OK")))</f>
        <v/>
      </c>
      <c r="J18" s="18" t="inlineStr">
        <is>
          <t>Governance review</t>
        </is>
      </c>
    </row>
    <row r="19">
      <c r="A19" s="18" t="inlineStr">
        <is>
          <t>CD02</t>
        </is>
      </c>
      <c r="B19" s="18" t="inlineStr">
        <is>
          <t>D01-I06</t>
        </is>
      </c>
      <c r="C19" s="18" t="inlineStr">
        <is>
          <t>D02-I03</t>
        </is>
      </c>
      <c r="D19" s="18">
        <f>'P0-3_Scorecard'!L7</f>
        <v/>
      </c>
      <c r="E19" s="18">
        <f>'P0-3_Scorecard'!L14</f>
        <v/>
      </c>
      <c r="F19" s="18">
        <f>'P0-3_Scorecard'!M14</f>
        <v/>
      </c>
      <c r="G19" s="18">
        <f>'P0-3_Scorecard'!E14</f>
        <v/>
      </c>
      <c r="H19" s="18">
        <f>'P0-3_Scorecard'!H14</f>
        <v/>
      </c>
      <c r="I19" s="18">
        <f>IF(OR(D19="",E19=""),"INCOMPLETE",IF(AND(D19&gt;=70,E19&lt;60),"DEPENDENCY GAP",IF(AND(D19&gt;=70,G19&lt;F19),"REQUIRED MATURITY GAP","OK")))</f>
        <v/>
      </c>
      <c r="J19" s="18" t="inlineStr">
        <is>
          <t>Governance review</t>
        </is>
      </c>
    </row>
    <row r="20">
      <c r="A20" s="18" t="inlineStr">
        <is>
          <t>CD02</t>
        </is>
      </c>
      <c r="B20" s="18" t="inlineStr">
        <is>
          <t>D01-I06</t>
        </is>
      </c>
      <c r="C20" s="18" t="inlineStr">
        <is>
          <t>D02-I07</t>
        </is>
      </c>
      <c r="D20" s="18">
        <f>'P0-3_Scorecard'!L7</f>
        <v/>
      </c>
      <c r="E20" s="18">
        <f>'P0-3_Scorecard'!L18</f>
        <v/>
      </c>
      <c r="F20" s="18">
        <f>'P0-3_Scorecard'!M18</f>
        <v/>
      </c>
      <c r="G20" s="18">
        <f>'P0-3_Scorecard'!E18</f>
        <v/>
      </c>
      <c r="H20" s="18">
        <f>'P0-3_Scorecard'!H18</f>
        <v/>
      </c>
      <c r="I20" s="18">
        <f>IF(OR(D20="",E20=""),"INCOMPLETE",IF(AND(D20&gt;=70,E20&lt;60),"DEPENDENCY GAP",IF(AND(D20&gt;=70,G20&lt;F20),"REQUIRED MATURITY GAP","OK")))</f>
        <v/>
      </c>
      <c r="J20" s="18" t="inlineStr">
        <is>
          <t>Governance review</t>
        </is>
      </c>
    </row>
    <row r="21">
      <c r="A21" s="18" t="inlineStr">
        <is>
          <t>CD02</t>
        </is>
      </c>
      <c r="B21" s="18" t="inlineStr">
        <is>
          <t>D01-I06</t>
        </is>
      </c>
      <c r="C21" s="18" t="inlineStr">
        <is>
          <t>D02-I13</t>
        </is>
      </c>
      <c r="D21" s="18">
        <f>'P0-3_Scorecard'!L7</f>
        <v/>
      </c>
      <c r="E21" s="18">
        <f>'P0-3_Scorecard'!L24</f>
        <v/>
      </c>
      <c r="F21" s="18">
        <f>'P0-3_Scorecard'!M24</f>
        <v/>
      </c>
      <c r="G21" s="18">
        <f>'P0-3_Scorecard'!E24</f>
        <v/>
      </c>
      <c r="H21" s="18">
        <f>'P0-3_Scorecard'!H24</f>
        <v/>
      </c>
      <c r="I21" s="18">
        <f>IF(OR(D21="",E21=""),"INCOMPLETE",IF(AND(D21&gt;=70,E21&lt;60),"DEPENDENCY GAP",IF(AND(D21&gt;=70,G21&lt;F21),"REQUIRED MATURITY GAP","OK")))</f>
        <v/>
      </c>
      <c r="J21" s="18" t="inlineStr">
        <is>
          <t>Governance review</t>
        </is>
      </c>
    </row>
    <row r="22">
      <c r="A22" s="18" t="inlineStr">
        <is>
          <t>CD02</t>
        </is>
      </c>
      <c r="B22" s="18" t="inlineStr">
        <is>
          <t>D01-I09</t>
        </is>
      </c>
      <c r="C22" s="18" t="inlineStr">
        <is>
          <t>D02-I01</t>
        </is>
      </c>
      <c r="D22" s="18">
        <f>'P0-3_Scorecard'!L10</f>
        <v/>
      </c>
      <c r="E22" s="18">
        <f>'P0-3_Scorecard'!L12</f>
        <v/>
      </c>
      <c r="F22" s="18">
        <f>'P0-3_Scorecard'!M12</f>
        <v/>
      </c>
      <c r="G22" s="18">
        <f>'P0-3_Scorecard'!E12</f>
        <v/>
      </c>
      <c r="H22" s="18">
        <f>'P0-3_Scorecard'!H12</f>
        <v/>
      </c>
      <c r="I22" s="18">
        <f>IF(OR(D22="",E22=""),"INCOMPLETE",IF(AND(D22&gt;=70,E22&lt;60),"DEPENDENCY GAP",IF(AND(D22&gt;=70,G22&lt;F22),"REQUIRED MATURITY GAP","OK")))</f>
        <v/>
      </c>
      <c r="J22" s="18" t="inlineStr">
        <is>
          <t>Governance review</t>
        </is>
      </c>
    </row>
    <row r="23">
      <c r="A23" s="18" t="inlineStr">
        <is>
          <t>CD02</t>
        </is>
      </c>
      <c r="B23" s="18" t="inlineStr">
        <is>
          <t>D01-I09</t>
        </is>
      </c>
      <c r="C23" s="18" t="inlineStr">
        <is>
          <t>D02-I03</t>
        </is>
      </c>
      <c r="D23" s="18">
        <f>'P0-3_Scorecard'!L10</f>
        <v/>
      </c>
      <c r="E23" s="18">
        <f>'P0-3_Scorecard'!L14</f>
        <v/>
      </c>
      <c r="F23" s="18">
        <f>'P0-3_Scorecard'!M14</f>
        <v/>
      </c>
      <c r="G23" s="18">
        <f>'P0-3_Scorecard'!E14</f>
        <v/>
      </c>
      <c r="H23" s="18">
        <f>'P0-3_Scorecard'!H14</f>
        <v/>
      </c>
      <c r="I23" s="18">
        <f>IF(OR(D23="",E23=""),"INCOMPLETE",IF(AND(D23&gt;=70,E23&lt;60),"DEPENDENCY GAP",IF(AND(D23&gt;=70,G23&lt;F23),"REQUIRED MATURITY GAP","OK")))</f>
        <v/>
      </c>
      <c r="J23" s="18" t="inlineStr">
        <is>
          <t>Governance review</t>
        </is>
      </c>
    </row>
    <row r="24">
      <c r="A24" s="18" t="inlineStr">
        <is>
          <t>CD02</t>
        </is>
      </c>
      <c r="B24" s="18" t="inlineStr">
        <is>
          <t>D01-I09</t>
        </is>
      </c>
      <c r="C24" s="18" t="inlineStr">
        <is>
          <t>D02-I07</t>
        </is>
      </c>
      <c r="D24" s="18">
        <f>'P0-3_Scorecard'!L10</f>
        <v/>
      </c>
      <c r="E24" s="18">
        <f>'P0-3_Scorecard'!L18</f>
        <v/>
      </c>
      <c r="F24" s="18">
        <f>'P0-3_Scorecard'!M18</f>
        <v/>
      </c>
      <c r="G24" s="18">
        <f>'P0-3_Scorecard'!E18</f>
        <v/>
      </c>
      <c r="H24" s="18">
        <f>'P0-3_Scorecard'!H18</f>
        <v/>
      </c>
      <c r="I24" s="18">
        <f>IF(OR(D24="",E24=""),"INCOMPLETE",IF(AND(D24&gt;=70,E24&lt;60),"DEPENDENCY GAP",IF(AND(D24&gt;=70,G24&lt;F24),"REQUIRED MATURITY GAP","OK")))</f>
        <v/>
      </c>
      <c r="J24" s="18" t="inlineStr">
        <is>
          <t>Governance review</t>
        </is>
      </c>
    </row>
    <row r="25">
      <c r="A25" s="18" t="inlineStr">
        <is>
          <t>CD02</t>
        </is>
      </c>
      <c r="B25" s="18" t="inlineStr">
        <is>
          <t>D01-I09</t>
        </is>
      </c>
      <c r="C25" s="18" t="inlineStr">
        <is>
          <t>D02-I13</t>
        </is>
      </c>
      <c r="D25" s="18">
        <f>'P0-3_Scorecard'!L10</f>
        <v/>
      </c>
      <c r="E25" s="18">
        <f>'P0-3_Scorecard'!L24</f>
        <v/>
      </c>
      <c r="F25" s="18">
        <f>'P0-3_Scorecard'!M24</f>
        <v/>
      </c>
      <c r="G25" s="18">
        <f>'P0-3_Scorecard'!E24</f>
        <v/>
      </c>
      <c r="H25" s="18">
        <f>'P0-3_Scorecard'!H24</f>
        <v/>
      </c>
      <c r="I25" s="18">
        <f>IF(OR(D25="",E25=""),"INCOMPLETE",IF(AND(D25&gt;=70,E25&lt;60),"DEPENDENCY GAP",IF(AND(D25&gt;=70,G25&lt;F25),"REQUIRED MATURITY GAP","OK")))</f>
        <v/>
      </c>
      <c r="J25" s="18" t="inlineStr">
        <is>
          <t>Governance review</t>
        </is>
      </c>
    </row>
    <row r="26">
      <c r="A26" s="18" t="inlineStr">
        <is>
          <t>CD03</t>
        </is>
      </c>
      <c r="B26" s="18" t="inlineStr">
        <is>
          <t>D01-I02</t>
        </is>
      </c>
      <c r="C26" s="18" t="inlineStr">
        <is>
          <t>D04-I01</t>
        </is>
      </c>
      <c r="D26" s="18">
        <f>'P0-3_Scorecard'!L3</f>
        <v/>
      </c>
      <c r="E26" s="18">
        <f>'P0-3_Scorecard'!L43</f>
        <v/>
      </c>
      <c r="F26" s="18">
        <f>'P0-3_Scorecard'!M43</f>
        <v/>
      </c>
      <c r="G26" s="18">
        <f>'P0-3_Scorecard'!E43</f>
        <v/>
      </c>
      <c r="H26" s="18">
        <f>'P0-3_Scorecard'!H43</f>
        <v/>
      </c>
      <c r="I26" s="18">
        <f>IF(OR(D26="",E26=""),"INCOMPLETE",IF(AND(D26&gt;=70,E26&lt;60),"DEPENDENCY GAP",IF(AND(D26&gt;=70,G26&lt;F26),"REQUIRED MATURITY GAP","OK")))</f>
        <v/>
      </c>
      <c r="J26" s="18" t="inlineStr">
        <is>
          <t>Programme portfolio review</t>
        </is>
      </c>
    </row>
    <row r="27">
      <c r="A27" s="18" t="inlineStr">
        <is>
          <t>CD03</t>
        </is>
      </c>
      <c r="B27" s="18" t="inlineStr">
        <is>
          <t>D01-I02</t>
        </is>
      </c>
      <c r="C27" s="18" t="inlineStr">
        <is>
          <t>D04-I03</t>
        </is>
      </c>
      <c r="D27" s="18">
        <f>'P0-3_Scorecard'!L3</f>
        <v/>
      </c>
      <c r="E27" s="18">
        <f>'P0-3_Scorecard'!L45</f>
        <v/>
      </c>
      <c r="F27" s="18">
        <f>'P0-3_Scorecard'!M45</f>
        <v/>
      </c>
      <c r="G27" s="18">
        <f>'P0-3_Scorecard'!E45</f>
        <v/>
      </c>
      <c r="H27" s="18">
        <f>'P0-3_Scorecard'!H45</f>
        <v/>
      </c>
      <c r="I27" s="18">
        <f>IF(OR(D27="",E27=""),"INCOMPLETE",IF(AND(D27&gt;=70,E27&lt;60),"DEPENDENCY GAP",IF(AND(D27&gt;=70,G27&lt;F27),"REQUIRED MATURITY GAP","OK")))</f>
        <v/>
      </c>
      <c r="J27" s="18" t="inlineStr">
        <is>
          <t>Programme portfolio review</t>
        </is>
      </c>
    </row>
    <row r="28">
      <c r="A28" s="18" t="inlineStr">
        <is>
          <t>CD03</t>
        </is>
      </c>
      <c r="B28" s="18" t="inlineStr">
        <is>
          <t>D01-I02</t>
        </is>
      </c>
      <c r="C28" s="18" t="inlineStr">
        <is>
          <t>D04-I05</t>
        </is>
      </c>
      <c r="D28" s="18">
        <f>'P0-3_Scorecard'!L3</f>
        <v/>
      </c>
      <c r="E28" s="18">
        <f>'P0-3_Scorecard'!L47</f>
        <v/>
      </c>
      <c r="F28" s="18">
        <f>'P0-3_Scorecard'!M47</f>
        <v/>
      </c>
      <c r="G28" s="18">
        <f>'P0-3_Scorecard'!E47</f>
        <v/>
      </c>
      <c r="H28" s="18">
        <f>'P0-3_Scorecard'!H47</f>
        <v/>
      </c>
      <c r="I28" s="18">
        <f>IF(OR(D28="",E28=""),"INCOMPLETE",IF(AND(D28&gt;=70,E28&lt;60),"DEPENDENCY GAP",IF(AND(D28&gt;=70,G28&lt;F28),"REQUIRED MATURITY GAP","OK")))</f>
        <v/>
      </c>
      <c r="J28" s="18" t="inlineStr">
        <is>
          <t>Programme portfolio review</t>
        </is>
      </c>
    </row>
    <row r="29">
      <c r="A29" s="18" t="inlineStr">
        <is>
          <t>CD03</t>
        </is>
      </c>
      <c r="B29" s="18" t="inlineStr">
        <is>
          <t>D01-I02</t>
        </is>
      </c>
      <c r="C29" s="18" t="inlineStr">
        <is>
          <t>D04-I08</t>
        </is>
      </c>
      <c r="D29" s="18">
        <f>'P0-3_Scorecard'!L3</f>
        <v/>
      </c>
      <c r="E29" s="18">
        <f>'P0-3_Scorecard'!L50</f>
        <v/>
      </c>
      <c r="F29" s="18">
        <f>'P0-3_Scorecard'!M50</f>
        <v/>
      </c>
      <c r="G29" s="18">
        <f>'P0-3_Scorecard'!E50</f>
        <v/>
      </c>
      <c r="H29" s="18">
        <f>'P0-3_Scorecard'!H50</f>
        <v/>
      </c>
      <c r="I29" s="18">
        <f>IF(OR(D29="",E29=""),"INCOMPLETE",IF(AND(D29&gt;=70,E29&lt;60),"DEPENDENCY GAP",IF(AND(D29&gt;=70,G29&lt;F29),"REQUIRED MATURITY GAP","OK")))</f>
        <v/>
      </c>
      <c r="J29" s="18" t="inlineStr">
        <is>
          <t>Programme portfolio review</t>
        </is>
      </c>
    </row>
    <row r="30">
      <c r="A30" s="18" t="inlineStr">
        <is>
          <t>CD03</t>
        </is>
      </c>
      <c r="B30" s="18" t="inlineStr">
        <is>
          <t>D01-I02</t>
        </is>
      </c>
      <c r="C30" s="18" t="inlineStr">
        <is>
          <t>D04-I12</t>
        </is>
      </c>
      <c r="D30" s="18">
        <f>'P0-3_Scorecard'!L3</f>
        <v/>
      </c>
      <c r="E30" s="18">
        <f>'P0-3_Scorecard'!L54</f>
        <v/>
      </c>
      <c r="F30" s="18">
        <f>'P0-3_Scorecard'!M54</f>
        <v/>
      </c>
      <c r="G30" s="18">
        <f>'P0-3_Scorecard'!E54</f>
        <v/>
      </c>
      <c r="H30" s="18">
        <f>'P0-3_Scorecard'!H54</f>
        <v/>
      </c>
      <c r="I30" s="18">
        <f>IF(OR(D30="",E30=""),"INCOMPLETE",IF(AND(D30&gt;=70,E30&lt;60),"DEPENDENCY GAP",IF(AND(D30&gt;=70,G30&lt;F30),"REQUIRED MATURITY GAP","OK")))</f>
        <v/>
      </c>
      <c r="J30" s="18" t="inlineStr">
        <is>
          <t>Programme portfolio review</t>
        </is>
      </c>
    </row>
    <row r="31">
      <c r="A31" s="18" t="inlineStr">
        <is>
          <t>CD03</t>
        </is>
      </c>
      <c r="B31" s="18" t="inlineStr">
        <is>
          <t>D01-I04</t>
        </is>
      </c>
      <c r="C31" s="18" t="inlineStr">
        <is>
          <t>D04-I01</t>
        </is>
      </c>
      <c r="D31" s="18">
        <f>'P0-3_Scorecard'!L5</f>
        <v/>
      </c>
      <c r="E31" s="18">
        <f>'P0-3_Scorecard'!L43</f>
        <v/>
      </c>
      <c r="F31" s="18">
        <f>'P0-3_Scorecard'!M43</f>
        <v/>
      </c>
      <c r="G31" s="18">
        <f>'P0-3_Scorecard'!E43</f>
        <v/>
      </c>
      <c r="H31" s="18">
        <f>'P0-3_Scorecard'!H43</f>
        <v/>
      </c>
      <c r="I31" s="18">
        <f>IF(OR(D31="",E31=""),"INCOMPLETE",IF(AND(D31&gt;=70,E31&lt;60),"DEPENDENCY GAP",IF(AND(D31&gt;=70,G31&lt;F31),"REQUIRED MATURITY GAP","OK")))</f>
        <v/>
      </c>
      <c r="J31" s="18" t="inlineStr">
        <is>
          <t>Programme portfolio review</t>
        </is>
      </c>
    </row>
    <row r="32">
      <c r="A32" s="18" t="inlineStr">
        <is>
          <t>CD03</t>
        </is>
      </c>
      <c r="B32" s="18" t="inlineStr">
        <is>
          <t>D01-I04</t>
        </is>
      </c>
      <c r="C32" s="18" t="inlineStr">
        <is>
          <t>D04-I03</t>
        </is>
      </c>
      <c r="D32" s="18">
        <f>'P0-3_Scorecard'!L5</f>
        <v/>
      </c>
      <c r="E32" s="18">
        <f>'P0-3_Scorecard'!L45</f>
        <v/>
      </c>
      <c r="F32" s="18">
        <f>'P0-3_Scorecard'!M45</f>
        <v/>
      </c>
      <c r="G32" s="18">
        <f>'P0-3_Scorecard'!E45</f>
        <v/>
      </c>
      <c r="H32" s="18">
        <f>'P0-3_Scorecard'!H45</f>
        <v/>
      </c>
      <c r="I32" s="18">
        <f>IF(OR(D32="",E32=""),"INCOMPLETE",IF(AND(D32&gt;=70,E32&lt;60),"DEPENDENCY GAP",IF(AND(D32&gt;=70,G32&lt;F32),"REQUIRED MATURITY GAP","OK")))</f>
        <v/>
      </c>
      <c r="J32" s="18" t="inlineStr">
        <is>
          <t>Programme portfolio review</t>
        </is>
      </c>
    </row>
    <row r="33">
      <c r="A33" s="18" t="inlineStr">
        <is>
          <t>CD03</t>
        </is>
      </c>
      <c r="B33" s="18" t="inlineStr">
        <is>
          <t>D01-I04</t>
        </is>
      </c>
      <c r="C33" s="18" t="inlineStr">
        <is>
          <t>D04-I05</t>
        </is>
      </c>
      <c r="D33" s="18">
        <f>'P0-3_Scorecard'!L5</f>
        <v/>
      </c>
      <c r="E33" s="18">
        <f>'P0-3_Scorecard'!L47</f>
        <v/>
      </c>
      <c r="F33" s="18">
        <f>'P0-3_Scorecard'!M47</f>
        <v/>
      </c>
      <c r="G33" s="18">
        <f>'P0-3_Scorecard'!E47</f>
        <v/>
      </c>
      <c r="H33" s="18">
        <f>'P0-3_Scorecard'!H47</f>
        <v/>
      </c>
      <c r="I33" s="18">
        <f>IF(OR(D33="",E33=""),"INCOMPLETE",IF(AND(D33&gt;=70,E33&lt;60),"DEPENDENCY GAP",IF(AND(D33&gt;=70,G33&lt;F33),"REQUIRED MATURITY GAP","OK")))</f>
        <v/>
      </c>
      <c r="J33" s="18" t="inlineStr">
        <is>
          <t>Programme portfolio review</t>
        </is>
      </c>
    </row>
    <row r="34">
      <c r="A34" s="18" t="inlineStr">
        <is>
          <t>CD03</t>
        </is>
      </c>
      <c r="B34" s="18" t="inlineStr">
        <is>
          <t>D01-I04</t>
        </is>
      </c>
      <c r="C34" s="18" t="inlineStr">
        <is>
          <t>D04-I08</t>
        </is>
      </c>
      <c r="D34" s="18">
        <f>'P0-3_Scorecard'!L5</f>
        <v/>
      </c>
      <c r="E34" s="18">
        <f>'P0-3_Scorecard'!L50</f>
        <v/>
      </c>
      <c r="F34" s="18">
        <f>'P0-3_Scorecard'!M50</f>
        <v/>
      </c>
      <c r="G34" s="18">
        <f>'P0-3_Scorecard'!E50</f>
        <v/>
      </c>
      <c r="H34" s="18">
        <f>'P0-3_Scorecard'!H50</f>
        <v/>
      </c>
      <c r="I34" s="18">
        <f>IF(OR(D34="",E34=""),"INCOMPLETE",IF(AND(D34&gt;=70,E34&lt;60),"DEPENDENCY GAP",IF(AND(D34&gt;=70,G34&lt;F34),"REQUIRED MATURITY GAP","OK")))</f>
        <v/>
      </c>
      <c r="J34" s="18" t="inlineStr">
        <is>
          <t>Programme portfolio review</t>
        </is>
      </c>
    </row>
    <row r="35">
      <c r="A35" s="18" t="inlineStr">
        <is>
          <t>CD03</t>
        </is>
      </c>
      <c r="B35" s="18" t="inlineStr">
        <is>
          <t>D01-I04</t>
        </is>
      </c>
      <c r="C35" s="18" t="inlineStr">
        <is>
          <t>D04-I12</t>
        </is>
      </c>
      <c r="D35" s="18">
        <f>'P0-3_Scorecard'!L5</f>
        <v/>
      </c>
      <c r="E35" s="18">
        <f>'P0-3_Scorecard'!L54</f>
        <v/>
      </c>
      <c r="F35" s="18">
        <f>'P0-3_Scorecard'!M54</f>
        <v/>
      </c>
      <c r="G35" s="18">
        <f>'P0-3_Scorecard'!E54</f>
        <v/>
      </c>
      <c r="H35" s="18">
        <f>'P0-3_Scorecard'!H54</f>
        <v/>
      </c>
      <c r="I35" s="18">
        <f>IF(OR(D35="",E35=""),"INCOMPLETE",IF(AND(D35&gt;=70,E35&lt;60),"DEPENDENCY GAP",IF(AND(D35&gt;=70,G35&lt;F35),"REQUIRED MATURITY GAP","OK")))</f>
        <v/>
      </c>
      <c r="J35" s="18" t="inlineStr">
        <is>
          <t>Programme portfolio review</t>
        </is>
      </c>
    </row>
    <row r="36">
      <c r="A36" s="18" t="inlineStr">
        <is>
          <t>CD03</t>
        </is>
      </c>
      <c r="B36" s="18" t="inlineStr">
        <is>
          <t>D01-I06</t>
        </is>
      </c>
      <c r="C36" s="18" t="inlineStr">
        <is>
          <t>D04-I01</t>
        </is>
      </c>
      <c r="D36" s="18">
        <f>'P0-3_Scorecard'!L7</f>
        <v/>
      </c>
      <c r="E36" s="18">
        <f>'P0-3_Scorecard'!L43</f>
        <v/>
      </c>
      <c r="F36" s="18">
        <f>'P0-3_Scorecard'!M43</f>
        <v/>
      </c>
      <c r="G36" s="18">
        <f>'P0-3_Scorecard'!E43</f>
        <v/>
      </c>
      <c r="H36" s="18">
        <f>'P0-3_Scorecard'!H43</f>
        <v/>
      </c>
      <c r="I36" s="18">
        <f>IF(OR(D36="",E36=""),"INCOMPLETE",IF(AND(D36&gt;=70,E36&lt;60),"DEPENDENCY GAP",IF(AND(D36&gt;=70,G36&lt;F36),"REQUIRED MATURITY GAP","OK")))</f>
        <v/>
      </c>
      <c r="J36" s="18" t="inlineStr">
        <is>
          <t>Programme portfolio review</t>
        </is>
      </c>
    </row>
    <row r="37">
      <c r="A37" s="18" t="inlineStr">
        <is>
          <t>CD03</t>
        </is>
      </c>
      <c r="B37" s="18" t="inlineStr">
        <is>
          <t>D01-I06</t>
        </is>
      </c>
      <c r="C37" s="18" t="inlineStr">
        <is>
          <t>D04-I03</t>
        </is>
      </c>
      <c r="D37" s="18">
        <f>'P0-3_Scorecard'!L7</f>
        <v/>
      </c>
      <c r="E37" s="18">
        <f>'P0-3_Scorecard'!L45</f>
        <v/>
      </c>
      <c r="F37" s="18">
        <f>'P0-3_Scorecard'!M45</f>
        <v/>
      </c>
      <c r="G37" s="18">
        <f>'P0-3_Scorecard'!E45</f>
        <v/>
      </c>
      <c r="H37" s="18">
        <f>'P0-3_Scorecard'!H45</f>
        <v/>
      </c>
      <c r="I37" s="18">
        <f>IF(OR(D37="",E37=""),"INCOMPLETE",IF(AND(D37&gt;=70,E37&lt;60),"DEPENDENCY GAP",IF(AND(D37&gt;=70,G37&lt;F37),"REQUIRED MATURITY GAP","OK")))</f>
        <v/>
      </c>
      <c r="J37" s="18" t="inlineStr">
        <is>
          <t>Programme portfolio review</t>
        </is>
      </c>
    </row>
    <row r="38">
      <c r="A38" s="18" t="inlineStr">
        <is>
          <t>CD03</t>
        </is>
      </c>
      <c r="B38" s="18" t="inlineStr">
        <is>
          <t>D01-I06</t>
        </is>
      </c>
      <c r="C38" s="18" t="inlineStr">
        <is>
          <t>D04-I05</t>
        </is>
      </c>
      <c r="D38" s="18">
        <f>'P0-3_Scorecard'!L7</f>
        <v/>
      </c>
      <c r="E38" s="18">
        <f>'P0-3_Scorecard'!L47</f>
        <v/>
      </c>
      <c r="F38" s="18">
        <f>'P0-3_Scorecard'!M47</f>
        <v/>
      </c>
      <c r="G38" s="18">
        <f>'P0-3_Scorecard'!E47</f>
        <v/>
      </c>
      <c r="H38" s="18">
        <f>'P0-3_Scorecard'!H47</f>
        <v/>
      </c>
      <c r="I38" s="18">
        <f>IF(OR(D38="",E38=""),"INCOMPLETE",IF(AND(D38&gt;=70,E38&lt;60),"DEPENDENCY GAP",IF(AND(D38&gt;=70,G38&lt;F38),"REQUIRED MATURITY GAP","OK")))</f>
        <v/>
      </c>
      <c r="J38" s="18" t="inlineStr">
        <is>
          <t>Programme portfolio review</t>
        </is>
      </c>
    </row>
    <row r="39">
      <c r="A39" s="18" t="inlineStr">
        <is>
          <t>CD03</t>
        </is>
      </c>
      <c r="B39" s="18" t="inlineStr">
        <is>
          <t>D01-I06</t>
        </is>
      </c>
      <c r="C39" s="18" t="inlineStr">
        <is>
          <t>D04-I08</t>
        </is>
      </c>
      <c r="D39" s="18">
        <f>'P0-3_Scorecard'!L7</f>
        <v/>
      </c>
      <c r="E39" s="18">
        <f>'P0-3_Scorecard'!L50</f>
        <v/>
      </c>
      <c r="F39" s="18">
        <f>'P0-3_Scorecard'!M50</f>
        <v/>
      </c>
      <c r="G39" s="18">
        <f>'P0-3_Scorecard'!E50</f>
        <v/>
      </c>
      <c r="H39" s="18">
        <f>'P0-3_Scorecard'!H50</f>
        <v/>
      </c>
      <c r="I39" s="18">
        <f>IF(OR(D39="",E39=""),"INCOMPLETE",IF(AND(D39&gt;=70,E39&lt;60),"DEPENDENCY GAP",IF(AND(D39&gt;=70,G39&lt;F39),"REQUIRED MATURITY GAP","OK")))</f>
        <v/>
      </c>
      <c r="J39" s="18" t="inlineStr">
        <is>
          <t>Programme portfolio review</t>
        </is>
      </c>
    </row>
    <row r="40">
      <c r="A40" s="18" t="inlineStr">
        <is>
          <t>CD03</t>
        </is>
      </c>
      <c r="B40" s="18" t="inlineStr">
        <is>
          <t>D01-I06</t>
        </is>
      </c>
      <c r="C40" s="18" t="inlineStr">
        <is>
          <t>D04-I12</t>
        </is>
      </c>
      <c r="D40" s="18">
        <f>'P0-3_Scorecard'!L7</f>
        <v/>
      </c>
      <c r="E40" s="18">
        <f>'P0-3_Scorecard'!L54</f>
        <v/>
      </c>
      <c r="F40" s="18">
        <f>'P0-3_Scorecard'!M54</f>
        <v/>
      </c>
      <c r="G40" s="18">
        <f>'P0-3_Scorecard'!E54</f>
        <v/>
      </c>
      <c r="H40" s="18">
        <f>'P0-3_Scorecard'!H54</f>
        <v/>
      </c>
      <c r="I40" s="18">
        <f>IF(OR(D40="",E40=""),"INCOMPLETE",IF(AND(D40&gt;=70,E40&lt;60),"DEPENDENCY GAP",IF(AND(D40&gt;=70,G40&lt;F40),"REQUIRED MATURITY GAP","OK")))</f>
        <v/>
      </c>
      <c r="J40" s="18" t="inlineStr">
        <is>
          <t>Programme portfolio review</t>
        </is>
      </c>
    </row>
    <row r="41">
      <c r="A41" s="18" t="inlineStr">
        <is>
          <t>CD03</t>
        </is>
      </c>
      <c r="B41" s="18" t="inlineStr">
        <is>
          <t>D01-I10</t>
        </is>
      </c>
      <c r="C41" s="18" t="inlineStr">
        <is>
          <t>D04-I01</t>
        </is>
      </c>
      <c r="D41" s="18">
        <f>'P0-3_Scorecard'!L11</f>
        <v/>
      </c>
      <c r="E41" s="18">
        <f>'P0-3_Scorecard'!L43</f>
        <v/>
      </c>
      <c r="F41" s="18">
        <f>'P0-3_Scorecard'!M43</f>
        <v/>
      </c>
      <c r="G41" s="18">
        <f>'P0-3_Scorecard'!E43</f>
        <v/>
      </c>
      <c r="H41" s="18">
        <f>'P0-3_Scorecard'!H43</f>
        <v/>
      </c>
      <c r="I41" s="18">
        <f>IF(OR(D41="",E41=""),"INCOMPLETE",IF(AND(D41&gt;=70,E41&lt;60),"DEPENDENCY GAP",IF(AND(D41&gt;=70,G41&lt;F41),"REQUIRED MATURITY GAP","OK")))</f>
        <v/>
      </c>
      <c r="J41" s="18" t="inlineStr">
        <is>
          <t>Programme portfolio review</t>
        </is>
      </c>
    </row>
    <row r="42">
      <c r="A42" s="18" t="inlineStr">
        <is>
          <t>CD03</t>
        </is>
      </c>
      <c r="B42" s="18" t="inlineStr">
        <is>
          <t>D01-I10</t>
        </is>
      </c>
      <c r="C42" s="18" t="inlineStr">
        <is>
          <t>D04-I03</t>
        </is>
      </c>
      <c r="D42" s="18">
        <f>'P0-3_Scorecard'!L11</f>
        <v/>
      </c>
      <c r="E42" s="18">
        <f>'P0-3_Scorecard'!L45</f>
        <v/>
      </c>
      <c r="F42" s="18">
        <f>'P0-3_Scorecard'!M45</f>
        <v/>
      </c>
      <c r="G42" s="18">
        <f>'P0-3_Scorecard'!E45</f>
        <v/>
      </c>
      <c r="H42" s="18">
        <f>'P0-3_Scorecard'!H45</f>
        <v/>
      </c>
      <c r="I42" s="18">
        <f>IF(OR(D42="",E42=""),"INCOMPLETE",IF(AND(D42&gt;=70,E42&lt;60),"DEPENDENCY GAP",IF(AND(D42&gt;=70,G42&lt;F42),"REQUIRED MATURITY GAP","OK")))</f>
        <v/>
      </c>
      <c r="J42" s="18" t="inlineStr">
        <is>
          <t>Programme portfolio review</t>
        </is>
      </c>
    </row>
    <row r="43">
      <c r="A43" s="18" t="inlineStr">
        <is>
          <t>CD03</t>
        </is>
      </c>
      <c r="B43" s="18" t="inlineStr">
        <is>
          <t>D01-I10</t>
        </is>
      </c>
      <c r="C43" s="18" t="inlineStr">
        <is>
          <t>D04-I05</t>
        </is>
      </c>
      <c r="D43" s="18">
        <f>'P0-3_Scorecard'!L11</f>
        <v/>
      </c>
      <c r="E43" s="18">
        <f>'P0-3_Scorecard'!L47</f>
        <v/>
      </c>
      <c r="F43" s="18">
        <f>'P0-3_Scorecard'!M47</f>
        <v/>
      </c>
      <c r="G43" s="18">
        <f>'P0-3_Scorecard'!E47</f>
        <v/>
      </c>
      <c r="H43" s="18">
        <f>'P0-3_Scorecard'!H47</f>
        <v/>
      </c>
      <c r="I43" s="18">
        <f>IF(OR(D43="",E43=""),"INCOMPLETE",IF(AND(D43&gt;=70,E43&lt;60),"DEPENDENCY GAP",IF(AND(D43&gt;=70,G43&lt;F43),"REQUIRED MATURITY GAP","OK")))</f>
        <v/>
      </c>
      <c r="J43" s="18" t="inlineStr">
        <is>
          <t>Programme portfolio review</t>
        </is>
      </c>
    </row>
    <row r="44">
      <c r="A44" s="18" t="inlineStr">
        <is>
          <t>CD03</t>
        </is>
      </c>
      <c r="B44" s="18" t="inlineStr">
        <is>
          <t>D01-I10</t>
        </is>
      </c>
      <c r="C44" s="18" t="inlineStr">
        <is>
          <t>D04-I08</t>
        </is>
      </c>
      <c r="D44" s="18">
        <f>'P0-3_Scorecard'!L11</f>
        <v/>
      </c>
      <c r="E44" s="18">
        <f>'P0-3_Scorecard'!L50</f>
        <v/>
      </c>
      <c r="F44" s="18">
        <f>'P0-3_Scorecard'!M50</f>
        <v/>
      </c>
      <c r="G44" s="18">
        <f>'P0-3_Scorecard'!E50</f>
        <v/>
      </c>
      <c r="H44" s="18">
        <f>'P0-3_Scorecard'!H50</f>
        <v/>
      </c>
      <c r="I44" s="18">
        <f>IF(OR(D44="",E44=""),"INCOMPLETE",IF(AND(D44&gt;=70,E44&lt;60),"DEPENDENCY GAP",IF(AND(D44&gt;=70,G44&lt;F44),"REQUIRED MATURITY GAP","OK")))</f>
        <v/>
      </c>
      <c r="J44" s="18" t="inlineStr">
        <is>
          <t>Programme portfolio review</t>
        </is>
      </c>
    </row>
    <row r="45">
      <c r="A45" s="18" t="inlineStr">
        <is>
          <t>CD03</t>
        </is>
      </c>
      <c r="B45" s="18" t="inlineStr">
        <is>
          <t>D01-I10</t>
        </is>
      </c>
      <c r="C45" s="18" t="inlineStr">
        <is>
          <t>D04-I12</t>
        </is>
      </c>
      <c r="D45" s="18">
        <f>'P0-3_Scorecard'!L11</f>
        <v/>
      </c>
      <c r="E45" s="18">
        <f>'P0-3_Scorecard'!L54</f>
        <v/>
      </c>
      <c r="F45" s="18">
        <f>'P0-3_Scorecard'!M54</f>
        <v/>
      </c>
      <c r="G45" s="18">
        <f>'P0-3_Scorecard'!E54</f>
        <v/>
      </c>
      <c r="H45" s="18">
        <f>'P0-3_Scorecard'!H54</f>
        <v/>
      </c>
      <c r="I45" s="18">
        <f>IF(OR(D45="",E45=""),"INCOMPLETE",IF(AND(D45&gt;=70,E45&lt;60),"DEPENDENCY GAP",IF(AND(D45&gt;=70,G45&lt;F45),"REQUIRED MATURITY GAP","OK")))</f>
        <v/>
      </c>
      <c r="J45" s="18" t="inlineStr">
        <is>
          <t>Programme portfolio review</t>
        </is>
      </c>
    </row>
    <row r="46">
      <c r="A46" s="18" t="inlineStr">
        <is>
          <t>CD04</t>
        </is>
      </c>
      <c r="B46" s="18" t="inlineStr">
        <is>
          <t>D01-I02</t>
        </is>
      </c>
      <c r="C46" s="18" t="inlineStr">
        <is>
          <t>D11-I01</t>
        </is>
      </c>
      <c r="D46" s="18">
        <f>'P0-3_Scorecard'!L3</f>
        <v/>
      </c>
      <c r="E46" s="18">
        <f>'P0-3_Scorecard'!L131</f>
        <v/>
      </c>
      <c r="F46" s="18">
        <f>'P0-3_Scorecard'!M131</f>
        <v/>
      </c>
      <c r="G46" s="18">
        <f>'P0-3_Scorecard'!E131</f>
        <v/>
      </c>
      <c r="H46" s="18">
        <f>'P0-3_Scorecard'!H131</f>
        <v/>
      </c>
      <c r="I46" s="18">
        <f>IF(OR(D46="",E46=""),"INCOMPLETE",IF(AND(D46&gt;=70,E46&lt;60),"DEPENDENCY GAP",IF(AND(D46&gt;=70,G46&lt;F46),"REQUIRED MATURITY GAP","OK")))</f>
        <v/>
      </c>
      <c r="J46" s="18" t="inlineStr">
        <is>
          <t>Adaptation review</t>
        </is>
      </c>
    </row>
    <row r="47">
      <c r="A47" s="18" t="inlineStr">
        <is>
          <t>CD04</t>
        </is>
      </c>
      <c r="B47" s="18" t="inlineStr">
        <is>
          <t>D01-I02</t>
        </is>
      </c>
      <c r="C47" s="18" t="inlineStr">
        <is>
          <t>D11-I02</t>
        </is>
      </c>
      <c r="D47" s="18">
        <f>'P0-3_Scorecard'!L3</f>
        <v/>
      </c>
      <c r="E47" s="18">
        <f>'P0-3_Scorecard'!L132</f>
        <v/>
      </c>
      <c r="F47" s="18">
        <f>'P0-3_Scorecard'!M132</f>
        <v/>
      </c>
      <c r="G47" s="18">
        <f>'P0-3_Scorecard'!E132</f>
        <v/>
      </c>
      <c r="H47" s="18">
        <f>'P0-3_Scorecard'!H132</f>
        <v/>
      </c>
      <c r="I47" s="18">
        <f>IF(OR(D47="",E47=""),"INCOMPLETE",IF(AND(D47&gt;=70,E47&lt;60),"DEPENDENCY GAP",IF(AND(D47&gt;=70,G47&lt;F47),"REQUIRED MATURITY GAP","OK")))</f>
        <v/>
      </c>
      <c r="J47" s="18" t="inlineStr">
        <is>
          <t>Adaptation review</t>
        </is>
      </c>
    </row>
    <row r="48">
      <c r="A48" s="18" t="inlineStr">
        <is>
          <t>CD04</t>
        </is>
      </c>
      <c r="B48" s="18" t="inlineStr">
        <is>
          <t>D01-I02</t>
        </is>
      </c>
      <c r="C48" s="18" t="inlineStr">
        <is>
          <t>D11-I06</t>
        </is>
      </c>
      <c r="D48" s="18">
        <f>'P0-3_Scorecard'!L3</f>
        <v/>
      </c>
      <c r="E48" s="18">
        <f>'P0-3_Scorecard'!L136</f>
        <v/>
      </c>
      <c r="F48" s="18">
        <f>'P0-3_Scorecard'!M136</f>
        <v/>
      </c>
      <c r="G48" s="18">
        <f>'P0-3_Scorecard'!E136</f>
        <v/>
      </c>
      <c r="H48" s="18">
        <f>'P0-3_Scorecard'!H136</f>
        <v/>
      </c>
      <c r="I48" s="18">
        <f>IF(OR(D48="",E48=""),"INCOMPLETE",IF(AND(D48&gt;=70,E48&lt;60),"DEPENDENCY GAP",IF(AND(D48&gt;=70,G48&lt;F48),"REQUIRED MATURITY GAP","OK")))</f>
        <v/>
      </c>
      <c r="J48" s="18" t="inlineStr">
        <is>
          <t>Adaptation review</t>
        </is>
      </c>
    </row>
    <row r="49">
      <c r="A49" s="18" t="inlineStr">
        <is>
          <t>CD04</t>
        </is>
      </c>
      <c r="B49" s="18" t="inlineStr">
        <is>
          <t>D01-I02</t>
        </is>
      </c>
      <c r="C49" s="18" t="inlineStr">
        <is>
          <t>D11-I13</t>
        </is>
      </c>
      <c r="D49" s="18">
        <f>'P0-3_Scorecard'!L3</f>
        <v/>
      </c>
      <c r="E49" s="18">
        <f>'P0-3_Scorecard'!L143</f>
        <v/>
      </c>
      <c r="F49" s="18">
        <f>'P0-3_Scorecard'!M143</f>
        <v/>
      </c>
      <c r="G49" s="18">
        <f>'P0-3_Scorecard'!E143</f>
        <v/>
      </c>
      <c r="H49" s="18">
        <f>'P0-3_Scorecard'!H143</f>
        <v/>
      </c>
      <c r="I49" s="18">
        <f>IF(OR(D49="",E49=""),"INCOMPLETE",IF(AND(D49&gt;=70,E49&lt;60),"DEPENDENCY GAP",IF(AND(D49&gt;=70,G49&lt;F49),"REQUIRED MATURITY GAP","OK")))</f>
        <v/>
      </c>
      <c r="J49" s="18" t="inlineStr">
        <is>
          <t>Adaptation review</t>
        </is>
      </c>
    </row>
    <row r="50">
      <c r="A50" s="18" t="inlineStr">
        <is>
          <t>CD04</t>
        </is>
      </c>
      <c r="B50" s="18" t="inlineStr">
        <is>
          <t>D01-I02</t>
        </is>
      </c>
      <c r="C50" s="18" t="inlineStr">
        <is>
          <t>D11-I14</t>
        </is>
      </c>
      <c r="D50" s="18">
        <f>'P0-3_Scorecard'!L3</f>
        <v/>
      </c>
      <c r="E50" s="18">
        <f>'P0-3_Scorecard'!L144</f>
        <v/>
      </c>
      <c r="F50" s="18">
        <f>'P0-3_Scorecard'!M144</f>
        <v/>
      </c>
      <c r="G50" s="18">
        <f>'P0-3_Scorecard'!E144</f>
        <v/>
      </c>
      <c r="H50" s="18">
        <f>'P0-3_Scorecard'!H144</f>
        <v/>
      </c>
      <c r="I50" s="18">
        <f>IF(OR(D50="",E50=""),"INCOMPLETE",IF(AND(D50&gt;=70,E50&lt;60),"DEPENDENCY GAP",IF(AND(D50&gt;=70,G50&lt;F50),"REQUIRED MATURITY GAP","OK")))</f>
        <v/>
      </c>
      <c r="J50" s="18" t="inlineStr">
        <is>
          <t>Adaptation review</t>
        </is>
      </c>
    </row>
    <row r="51">
      <c r="A51" s="18" t="inlineStr">
        <is>
          <t>CD04</t>
        </is>
      </c>
      <c r="B51" s="18" t="inlineStr">
        <is>
          <t>D01-I03</t>
        </is>
      </c>
      <c r="C51" s="18" t="inlineStr">
        <is>
          <t>D11-I01</t>
        </is>
      </c>
      <c r="D51" s="18">
        <f>'P0-3_Scorecard'!L4</f>
        <v/>
      </c>
      <c r="E51" s="18">
        <f>'P0-3_Scorecard'!L131</f>
        <v/>
      </c>
      <c r="F51" s="18">
        <f>'P0-3_Scorecard'!M131</f>
        <v/>
      </c>
      <c r="G51" s="18">
        <f>'P0-3_Scorecard'!E131</f>
        <v/>
      </c>
      <c r="H51" s="18">
        <f>'P0-3_Scorecard'!H131</f>
        <v/>
      </c>
      <c r="I51" s="18">
        <f>IF(OR(D51="",E51=""),"INCOMPLETE",IF(AND(D51&gt;=70,E51&lt;60),"DEPENDENCY GAP",IF(AND(D51&gt;=70,G51&lt;F51),"REQUIRED MATURITY GAP","OK")))</f>
        <v/>
      </c>
      <c r="J51" s="18" t="inlineStr">
        <is>
          <t>Adaptation review</t>
        </is>
      </c>
    </row>
    <row r="52">
      <c r="A52" s="18" t="inlineStr">
        <is>
          <t>CD04</t>
        </is>
      </c>
      <c r="B52" s="18" t="inlineStr">
        <is>
          <t>D01-I03</t>
        </is>
      </c>
      <c r="C52" s="18" t="inlineStr">
        <is>
          <t>D11-I02</t>
        </is>
      </c>
      <c r="D52" s="18">
        <f>'P0-3_Scorecard'!L4</f>
        <v/>
      </c>
      <c r="E52" s="18">
        <f>'P0-3_Scorecard'!L132</f>
        <v/>
      </c>
      <c r="F52" s="18">
        <f>'P0-3_Scorecard'!M132</f>
        <v/>
      </c>
      <c r="G52" s="18">
        <f>'P0-3_Scorecard'!E132</f>
        <v/>
      </c>
      <c r="H52" s="18">
        <f>'P0-3_Scorecard'!H132</f>
        <v/>
      </c>
      <c r="I52" s="18">
        <f>IF(OR(D52="",E52=""),"INCOMPLETE",IF(AND(D52&gt;=70,E52&lt;60),"DEPENDENCY GAP",IF(AND(D52&gt;=70,G52&lt;F52),"REQUIRED MATURITY GAP","OK")))</f>
        <v/>
      </c>
      <c r="J52" s="18" t="inlineStr">
        <is>
          <t>Adaptation review</t>
        </is>
      </c>
    </row>
    <row r="53">
      <c r="A53" s="18" t="inlineStr">
        <is>
          <t>CD04</t>
        </is>
      </c>
      <c r="B53" s="18" t="inlineStr">
        <is>
          <t>D01-I03</t>
        </is>
      </c>
      <c r="C53" s="18" t="inlineStr">
        <is>
          <t>D11-I06</t>
        </is>
      </c>
      <c r="D53" s="18">
        <f>'P0-3_Scorecard'!L4</f>
        <v/>
      </c>
      <c r="E53" s="18">
        <f>'P0-3_Scorecard'!L136</f>
        <v/>
      </c>
      <c r="F53" s="18">
        <f>'P0-3_Scorecard'!M136</f>
        <v/>
      </c>
      <c r="G53" s="18">
        <f>'P0-3_Scorecard'!E136</f>
        <v/>
      </c>
      <c r="H53" s="18">
        <f>'P0-3_Scorecard'!H136</f>
        <v/>
      </c>
      <c r="I53" s="18">
        <f>IF(OR(D53="",E53=""),"INCOMPLETE",IF(AND(D53&gt;=70,E53&lt;60),"DEPENDENCY GAP",IF(AND(D53&gt;=70,G53&lt;F53),"REQUIRED MATURITY GAP","OK")))</f>
        <v/>
      </c>
      <c r="J53" s="18" t="inlineStr">
        <is>
          <t>Adaptation review</t>
        </is>
      </c>
    </row>
    <row r="54">
      <c r="A54" s="18" t="inlineStr">
        <is>
          <t>CD04</t>
        </is>
      </c>
      <c r="B54" s="18" t="inlineStr">
        <is>
          <t>D01-I03</t>
        </is>
      </c>
      <c r="C54" s="18" t="inlineStr">
        <is>
          <t>D11-I13</t>
        </is>
      </c>
      <c r="D54" s="18">
        <f>'P0-3_Scorecard'!L4</f>
        <v/>
      </c>
      <c r="E54" s="18">
        <f>'P0-3_Scorecard'!L143</f>
        <v/>
      </c>
      <c r="F54" s="18">
        <f>'P0-3_Scorecard'!M143</f>
        <v/>
      </c>
      <c r="G54" s="18">
        <f>'P0-3_Scorecard'!E143</f>
        <v/>
      </c>
      <c r="H54" s="18">
        <f>'P0-3_Scorecard'!H143</f>
        <v/>
      </c>
      <c r="I54" s="18">
        <f>IF(OR(D54="",E54=""),"INCOMPLETE",IF(AND(D54&gt;=70,E54&lt;60),"DEPENDENCY GAP",IF(AND(D54&gt;=70,G54&lt;F54),"REQUIRED MATURITY GAP","OK")))</f>
        <v/>
      </c>
      <c r="J54" s="18" t="inlineStr">
        <is>
          <t>Adaptation review</t>
        </is>
      </c>
    </row>
    <row r="55">
      <c r="A55" s="18" t="inlineStr">
        <is>
          <t>CD04</t>
        </is>
      </c>
      <c r="B55" s="18" t="inlineStr">
        <is>
          <t>D01-I03</t>
        </is>
      </c>
      <c r="C55" s="18" t="inlineStr">
        <is>
          <t>D11-I14</t>
        </is>
      </c>
      <c r="D55" s="18">
        <f>'P0-3_Scorecard'!L4</f>
        <v/>
      </c>
      <c r="E55" s="18">
        <f>'P0-3_Scorecard'!L144</f>
        <v/>
      </c>
      <c r="F55" s="18">
        <f>'P0-3_Scorecard'!M144</f>
        <v/>
      </c>
      <c r="G55" s="18">
        <f>'P0-3_Scorecard'!E144</f>
        <v/>
      </c>
      <c r="H55" s="18">
        <f>'P0-3_Scorecard'!H144</f>
        <v/>
      </c>
      <c r="I55" s="18">
        <f>IF(OR(D55="",E55=""),"INCOMPLETE",IF(AND(D55&gt;=70,E55&lt;60),"DEPENDENCY GAP",IF(AND(D55&gt;=70,G55&lt;F55),"REQUIRED MATURITY GAP","OK")))</f>
        <v/>
      </c>
      <c r="J55" s="18" t="inlineStr">
        <is>
          <t>Adaptation review</t>
        </is>
      </c>
    </row>
    <row r="56">
      <c r="A56" s="18" t="inlineStr">
        <is>
          <t>CD04</t>
        </is>
      </c>
      <c r="B56" s="18" t="inlineStr">
        <is>
          <t>D01-I10</t>
        </is>
      </c>
      <c r="C56" s="18" t="inlineStr">
        <is>
          <t>D11-I01</t>
        </is>
      </c>
      <c r="D56" s="18">
        <f>'P0-3_Scorecard'!L11</f>
        <v/>
      </c>
      <c r="E56" s="18">
        <f>'P0-3_Scorecard'!L131</f>
        <v/>
      </c>
      <c r="F56" s="18">
        <f>'P0-3_Scorecard'!M131</f>
        <v/>
      </c>
      <c r="G56" s="18">
        <f>'P0-3_Scorecard'!E131</f>
        <v/>
      </c>
      <c r="H56" s="18">
        <f>'P0-3_Scorecard'!H131</f>
        <v/>
      </c>
      <c r="I56" s="18">
        <f>IF(OR(D56="",E56=""),"INCOMPLETE",IF(AND(D56&gt;=70,E56&lt;60),"DEPENDENCY GAP",IF(AND(D56&gt;=70,G56&lt;F56),"REQUIRED MATURITY GAP","OK")))</f>
        <v/>
      </c>
      <c r="J56" s="18" t="inlineStr">
        <is>
          <t>Adaptation review</t>
        </is>
      </c>
    </row>
    <row r="57">
      <c r="A57" s="18" t="inlineStr">
        <is>
          <t>CD04</t>
        </is>
      </c>
      <c r="B57" s="18" t="inlineStr">
        <is>
          <t>D01-I10</t>
        </is>
      </c>
      <c r="C57" s="18" t="inlineStr">
        <is>
          <t>D11-I02</t>
        </is>
      </c>
      <c r="D57" s="18">
        <f>'P0-3_Scorecard'!L11</f>
        <v/>
      </c>
      <c r="E57" s="18">
        <f>'P0-3_Scorecard'!L132</f>
        <v/>
      </c>
      <c r="F57" s="18">
        <f>'P0-3_Scorecard'!M132</f>
        <v/>
      </c>
      <c r="G57" s="18">
        <f>'P0-3_Scorecard'!E132</f>
        <v/>
      </c>
      <c r="H57" s="18">
        <f>'P0-3_Scorecard'!H132</f>
        <v/>
      </c>
      <c r="I57" s="18">
        <f>IF(OR(D57="",E57=""),"INCOMPLETE",IF(AND(D57&gt;=70,E57&lt;60),"DEPENDENCY GAP",IF(AND(D57&gt;=70,G57&lt;F57),"REQUIRED MATURITY GAP","OK")))</f>
        <v/>
      </c>
      <c r="J57" s="18" t="inlineStr">
        <is>
          <t>Adaptation review</t>
        </is>
      </c>
    </row>
    <row r="58">
      <c r="A58" s="18" t="inlineStr">
        <is>
          <t>CD04</t>
        </is>
      </c>
      <c r="B58" s="18" t="inlineStr">
        <is>
          <t>D01-I10</t>
        </is>
      </c>
      <c r="C58" s="18" t="inlineStr">
        <is>
          <t>D11-I06</t>
        </is>
      </c>
      <c r="D58" s="18">
        <f>'P0-3_Scorecard'!L11</f>
        <v/>
      </c>
      <c r="E58" s="18">
        <f>'P0-3_Scorecard'!L136</f>
        <v/>
      </c>
      <c r="F58" s="18">
        <f>'P0-3_Scorecard'!M136</f>
        <v/>
      </c>
      <c r="G58" s="18">
        <f>'P0-3_Scorecard'!E136</f>
        <v/>
      </c>
      <c r="H58" s="18">
        <f>'P0-3_Scorecard'!H136</f>
        <v/>
      </c>
      <c r="I58" s="18">
        <f>IF(OR(D58="",E58=""),"INCOMPLETE",IF(AND(D58&gt;=70,E58&lt;60),"DEPENDENCY GAP",IF(AND(D58&gt;=70,G58&lt;F58),"REQUIRED MATURITY GAP","OK")))</f>
        <v/>
      </c>
      <c r="J58" s="18" t="inlineStr">
        <is>
          <t>Adaptation review</t>
        </is>
      </c>
    </row>
    <row r="59">
      <c r="A59" s="18" t="inlineStr">
        <is>
          <t>CD04</t>
        </is>
      </c>
      <c r="B59" s="18" t="inlineStr">
        <is>
          <t>D01-I10</t>
        </is>
      </c>
      <c r="C59" s="18" t="inlineStr">
        <is>
          <t>D11-I13</t>
        </is>
      </c>
      <c r="D59" s="18">
        <f>'P0-3_Scorecard'!L11</f>
        <v/>
      </c>
      <c r="E59" s="18">
        <f>'P0-3_Scorecard'!L143</f>
        <v/>
      </c>
      <c r="F59" s="18">
        <f>'P0-3_Scorecard'!M143</f>
        <v/>
      </c>
      <c r="G59" s="18">
        <f>'P0-3_Scorecard'!E143</f>
        <v/>
      </c>
      <c r="H59" s="18">
        <f>'P0-3_Scorecard'!H143</f>
        <v/>
      </c>
      <c r="I59" s="18">
        <f>IF(OR(D59="",E59=""),"INCOMPLETE",IF(AND(D59&gt;=70,E59&lt;60),"DEPENDENCY GAP",IF(AND(D59&gt;=70,G59&lt;F59),"REQUIRED MATURITY GAP","OK")))</f>
        <v/>
      </c>
      <c r="J59" s="18" t="inlineStr">
        <is>
          <t>Adaptation review</t>
        </is>
      </c>
    </row>
    <row r="60">
      <c r="A60" s="18" t="inlineStr">
        <is>
          <t>CD04</t>
        </is>
      </c>
      <c r="B60" s="18" t="inlineStr">
        <is>
          <t>D01-I10</t>
        </is>
      </c>
      <c r="C60" s="18" t="inlineStr">
        <is>
          <t>D11-I14</t>
        </is>
      </c>
      <c r="D60" s="18">
        <f>'P0-3_Scorecard'!L11</f>
        <v/>
      </c>
      <c r="E60" s="18">
        <f>'P0-3_Scorecard'!L144</f>
        <v/>
      </c>
      <c r="F60" s="18">
        <f>'P0-3_Scorecard'!M144</f>
        <v/>
      </c>
      <c r="G60" s="18">
        <f>'P0-3_Scorecard'!E144</f>
        <v/>
      </c>
      <c r="H60" s="18">
        <f>'P0-3_Scorecard'!H144</f>
        <v/>
      </c>
      <c r="I60" s="18">
        <f>IF(OR(D60="",E60=""),"INCOMPLETE",IF(AND(D60&gt;=70,E60&lt;60),"DEPENDENCY GAP",IF(AND(D60&gt;=70,G60&lt;F60),"REQUIRED MATURITY GAP","OK")))</f>
        <v/>
      </c>
      <c r="J60" s="18" t="inlineStr">
        <is>
          <t>Adaptation review</t>
        </is>
      </c>
    </row>
    <row r="61">
      <c r="A61" s="18" t="inlineStr">
        <is>
          <t>CD05</t>
        </is>
      </c>
      <c r="B61" s="18" t="inlineStr">
        <is>
          <t>D02-I05</t>
        </is>
      </c>
      <c r="C61" s="18" t="inlineStr">
        <is>
          <t>D07-I01</t>
        </is>
      </c>
      <c r="D61" s="18">
        <f>'P0-3_Scorecard'!L16</f>
        <v/>
      </c>
      <c r="E61" s="18">
        <f>'P0-3_Scorecard'!L81</f>
        <v/>
      </c>
      <c r="F61" s="18">
        <f>'P0-3_Scorecard'!M81</f>
        <v/>
      </c>
      <c r="G61" s="18">
        <f>'P0-3_Scorecard'!E81</f>
        <v/>
      </c>
      <c r="H61" s="18">
        <f>'P0-3_Scorecard'!H81</f>
        <v/>
      </c>
      <c r="I61" s="18">
        <f>IF(OR(D61="",E61=""),"INCOMPLETE",IF(AND(D61&gt;=70,E61&lt;60),"DEPENDENCY GAP",IF(AND(D61&gt;=70,G61&lt;F61),"REQUIRED MATURITY GAP","OK")))</f>
        <v/>
      </c>
      <c r="J61" s="18" t="inlineStr">
        <is>
          <t>Assessment architecture review</t>
        </is>
      </c>
    </row>
    <row r="62">
      <c r="A62" s="18" t="inlineStr">
        <is>
          <t>CD05</t>
        </is>
      </c>
      <c r="B62" s="18" t="inlineStr">
        <is>
          <t>D02-I05</t>
        </is>
      </c>
      <c r="C62" s="18" t="inlineStr">
        <is>
          <t>D07-I04</t>
        </is>
      </c>
      <c r="D62" s="18">
        <f>'P0-3_Scorecard'!L16</f>
        <v/>
      </c>
      <c r="E62" s="18">
        <f>'P0-3_Scorecard'!L84</f>
        <v/>
      </c>
      <c r="F62" s="18">
        <f>'P0-3_Scorecard'!M84</f>
        <v/>
      </c>
      <c r="G62" s="18">
        <f>'P0-3_Scorecard'!E84</f>
        <v/>
      </c>
      <c r="H62" s="18">
        <f>'P0-3_Scorecard'!H84</f>
        <v/>
      </c>
      <c r="I62" s="18">
        <f>IF(OR(D62="",E62=""),"INCOMPLETE",IF(AND(D62&gt;=70,E62&lt;60),"DEPENDENCY GAP",IF(AND(D62&gt;=70,G62&lt;F62),"REQUIRED MATURITY GAP","OK")))</f>
        <v/>
      </c>
      <c r="J62" s="18" t="inlineStr">
        <is>
          <t>Assessment architecture review</t>
        </is>
      </c>
    </row>
    <row r="63">
      <c r="A63" s="18" t="inlineStr">
        <is>
          <t>CD05</t>
        </is>
      </c>
      <c r="B63" s="18" t="inlineStr">
        <is>
          <t>D02-I05</t>
        </is>
      </c>
      <c r="C63" s="18" t="inlineStr">
        <is>
          <t>D07-I05</t>
        </is>
      </c>
      <c r="D63" s="18">
        <f>'P0-3_Scorecard'!L16</f>
        <v/>
      </c>
      <c r="E63" s="18">
        <f>'P0-3_Scorecard'!L85</f>
        <v/>
      </c>
      <c r="F63" s="18">
        <f>'P0-3_Scorecard'!M85</f>
        <v/>
      </c>
      <c r="G63" s="18">
        <f>'P0-3_Scorecard'!E85</f>
        <v/>
      </c>
      <c r="H63" s="18">
        <f>'P0-3_Scorecard'!H85</f>
        <v/>
      </c>
      <c r="I63" s="18">
        <f>IF(OR(D63="",E63=""),"INCOMPLETE",IF(AND(D63&gt;=70,E63&lt;60),"DEPENDENCY GAP",IF(AND(D63&gt;=70,G63&lt;F63),"REQUIRED MATURITY GAP","OK")))</f>
        <v/>
      </c>
      <c r="J63" s="18" t="inlineStr">
        <is>
          <t>Assessment architecture review</t>
        </is>
      </c>
    </row>
    <row r="64">
      <c r="A64" s="18" t="inlineStr">
        <is>
          <t>CD05</t>
        </is>
      </c>
      <c r="B64" s="18" t="inlineStr">
        <is>
          <t>D02-I05</t>
        </is>
      </c>
      <c r="C64" s="18" t="inlineStr">
        <is>
          <t>D07-I10</t>
        </is>
      </c>
      <c r="D64" s="18">
        <f>'P0-3_Scorecard'!L16</f>
        <v/>
      </c>
      <c r="E64" s="18">
        <f>'P0-3_Scorecard'!L90</f>
        <v/>
      </c>
      <c r="F64" s="18">
        <f>'P0-3_Scorecard'!M90</f>
        <v/>
      </c>
      <c r="G64" s="18">
        <f>'P0-3_Scorecard'!E90</f>
        <v/>
      </c>
      <c r="H64" s="18">
        <f>'P0-3_Scorecard'!H90</f>
        <v/>
      </c>
      <c r="I64" s="18">
        <f>IF(OR(D64="",E64=""),"INCOMPLETE",IF(AND(D64&gt;=70,E64&lt;60),"DEPENDENCY GAP",IF(AND(D64&gt;=70,G64&lt;F64),"REQUIRED MATURITY GAP","OK")))</f>
        <v/>
      </c>
      <c r="J64" s="18" t="inlineStr">
        <is>
          <t>Assessment architecture review</t>
        </is>
      </c>
    </row>
    <row r="65">
      <c r="A65" s="18" t="inlineStr">
        <is>
          <t>CD05</t>
        </is>
      </c>
      <c r="B65" s="18" t="inlineStr">
        <is>
          <t>D02-I05</t>
        </is>
      </c>
      <c r="C65" s="18" t="inlineStr">
        <is>
          <t>D07-I12</t>
        </is>
      </c>
      <c r="D65" s="18">
        <f>'P0-3_Scorecard'!L16</f>
        <v/>
      </c>
      <c r="E65" s="18">
        <f>'P0-3_Scorecard'!L92</f>
        <v/>
      </c>
      <c r="F65" s="18">
        <f>'P0-3_Scorecard'!M92</f>
        <v/>
      </c>
      <c r="G65" s="18">
        <f>'P0-3_Scorecard'!E92</f>
        <v/>
      </c>
      <c r="H65" s="18">
        <f>'P0-3_Scorecard'!H92</f>
        <v/>
      </c>
      <c r="I65" s="18">
        <f>IF(OR(D65="",E65=""),"INCOMPLETE",IF(AND(D65&gt;=70,E65&lt;60),"DEPENDENCY GAP",IF(AND(D65&gt;=70,G65&lt;F65),"REQUIRED MATURITY GAP","OK")))</f>
        <v/>
      </c>
      <c r="J65" s="18" t="inlineStr">
        <is>
          <t>Assessment architecture review</t>
        </is>
      </c>
    </row>
    <row r="66">
      <c r="A66" s="18" t="inlineStr">
        <is>
          <t>CD05</t>
        </is>
      </c>
      <c r="B66" s="18" t="inlineStr">
        <is>
          <t>D02-I06</t>
        </is>
      </c>
      <c r="C66" s="18" t="inlineStr">
        <is>
          <t>D07-I01</t>
        </is>
      </c>
      <c r="D66" s="18">
        <f>'P0-3_Scorecard'!L17</f>
        <v/>
      </c>
      <c r="E66" s="18">
        <f>'P0-3_Scorecard'!L81</f>
        <v/>
      </c>
      <c r="F66" s="18">
        <f>'P0-3_Scorecard'!M81</f>
        <v/>
      </c>
      <c r="G66" s="18">
        <f>'P0-3_Scorecard'!E81</f>
        <v/>
      </c>
      <c r="H66" s="18">
        <f>'P0-3_Scorecard'!H81</f>
        <v/>
      </c>
      <c r="I66" s="18">
        <f>IF(OR(D66="",E66=""),"INCOMPLETE",IF(AND(D66&gt;=70,E66&lt;60),"DEPENDENCY GAP",IF(AND(D66&gt;=70,G66&lt;F66),"REQUIRED MATURITY GAP","OK")))</f>
        <v/>
      </c>
      <c r="J66" s="18" t="inlineStr">
        <is>
          <t>Assessment architecture review</t>
        </is>
      </c>
    </row>
    <row r="67">
      <c r="A67" s="18" t="inlineStr">
        <is>
          <t>CD05</t>
        </is>
      </c>
      <c r="B67" s="18" t="inlineStr">
        <is>
          <t>D02-I06</t>
        </is>
      </c>
      <c r="C67" s="18" t="inlineStr">
        <is>
          <t>D07-I04</t>
        </is>
      </c>
      <c r="D67" s="18">
        <f>'P0-3_Scorecard'!L17</f>
        <v/>
      </c>
      <c r="E67" s="18">
        <f>'P0-3_Scorecard'!L84</f>
        <v/>
      </c>
      <c r="F67" s="18">
        <f>'P0-3_Scorecard'!M84</f>
        <v/>
      </c>
      <c r="G67" s="18">
        <f>'P0-3_Scorecard'!E84</f>
        <v/>
      </c>
      <c r="H67" s="18">
        <f>'P0-3_Scorecard'!H84</f>
        <v/>
      </c>
      <c r="I67" s="18">
        <f>IF(OR(D67="",E67=""),"INCOMPLETE",IF(AND(D67&gt;=70,E67&lt;60),"DEPENDENCY GAP",IF(AND(D67&gt;=70,G67&lt;F67),"REQUIRED MATURITY GAP","OK")))</f>
        <v/>
      </c>
      <c r="J67" s="18" t="inlineStr">
        <is>
          <t>Assessment architecture review</t>
        </is>
      </c>
    </row>
    <row r="68">
      <c r="A68" s="18" t="inlineStr">
        <is>
          <t>CD05</t>
        </is>
      </c>
      <c r="B68" s="18" t="inlineStr">
        <is>
          <t>D02-I06</t>
        </is>
      </c>
      <c r="C68" s="18" t="inlineStr">
        <is>
          <t>D07-I05</t>
        </is>
      </c>
      <c r="D68" s="18">
        <f>'P0-3_Scorecard'!L17</f>
        <v/>
      </c>
      <c r="E68" s="18">
        <f>'P0-3_Scorecard'!L85</f>
        <v/>
      </c>
      <c r="F68" s="18">
        <f>'P0-3_Scorecard'!M85</f>
        <v/>
      </c>
      <c r="G68" s="18">
        <f>'P0-3_Scorecard'!E85</f>
        <v/>
      </c>
      <c r="H68" s="18">
        <f>'P0-3_Scorecard'!H85</f>
        <v/>
      </c>
      <c r="I68" s="18">
        <f>IF(OR(D68="",E68=""),"INCOMPLETE",IF(AND(D68&gt;=70,E68&lt;60),"DEPENDENCY GAP",IF(AND(D68&gt;=70,G68&lt;F68),"REQUIRED MATURITY GAP","OK")))</f>
        <v/>
      </c>
      <c r="J68" s="18" t="inlineStr">
        <is>
          <t>Assessment architecture review</t>
        </is>
      </c>
    </row>
    <row r="69">
      <c r="A69" s="18" t="inlineStr">
        <is>
          <t>CD05</t>
        </is>
      </c>
      <c r="B69" s="18" t="inlineStr">
        <is>
          <t>D02-I06</t>
        </is>
      </c>
      <c r="C69" s="18" t="inlineStr">
        <is>
          <t>D07-I10</t>
        </is>
      </c>
      <c r="D69" s="18">
        <f>'P0-3_Scorecard'!L17</f>
        <v/>
      </c>
      <c r="E69" s="18">
        <f>'P0-3_Scorecard'!L90</f>
        <v/>
      </c>
      <c r="F69" s="18">
        <f>'P0-3_Scorecard'!M90</f>
        <v/>
      </c>
      <c r="G69" s="18">
        <f>'P0-3_Scorecard'!E90</f>
        <v/>
      </c>
      <c r="H69" s="18">
        <f>'P0-3_Scorecard'!H90</f>
        <v/>
      </c>
      <c r="I69" s="18">
        <f>IF(OR(D69="",E69=""),"INCOMPLETE",IF(AND(D69&gt;=70,E69&lt;60),"DEPENDENCY GAP",IF(AND(D69&gt;=70,G69&lt;F69),"REQUIRED MATURITY GAP","OK")))</f>
        <v/>
      </c>
      <c r="J69" s="18" t="inlineStr">
        <is>
          <t>Assessment architecture review</t>
        </is>
      </c>
    </row>
    <row r="70">
      <c r="A70" s="18" t="inlineStr">
        <is>
          <t>CD05</t>
        </is>
      </c>
      <c r="B70" s="18" t="inlineStr">
        <is>
          <t>D02-I06</t>
        </is>
      </c>
      <c r="C70" s="18" t="inlineStr">
        <is>
          <t>D07-I12</t>
        </is>
      </c>
      <c r="D70" s="18">
        <f>'P0-3_Scorecard'!L17</f>
        <v/>
      </c>
      <c r="E70" s="18">
        <f>'P0-3_Scorecard'!L92</f>
        <v/>
      </c>
      <c r="F70" s="18">
        <f>'P0-3_Scorecard'!M92</f>
        <v/>
      </c>
      <c r="G70" s="18">
        <f>'P0-3_Scorecard'!E92</f>
        <v/>
      </c>
      <c r="H70" s="18">
        <f>'P0-3_Scorecard'!H92</f>
        <v/>
      </c>
      <c r="I70" s="18">
        <f>IF(OR(D70="",E70=""),"INCOMPLETE",IF(AND(D70&gt;=70,E70&lt;60),"DEPENDENCY GAP",IF(AND(D70&gt;=70,G70&lt;F70),"REQUIRED MATURITY GAP","OK")))</f>
        <v/>
      </c>
      <c r="J70" s="18" t="inlineStr">
        <is>
          <t>Assessment architecture review</t>
        </is>
      </c>
    </row>
    <row r="71">
      <c r="A71" s="18" t="inlineStr">
        <is>
          <t>CD05</t>
        </is>
      </c>
      <c r="B71" s="18" t="inlineStr">
        <is>
          <t>D02-I07</t>
        </is>
      </c>
      <c r="C71" s="18" t="inlineStr">
        <is>
          <t>D07-I01</t>
        </is>
      </c>
      <c r="D71" s="18">
        <f>'P0-3_Scorecard'!L18</f>
        <v/>
      </c>
      <c r="E71" s="18">
        <f>'P0-3_Scorecard'!L81</f>
        <v/>
      </c>
      <c r="F71" s="18">
        <f>'P0-3_Scorecard'!M81</f>
        <v/>
      </c>
      <c r="G71" s="18">
        <f>'P0-3_Scorecard'!E81</f>
        <v/>
      </c>
      <c r="H71" s="18">
        <f>'P0-3_Scorecard'!H81</f>
        <v/>
      </c>
      <c r="I71" s="18">
        <f>IF(OR(D71="",E71=""),"INCOMPLETE",IF(AND(D71&gt;=70,E71&lt;60),"DEPENDENCY GAP",IF(AND(D71&gt;=70,G71&lt;F71),"REQUIRED MATURITY GAP","OK")))</f>
        <v/>
      </c>
      <c r="J71" s="18" t="inlineStr">
        <is>
          <t>Assessment architecture review</t>
        </is>
      </c>
    </row>
    <row r="72">
      <c r="A72" s="18" t="inlineStr">
        <is>
          <t>CD05</t>
        </is>
      </c>
      <c r="B72" s="18" t="inlineStr">
        <is>
          <t>D02-I07</t>
        </is>
      </c>
      <c r="C72" s="18" t="inlineStr">
        <is>
          <t>D07-I04</t>
        </is>
      </c>
      <c r="D72" s="18">
        <f>'P0-3_Scorecard'!L18</f>
        <v/>
      </c>
      <c r="E72" s="18">
        <f>'P0-3_Scorecard'!L84</f>
        <v/>
      </c>
      <c r="F72" s="18">
        <f>'P0-3_Scorecard'!M84</f>
        <v/>
      </c>
      <c r="G72" s="18">
        <f>'P0-3_Scorecard'!E84</f>
        <v/>
      </c>
      <c r="H72" s="18">
        <f>'P0-3_Scorecard'!H84</f>
        <v/>
      </c>
      <c r="I72" s="18">
        <f>IF(OR(D72="",E72=""),"INCOMPLETE",IF(AND(D72&gt;=70,E72&lt;60),"DEPENDENCY GAP",IF(AND(D72&gt;=70,G72&lt;F72),"REQUIRED MATURITY GAP","OK")))</f>
        <v/>
      </c>
      <c r="J72" s="18" t="inlineStr">
        <is>
          <t>Assessment architecture review</t>
        </is>
      </c>
    </row>
    <row r="73">
      <c r="A73" s="18" t="inlineStr">
        <is>
          <t>CD05</t>
        </is>
      </c>
      <c r="B73" s="18" t="inlineStr">
        <is>
          <t>D02-I07</t>
        </is>
      </c>
      <c r="C73" s="18" t="inlineStr">
        <is>
          <t>D07-I05</t>
        </is>
      </c>
      <c r="D73" s="18">
        <f>'P0-3_Scorecard'!L18</f>
        <v/>
      </c>
      <c r="E73" s="18">
        <f>'P0-3_Scorecard'!L85</f>
        <v/>
      </c>
      <c r="F73" s="18">
        <f>'P0-3_Scorecard'!M85</f>
        <v/>
      </c>
      <c r="G73" s="18">
        <f>'P0-3_Scorecard'!E85</f>
        <v/>
      </c>
      <c r="H73" s="18">
        <f>'P0-3_Scorecard'!H85</f>
        <v/>
      </c>
      <c r="I73" s="18">
        <f>IF(OR(D73="",E73=""),"INCOMPLETE",IF(AND(D73&gt;=70,E73&lt;60),"DEPENDENCY GAP",IF(AND(D73&gt;=70,G73&lt;F73),"REQUIRED MATURITY GAP","OK")))</f>
        <v/>
      </c>
      <c r="J73" s="18" t="inlineStr">
        <is>
          <t>Assessment architecture review</t>
        </is>
      </c>
    </row>
    <row r="74">
      <c r="A74" s="18" t="inlineStr">
        <is>
          <t>CD05</t>
        </is>
      </c>
      <c r="B74" s="18" t="inlineStr">
        <is>
          <t>D02-I07</t>
        </is>
      </c>
      <c r="C74" s="18" t="inlineStr">
        <is>
          <t>D07-I10</t>
        </is>
      </c>
      <c r="D74" s="18">
        <f>'P0-3_Scorecard'!L18</f>
        <v/>
      </c>
      <c r="E74" s="18">
        <f>'P0-3_Scorecard'!L90</f>
        <v/>
      </c>
      <c r="F74" s="18">
        <f>'P0-3_Scorecard'!M90</f>
        <v/>
      </c>
      <c r="G74" s="18">
        <f>'P0-3_Scorecard'!E90</f>
        <v/>
      </c>
      <c r="H74" s="18">
        <f>'P0-3_Scorecard'!H90</f>
        <v/>
      </c>
      <c r="I74" s="18">
        <f>IF(OR(D74="",E74=""),"INCOMPLETE",IF(AND(D74&gt;=70,E74&lt;60),"DEPENDENCY GAP",IF(AND(D74&gt;=70,G74&lt;F74),"REQUIRED MATURITY GAP","OK")))</f>
        <v/>
      </c>
      <c r="J74" s="18" t="inlineStr">
        <is>
          <t>Assessment architecture review</t>
        </is>
      </c>
    </row>
    <row r="75">
      <c r="A75" s="18" t="inlineStr">
        <is>
          <t>CD05</t>
        </is>
      </c>
      <c r="B75" s="18" t="inlineStr">
        <is>
          <t>D02-I07</t>
        </is>
      </c>
      <c r="C75" s="18" t="inlineStr">
        <is>
          <t>D07-I12</t>
        </is>
      </c>
      <c r="D75" s="18">
        <f>'P0-3_Scorecard'!L18</f>
        <v/>
      </c>
      <c r="E75" s="18">
        <f>'P0-3_Scorecard'!L92</f>
        <v/>
      </c>
      <c r="F75" s="18">
        <f>'P0-3_Scorecard'!M92</f>
        <v/>
      </c>
      <c r="G75" s="18">
        <f>'P0-3_Scorecard'!E92</f>
        <v/>
      </c>
      <c r="H75" s="18">
        <f>'P0-3_Scorecard'!H92</f>
        <v/>
      </c>
      <c r="I75" s="18">
        <f>IF(OR(D75="",E75=""),"INCOMPLETE",IF(AND(D75&gt;=70,E75&lt;60),"DEPENDENCY GAP",IF(AND(D75&gt;=70,G75&lt;F75),"REQUIRED MATURITY GAP","OK")))</f>
        <v/>
      </c>
      <c r="J75" s="18" t="inlineStr">
        <is>
          <t>Assessment architecture review</t>
        </is>
      </c>
    </row>
    <row r="76">
      <c r="A76" s="18" t="inlineStr">
        <is>
          <t>CD05</t>
        </is>
      </c>
      <c r="B76" s="18" t="inlineStr">
        <is>
          <t>D02-I09</t>
        </is>
      </c>
      <c r="C76" s="18" t="inlineStr">
        <is>
          <t>D07-I01</t>
        </is>
      </c>
      <c r="D76" s="18">
        <f>'P0-3_Scorecard'!L20</f>
        <v/>
      </c>
      <c r="E76" s="18">
        <f>'P0-3_Scorecard'!L81</f>
        <v/>
      </c>
      <c r="F76" s="18">
        <f>'P0-3_Scorecard'!M81</f>
        <v/>
      </c>
      <c r="G76" s="18">
        <f>'P0-3_Scorecard'!E81</f>
        <v/>
      </c>
      <c r="H76" s="18">
        <f>'P0-3_Scorecard'!H81</f>
        <v/>
      </c>
      <c r="I76" s="18">
        <f>IF(OR(D76="",E76=""),"INCOMPLETE",IF(AND(D76&gt;=70,E76&lt;60),"DEPENDENCY GAP",IF(AND(D76&gt;=70,G76&lt;F76),"REQUIRED MATURITY GAP","OK")))</f>
        <v/>
      </c>
      <c r="J76" s="18" t="inlineStr">
        <is>
          <t>Assessment architecture review</t>
        </is>
      </c>
    </row>
    <row r="77">
      <c r="A77" s="18" t="inlineStr">
        <is>
          <t>CD05</t>
        </is>
      </c>
      <c r="B77" s="18" t="inlineStr">
        <is>
          <t>D02-I09</t>
        </is>
      </c>
      <c r="C77" s="18" t="inlineStr">
        <is>
          <t>D07-I04</t>
        </is>
      </c>
      <c r="D77" s="18">
        <f>'P0-3_Scorecard'!L20</f>
        <v/>
      </c>
      <c r="E77" s="18">
        <f>'P0-3_Scorecard'!L84</f>
        <v/>
      </c>
      <c r="F77" s="18">
        <f>'P0-3_Scorecard'!M84</f>
        <v/>
      </c>
      <c r="G77" s="18">
        <f>'P0-3_Scorecard'!E84</f>
        <v/>
      </c>
      <c r="H77" s="18">
        <f>'P0-3_Scorecard'!H84</f>
        <v/>
      </c>
      <c r="I77" s="18">
        <f>IF(OR(D77="",E77=""),"INCOMPLETE",IF(AND(D77&gt;=70,E77&lt;60),"DEPENDENCY GAP",IF(AND(D77&gt;=70,G77&lt;F77),"REQUIRED MATURITY GAP","OK")))</f>
        <v/>
      </c>
      <c r="J77" s="18" t="inlineStr">
        <is>
          <t>Assessment architecture review</t>
        </is>
      </c>
    </row>
    <row r="78">
      <c r="A78" s="18" t="inlineStr">
        <is>
          <t>CD05</t>
        </is>
      </c>
      <c r="B78" s="18" t="inlineStr">
        <is>
          <t>D02-I09</t>
        </is>
      </c>
      <c r="C78" s="18" t="inlineStr">
        <is>
          <t>D07-I05</t>
        </is>
      </c>
      <c r="D78" s="18">
        <f>'P0-3_Scorecard'!L20</f>
        <v/>
      </c>
      <c r="E78" s="18">
        <f>'P0-3_Scorecard'!L85</f>
        <v/>
      </c>
      <c r="F78" s="18">
        <f>'P0-3_Scorecard'!M85</f>
        <v/>
      </c>
      <c r="G78" s="18">
        <f>'P0-3_Scorecard'!E85</f>
        <v/>
      </c>
      <c r="H78" s="18">
        <f>'P0-3_Scorecard'!H85</f>
        <v/>
      </c>
      <c r="I78" s="18">
        <f>IF(OR(D78="",E78=""),"INCOMPLETE",IF(AND(D78&gt;=70,E78&lt;60),"DEPENDENCY GAP",IF(AND(D78&gt;=70,G78&lt;F78),"REQUIRED MATURITY GAP","OK")))</f>
        <v/>
      </c>
      <c r="J78" s="18" t="inlineStr">
        <is>
          <t>Assessment architecture review</t>
        </is>
      </c>
    </row>
    <row r="79">
      <c r="A79" s="18" t="inlineStr">
        <is>
          <t>CD05</t>
        </is>
      </c>
      <c r="B79" s="18" t="inlineStr">
        <is>
          <t>D02-I09</t>
        </is>
      </c>
      <c r="C79" s="18" t="inlineStr">
        <is>
          <t>D07-I10</t>
        </is>
      </c>
      <c r="D79" s="18">
        <f>'P0-3_Scorecard'!L20</f>
        <v/>
      </c>
      <c r="E79" s="18">
        <f>'P0-3_Scorecard'!L90</f>
        <v/>
      </c>
      <c r="F79" s="18">
        <f>'P0-3_Scorecard'!M90</f>
        <v/>
      </c>
      <c r="G79" s="18">
        <f>'P0-3_Scorecard'!E90</f>
        <v/>
      </c>
      <c r="H79" s="18">
        <f>'P0-3_Scorecard'!H90</f>
        <v/>
      </c>
      <c r="I79" s="18">
        <f>IF(OR(D79="",E79=""),"INCOMPLETE",IF(AND(D79&gt;=70,E79&lt;60),"DEPENDENCY GAP",IF(AND(D79&gt;=70,G79&lt;F79),"REQUIRED MATURITY GAP","OK")))</f>
        <v/>
      </c>
      <c r="J79" s="18" t="inlineStr">
        <is>
          <t>Assessment architecture review</t>
        </is>
      </c>
    </row>
    <row r="80">
      <c r="A80" s="18" t="inlineStr">
        <is>
          <t>CD05</t>
        </is>
      </c>
      <c r="B80" s="18" t="inlineStr">
        <is>
          <t>D02-I09</t>
        </is>
      </c>
      <c r="C80" s="18" t="inlineStr">
        <is>
          <t>D07-I12</t>
        </is>
      </c>
      <c r="D80" s="18">
        <f>'P0-3_Scorecard'!L20</f>
        <v/>
      </c>
      <c r="E80" s="18">
        <f>'P0-3_Scorecard'!L92</f>
        <v/>
      </c>
      <c r="F80" s="18">
        <f>'P0-3_Scorecard'!M92</f>
        <v/>
      </c>
      <c r="G80" s="18">
        <f>'P0-3_Scorecard'!E92</f>
        <v/>
      </c>
      <c r="H80" s="18">
        <f>'P0-3_Scorecard'!H92</f>
        <v/>
      </c>
      <c r="I80" s="18">
        <f>IF(OR(D80="",E80=""),"INCOMPLETE",IF(AND(D80&gt;=70,E80&lt;60),"DEPENDENCY GAP",IF(AND(D80&gt;=70,G80&lt;F80),"REQUIRED MATURITY GAP","OK")))</f>
        <v/>
      </c>
      <c r="J80" s="18" t="inlineStr">
        <is>
          <t>Assessment architecture review</t>
        </is>
      </c>
    </row>
    <row r="81">
      <c r="A81" s="18" t="inlineStr">
        <is>
          <t>CD06</t>
        </is>
      </c>
      <c r="B81" s="18" t="inlineStr">
        <is>
          <t>D02-I03</t>
        </is>
      </c>
      <c r="C81" s="18" t="inlineStr">
        <is>
          <t>D08-I02</t>
        </is>
      </c>
      <c r="D81" s="18">
        <f>'P0-3_Scorecard'!L14</f>
        <v/>
      </c>
      <c r="E81" s="18">
        <f>'P0-3_Scorecard'!L94</f>
        <v/>
      </c>
      <c r="F81" s="18">
        <f>'P0-3_Scorecard'!M94</f>
        <v/>
      </c>
      <c r="G81" s="18">
        <f>'P0-3_Scorecard'!E94</f>
        <v/>
      </c>
      <c r="H81" s="18">
        <f>'P0-3_Scorecard'!H94</f>
        <v/>
      </c>
      <c r="I81" s="18">
        <f>IF(OR(D81="",E81=""),"INCOMPLETE",IF(AND(D81&gt;=70,E81&lt;60),"DEPENDENCY GAP",IF(AND(D81&gt;=70,G81&lt;F81),"REQUIRED MATURITY GAP","OK")))</f>
        <v/>
      </c>
      <c r="J81" s="18" t="inlineStr">
        <is>
          <t>Digital control review</t>
        </is>
      </c>
    </row>
    <row r="82">
      <c r="A82" s="18" t="inlineStr">
        <is>
          <t>CD06</t>
        </is>
      </c>
      <c r="B82" s="18" t="inlineStr">
        <is>
          <t>D02-I03</t>
        </is>
      </c>
      <c r="C82" s="18" t="inlineStr">
        <is>
          <t>D08-I03</t>
        </is>
      </c>
      <c r="D82" s="18">
        <f>'P0-3_Scorecard'!L14</f>
        <v/>
      </c>
      <c r="E82" s="18">
        <f>'P0-3_Scorecard'!L95</f>
        <v/>
      </c>
      <c r="F82" s="18">
        <f>'P0-3_Scorecard'!M95</f>
        <v/>
      </c>
      <c r="G82" s="18">
        <f>'P0-3_Scorecard'!E95</f>
        <v/>
      </c>
      <c r="H82" s="18">
        <f>'P0-3_Scorecard'!H95</f>
        <v/>
      </c>
      <c r="I82" s="18">
        <f>IF(OR(D82="",E82=""),"INCOMPLETE",IF(AND(D82&gt;=70,E82&lt;60),"DEPENDENCY GAP",IF(AND(D82&gt;=70,G82&lt;F82),"REQUIRED MATURITY GAP","OK")))</f>
        <v/>
      </c>
      <c r="J82" s="18" t="inlineStr">
        <is>
          <t>Digital control review</t>
        </is>
      </c>
    </row>
    <row r="83">
      <c r="A83" s="18" t="inlineStr">
        <is>
          <t>CD06</t>
        </is>
      </c>
      <c r="B83" s="18" t="inlineStr">
        <is>
          <t>D02-I03</t>
        </is>
      </c>
      <c r="C83" s="18" t="inlineStr">
        <is>
          <t>D08-I07</t>
        </is>
      </c>
      <c r="D83" s="18">
        <f>'P0-3_Scorecard'!L14</f>
        <v/>
      </c>
      <c r="E83" s="18">
        <f>'P0-3_Scorecard'!L99</f>
        <v/>
      </c>
      <c r="F83" s="18">
        <f>'P0-3_Scorecard'!M99</f>
        <v/>
      </c>
      <c r="G83" s="18">
        <f>'P0-3_Scorecard'!E99</f>
        <v/>
      </c>
      <c r="H83" s="18">
        <f>'P0-3_Scorecard'!H99</f>
        <v/>
      </c>
      <c r="I83" s="18">
        <f>IF(OR(D83="",E83=""),"INCOMPLETE",IF(AND(D83&gt;=70,E83&lt;60),"DEPENDENCY GAP",IF(AND(D83&gt;=70,G83&lt;F83),"REQUIRED MATURITY GAP","OK")))</f>
        <v/>
      </c>
      <c r="J83" s="18" t="inlineStr">
        <is>
          <t>Digital control review</t>
        </is>
      </c>
    </row>
    <row r="84">
      <c r="A84" s="18" t="inlineStr">
        <is>
          <t>CD06</t>
        </is>
      </c>
      <c r="B84" s="18" t="inlineStr">
        <is>
          <t>D02-I03</t>
        </is>
      </c>
      <c r="C84" s="18" t="inlineStr">
        <is>
          <t>D08-I08</t>
        </is>
      </c>
      <c r="D84" s="18">
        <f>'P0-3_Scorecard'!L14</f>
        <v/>
      </c>
      <c r="E84" s="18">
        <f>'P0-3_Scorecard'!L100</f>
        <v/>
      </c>
      <c r="F84" s="18">
        <f>'P0-3_Scorecard'!M100</f>
        <v/>
      </c>
      <c r="G84" s="18">
        <f>'P0-3_Scorecard'!E100</f>
        <v/>
      </c>
      <c r="H84" s="18">
        <f>'P0-3_Scorecard'!H100</f>
        <v/>
      </c>
      <c r="I84" s="18">
        <f>IF(OR(D84="",E84=""),"INCOMPLETE",IF(AND(D84&gt;=70,E84&lt;60),"DEPENDENCY GAP",IF(AND(D84&gt;=70,G84&lt;F84),"REQUIRED MATURITY GAP","OK")))</f>
        <v/>
      </c>
      <c r="J84" s="18" t="inlineStr">
        <is>
          <t>Digital control review</t>
        </is>
      </c>
    </row>
    <row r="85">
      <c r="A85" s="18" t="inlineStr">
        <is>
          <t>CD06</t>
        </is>
      </c>
      <c r="B85" s="18" t="inlineStr">
        <is>
          <t>D02-I03</t>
        </is>
      </c>
      <c r="C85" s="18" t="inlineStr">
        <is>
          <t>D08-I10</t>
        </is>
      </c>
      <c r="D85" s="18">
        <f>'P0-3_Scorecard'!L14</f>
        <v/>
      </c>
      <c r="E85" s="18">
        <f>'P0-3_Scorecard'!L102</f>
        <v/>
      </c>
      <c r="F85" s="18">
        <f>'P0-3_Scorecard'!M102</f>
        <v/>
      </c>
      <c r="G85" s="18">
        <f>'P0-3_Scorecard'!E102</f>
        <v/>
      </c>
      <c r="H85" s="18">
        <f>'P0-3_Scorecard'!H102</f>
        <v/>
      </c>
      <c r="I85" s="18">
        <f>IF(OR(D85="",E85=""),"INCOMPLETE",IF(AND(D85&gt;=70,E85&lt;60),"DEPENDENCY GAP",IF(AND(D85&gt;=70,G85&lt;F85),"REQUIRED MATURITY GAP","OK")))</f>
        <v/>
      </c>
      <c r="J85" s="18" t="inlineStr">
        <is>
          <t>Digital control review</t>
        </is>
      </c>
    </row>
    <row r="86">
      <c r="A86" s="18" t="inlineStr">
        <is>
          <t>CD06</t>
        </is>
      </c>
      <c r="B86" s="18" t="inlineStr">
        <is>
          <t>D02-I04</t>
        </is>
      </c>
      <c r="C86" s="18" t="inlineStr">
        <is>
          <t>D08-I02</t>
        </is>
      </c>
      <c r="D86" s="18">
        <f>'P0-3_Scorecard'!L15</f>
        <v/>
      </c>
      <c r="E86" s="18">
        <f>'P0-3_Scorecard'!L94</f>
        <v/>
      </c>
      <c r="F86" s="18">
        <f>'P0-3_Scorecard'!M94</f>
        <v/>
      </c>
      <c r="G86" s="18">
        <f>'P0-3_Scorecard'!E94</f>
        <v/>
      </c>
      <c r="H86" s="18">
        <f>'P0-3_Scorecard'!H94</f>
        <v/>
      </c>
      <c r="I86" s="18">
        <f>IF(OR(D86="",E86=""),"INCOMPLETE",IF(AND(D86&gt;=70,E86&lt;60),"DEPENDENCY GAP",IF(AND(D86&gt;=70,G86&lt;F86),"REQUIRED MATURITY GAP","OK")))</f>
        <v/>
      </c>
      <c r="J86" s="18" t="inlineStr">
        <is>
          <t>Digital control review</t>
        </is>
      </c>
    </row>
    <row r="87">
      <c r="A87" s="18" t="inlineStr">
        <is>
          <t>CD06</t>
        </is>
      </c>
      <c r="B87" s="18" t="inlineStr">
        <is>
          <t>D02-I04</t>
        </is>
      </c>
      <c r="C87" s="18" t="inlineStr">
        <is>
          <t>D08-I03</t>
        </is>
      </c>
      <c r="D87" s="18">
        <f>'P0-3_Scorecard'!L15</f>
        <v/>
      </c>
      <c r="E87" s="18">
        <f>'P0-3_Scorecard'!L95</f>
        <v/>
      </c>
      <c r="F87" s="18">
        <f>'P0-3_Scorecard'!M95</f>
        <v/>
      </c>
      <c r="G87" s="18">
        <f>'P0-3_Scorecard'!E95</f>
        <v/>
      </c>
      <c r="H87" s="18">
        <f>'P0-3_Scorecard'!H95</f>
        <v/>
      </c>
      <c r="I87" s="18">
        <f>IF(OR(D87="",E87=""),"INCOMPLETE",IF(AND(D87&gt;=70,E87&lt;60),"DEPENDENCY GAP",IF(AND(D87&gt;=70,G87&lt;F87),"REQUIRED MATURITY GAP","OK")))</f>
        <v/>
      </c>
      <c r="J87" s="18" t="inlineStr">
        <is>
          <t>Digital control review</t>
        </is>
      </c>
    </row>
    <row r="88">
      <c r="A88" s="18" t="inlineStr">
        <is>
          <t>CD06</t>
        </is>
      </c>
      <c r="B88" s="18" t="inlineStr">
        <is>
          <t>D02-I04</t>
        </is>
      </c>
      <c r="C88" s="18" t="inlineStr">
        <is>
          <t>D08-I07</t>
        </is>
      </c>
      <c r="D88" s="18">
        <f>'P0-3_Scorecard'!L15</f>
        <v/>
      </c>
      <c r="E88" s="18">
        <f>'P0-3_Scorecard'!L99</f>
        <v/>
      </c>
      <c r="F88" s="18">
        <f>'P0-3_Scorecard'!M99</f>
        <v/>
      </c>
      <c r="G88" s="18">
        <f>'P0-3_Scorecard'!E99</f>
        <v/>
      </c>
      <c r="H88" s="18">
        <f>'P0-3_Scorecard'!H99</f>
        <v/>
      </c>
      <c r="I88" s="18">
        <f>IF(OR(D88="",E88=""),"INCOMPLETE",IF(AND(D88&gt;=70,E88&lt;60),"DEPENDENCY GAP",IF(AND(D88&gt;=70,G88&lt;F88),"REQUIRED MATURITY GAP","OK")))</f>
        <v/>
      </c>
      <c r="J88" s="18" t="inlineStr">
        <is>
          <t>Digital control review</t>
        </is>
      </c>
    </row>
    <row r="89">
      <c r="A89" s="18" t="inlineStr">
        <is>
          <t>CD06</t>
        </is>
      </c>
      <c r="B89" s="18" t="inlineStr">
        <is>
          <t>D02-I04</t>
        </is>
      </c>
      <c r="C89" s="18" t="inlineStr">
        <is>
          <t>D08-I08</t>
        </is>
      </c>
      <c r="D89" s="18">
        <f>'P0-3_Scorecard'!L15</f>
        <v/>
      </c>
      <c r="E89" s="18">
        <f>'P0-3_Scorecard'!L100</f>
        <v/>
      </c>
      <c r="F89" s="18">
        <f>'P0-3_Scorecard'!M100</f>
        <v/>
      </c>
      <c r="G89" s="18">
        <f>'P0-3_Scorecard'!E100</f>
        <v/>
      </c>
      <c r="H89" s="18">
        <f>'P0-3_Scorecard'!H100</f>
        <v/>
      </c>
      <c r="I89" s="18">
        <f>IF(OR(D89="",E89=""),"INCOMPLETE",IF(AND(D89&gt;=70,E89&lt;60),"DEPENDENCY GAP",IF(AND(D89&gt;=70,G89&lt;F89),"REQUIRED MATURITY GAP","OK")))</f>
        <v/>
      </c>
      <c r="J89" s="18" t="inlineStr">
        <is>
          <t>Digital control review</t>
        </is>
      </c>
    </row>
    <row r="90">
      <c r="A90" s="18" t="inlineStr">
        <is>
          <t>CD06</t>
        </is>
      </c>
      <c r="B90" s="18" t="inlineStr">
        <is>
          <t>D02-I04</t>
        </is>
      </c>
      <c r="C90" s="18" t="inlineStr">
        <is>
          <t>D08-I10</t>
        </is>
      </c>
      <c r="D90" s="18">
        <f>'P0-3_Scorecard'!L15</f>
        <v/>
      </c>
      <c r="E90" s="18">
        <f>'P0-3_Scorecard'!L102</f>
        <v/>
      </c>
      <c r="F90" s="18">
        <f>'P0-3_Scorecard'!M102</f>
        <v/>
      </c>
      <c r="G90" s="18">
        <f>'P0-3_Scorecard'!E102</f>
        <v/>
      </c>
      <c r="H90" s="18">
        <f>'P0-3_Scorecard'!H102</f>
        <v/>
      </c>
      <c r="I90" s="18">
        <f>IF(OR(D90="",E90=""),"INCOMPLETE",IF(AND(D90&gt;=70,E90&lt;60),"DEPENDENCY GAP",IF(AND(D90&gt;=70,G90&lt;F90),"REQUIRED MATURITY GAP","OK")))</f>
        <v/>
      </c>
      <c r="J90" s="18" t="inlineStr">
        <is>
          <t>Digital control review</t>
        </is>
      </c>
    </row>
    <row r="91">
      <c r="A91" s="18" t="inlineStr">
        <is>
          <t>CD06</t>
        </is>
      </c>
      <c r="B91" s="18" t="inlineStr">
        <is>
          <t>D02-I07</t>
        </is>
      </c>
      <c r="C91" s="18" t="inlineStr">
        <is>
          <t>D08-I02</t>
        </is>
      </c>
      <c r="D91" s="18">
        <f>'P0-3_Scorecard'!L18</f>
        <v/>
      </c>
      <c r="E91" s="18">
        <f>'P0-3_Scorecard'!L94</f>
        <v/>
      </c>
      <c r="F91" s="18">
        <f>'P0-3_Scorecard'!M94</f>
        <v/>
      </c>
      <c r="G91" s="18">
        <f>'P0-3_Scorecard'!E94</f>
        <v/>
      </c>
      <c r="H91" s="18">
        <f>'P0-3_Scorecard'!H94</f>
        <v/>
      </c>
      <c r="I91" s="18">
        <f>IF(OR(D91="",E91=""),"INCOMPLETE",IF(AND(D91&gt;=70,E91&lt;60),"DEPENDENCY GAP",IF(AND(D91&gt;=70,G91&lt;F91),"REQUIRED MATURITY GAP","OK")))</f>
        <v/>
      </c>
      <c r="J91" s="18" t="inlineStr">
        <is>
          <t>Digital control review</t>
        </is>
      </c>
    </row>
    <row r="92">
      <c r="A92" s="18" t="inlineStr">
        <is>
          <t>CD06</t>
        </is>
      </c>
      <c r="B92" s="18" t="inlineStr">
        <is>
          <t>D02-I07</t>
        </is>
      </c>
      <c r="C92" s="18" t="inlineStr">
        <is>
          <t>D08-I03</t>
        </is>
      </c>
      <c r="D92" s="18">
        <f>'P0-3_Scorecard'!L18</f>
        <v/>
      </c>
      <c r="E92" s="18">
        <f>'P0-3_Scorecard'!L95</f>
        <v/>
      </c>
      <c r="F92" s="18">
        <f>'P0-3_Scorecard'!M95</f>
        <v/>
      </c>
      <c r="G92" s="18">
        <f>'P0-3_Scorecard'!E95</f>
        <v/>
      </c>
      <c r="H92" s="18">
        <f>'P0-3_Scorecard'!H95</f>
        <v/>
      </c>
      <c r="I92" s="18">
        <f>IF(OR(D92="",E92=""),"INCOMPLETE",IF(AND(D92&gt;=70,E92&lt;60),"DEPENDENCY GAP",IF(AND(D92&gt;=70,G92&lt;F92),"REQUIRED MATURITY GAP","OK")))</f>
        <v/>
      </c>
      <c r="J92" s="18" t="inlineStr">
        <is>
          <t>Digital control review</t>
        </is>
      </c>
    </row>
    <row r="93">
      <c r="A93" s="18" t="inlineStr">
        <is>
          <t>CD06</t>
        </is>
      </c>
      <c r="B93" s="18" t="inlineStr">
        <is>
          <t>D02-I07</t>
        </is>
      </c>
      <c r="C93" s="18" t="inlineStr">
        <is>
          <t>D08-I07</t>
        </is>
      </c>
      <c r="D93" s="18">
        <f>'P0-3_Scorecard'!L18</f>
        <v/>
      </c>
      <c r="E93" s="18">
        <f>'P0-3_Scorecard'!L99</f>
        <v/>
      </c>
      <c r="F93" s="18">
        <f>'P0-3_Scorecard'!M99</f>
        <v/>
      </c>
      <c r="G93" s="18">
        <f>'P0-3_Scorecard'!E99</f>
        <v/>
      </c>
      <c r="H93" s="18">
        <f>'P0-3_Scorecard'!H99</f>
        <v/>
      </c>
      <c r="I93" s="18">
        <f>IF(OR(D93="",E93=""),"INCOMPLETE",IF(AND(D93&gt;=70,E93&lt;60),"DEPENDENCY GAP",IF(AND(D93&gt;=70,G93&lt;F93),"REQUIRED MATURITY GAP","OK")))</f>
        <v/>
      </c>
      <c r="J93" s="18" t="inlineStr">
        <is>
          <t>Digital control review</t>
        </is>
      </c>
    </row>
    <row r="94">
      <c r="A94" s="18" t="inlineStr">
        <is>
          <t>CD06</t>
        </is>
      </c>
      <c r="B94" s="18" t="inlineStr">
        <is>
          <t>D02-I07</t>
        </is>
      </c>
      <c r="C94" s="18" t="inlineStr">
        <is>
          <t>D08-I08</t>
        </is>
      </c>
      <c r="D94" s="18">
        <f>'P0-3_Scorecard'!L18</f>
        <v/>
      </c>
      <c r="E94" s="18">
        <f>'P0-3_Scorecard'!L100</f>
        <v/>
      </c>
      <c r="F94" s="18">
        <f>'P0-3_Scorecard'!M100</f>
        <v/>
      </c>
      <c r="G94" s="18">
        <f>'P0-3_Scorecard'!E100</f>
        <v/>
      </c>
      <c r="H94" s="18">
        <f>'P0-3_Scorecard'!H100</f>
        <v/>
      </c>
      <c r="I94" s="18">
        <f>IF(OR(D94="",E94=""),"INCOMPLETE",IF(AND(D94&gt;=70,E94&lt;60),"DEPENDENCY GAP",IF(AND(D94&gt;=70,G94&lt;F94),"REQUIRED MATURITY GAP","OK")))</f>
        <v/>
      </c>
      <c r="J94" s="18" t="inlineStr">
        <is>
          <t>Digital control review</t>
        </is>
      </c>
    </row>
    <row r="95">
      <c r="A95" s="18" t="inlineStr">
        <is>
          <t>CD06</t>
        </is>
      </c>
      <c r="B95" s="18" t="inlineStr">
        <is>
          <t>D02-I07</t>
        </is>
      </c>
      <c r="C95" s="18" t="inlineStr">
        <is>
          <t>D08-I10</t>
        </is>
      </c>
      <c r="D95" s="18">
        <f>'P0-3_Scorecard'!L18</f>
        <v/>
      </c>
      <c r="E95" s="18">
        <f>'P0-3_Scorecard'!L102</f>
        <v/>
      </c>
      <c r="F95" s="18">
        <f>'P0-3_Scorecard'!M102</f>
        <v/>
      </c>
      <c r="G95" s="18">
        <f>'P0-3_Scorecard'!E102</f>
        <v/>
      </c>
      <c r="H95" s="18">
        <f>'P0-3_Scorecard'!H102</f>
        <v/>
      </c>
      <c r="I95" s="18">
        <f>IF(OR(D95="",E95=""),"INCOMPLETE",IF(AND(D95&gt;=70,E95&lt;60),"DEPENDENCY GAP",IF(AND(D95&gt;=70,G95&lt;F95),"REQUIRED MATURITY GAP","OK")))</f>
        <v/>
      </c>
      <c r="J95" s="18" t="inlineStr">
        <is>
          <t>Digital control review</t>
        </is>
      </c>
    </row>
    <row r="96">
      <c r="A96" s="18" t="inlineStr">
        <is>
          <t>CD06</t>
        </is>
      </c>
      <c r="B96" s="18" t="inlineStr">
        <is>
          <t>D02-I10</t>
        </is>
      </c>
      <c r="C96" s="18" t="inlineStr">
        <is>
          <t>D08-I02</t>
        </is>
      </c>
      <c r="D96" s="18">
        <f>'P0-3_Scorecard'!L21</f>
        <v/>
      </c>
      <c r="E96" s="18">
        <f>'P0-3_Scorecard'!L94</f>
        <v/>
      </c>
      <c r="F96" s="18">
        <f>'P0-3_Scorecard'!M94</f>
        <v/>
      </c>
      <c r="G96" s="18">
        <f>'P0-3_Scorecard'!E94</f>
        <v/>
      </c>
      <c r="H96" s="18">
        <f>'P0-3_Scorecard'!H94</f>
        <v/>
      </c>
      <c r="I96" s="18">
        <f>IF(OR(D96="",E96=""),"INCOMPLETE",IF(AND(D96&gt;=70,E96&lt;60),"DEPENDENCY GAP",IF(AND(D96&gt;=70,G96&lt;F96),"REQUIRED MATURITY GAP","OK")))</f>
        <v/>
      </c>
      <c r="J96" s="18" t="inlineStr">
        <is>
          <t>Digital control review</t>
        </is>
      </c>
    </row>
    <row r="97">
      <c r="A97" s="18" t="inlineStr">
        <is>
          <t>CD06</t>
        </is>
      </c>
      <c r="B97" s="18" t="inlineStr">
        <is>
          <t>D02-I10</t>
        </is>
      </c>
      <c r="C97" s="18" t="inlineStr">
        <is>
          <t>D08-I03</t>
        </is>
      </c>
      <c r="D97" s="18">
        <f>'P0-3_Scorecard'!L21</f>
        <v/>
      </c>
      <c r="E97" s="18">
        <f>'P0-3_Scorecard'!L95</f>
        <v/>
      </c>
      <c r="F97" s="18">
        <f>'P0-3_Scorecard'!M95</f>
        <v/>
      </c>
      <c r="G97" s="18">
        <f>'P0-3_Scorecard'!E95</f>
        <v/>
      </c>
      <c r="H97" s="18">
        <f>'P0-3_Scorecard'!H95</f>
        <v/>
      </c>
      <c r="I97" s="18">
        <f>IF(OR(D97="",E97=""),"INCOMPLETE",IF(AND(D97&gt;=70,E97&lt;60),"DEPENDENCY GAP",IF(AND(D97&gt;=70,G97&lt;F97),"REQUIRED MATURITY GAP","OK")))</f>
        <v/>
      </c>
      <c r="J97" s="18" t="inlineStr">
        <is>
          <t>Digital control review</t>
        </is>
      </c>
    </row>
    <row r="98">
      <c r="A98" s="18" t="inlineStr">
        <is>
          <t>CD06</t>
        </is>
      </c>
      <c r="B98" s="18" t="inlineStr">
        <is>
          <t>D02-I10</t>
        </is>
      </c>
      <c r="C98" s="18" t="inlineStr">
        <is>
          <t>D08-I07</t>
        </is>
      </c>
      <c r="D98" s="18">
        <f>'P0-3_Scorecard'!L21</f>
        <v/>
      </c>
      <c r="E98" s="18">
        <f>'P0-3_Scorecard'!L99</f>
        <v/>
      </c>
      <c r="F98" s="18">
        <f>'P0-3_Scorecard'!M99</f>
        <v/>
      </c>
      <c r="G98" s="18">
        <f>'P0-3_Scorecard'!E99</f>
        <v/>
      </c>
      <c r="H98" s="18">
        <f>'P0-3_Scorecard'!H99</f>
        <v/>
      </c>
      <c r="I98" s="18">
        <f>IF(OR(D98="",E98=""),"INCOMPLETE",IF(AND(D98&gt;=70,E98&lt;60),"DEPENDENCY GAP",IF(AND(D98&gt;=70,G98&lt;F98),"REQUIRED MATURITY GAP","OK")))</f>
        <v/>
      </c>
      <c r="J98" s="18" t="inlineStr">
        <is>
          <t>Digital control review</t>
        </is>
      </c>
    </row>
    <row r="99">
      <c r="A99" s="18" t="inlineStr">
        <is>
          <t>CD06</t>
        </is>
      </c>
      <c r="B99" s="18" t="inlineStr">
        <is>
          <t>D02-I10</t>
        </is>
      </c>
      <c r="C99" s="18" t="inlineStr">
        <is>
          <t>D08-I08</t>
        </is>
      </c>
      <c r="D99" s="18">
        <f>'P0-3_Scorecard'!L21</f>
        <v/>
      </c>
      <c r="E99" s="18">
        <f>'P0-3_Scorecard'!L100</f>
        <v/>
      </c>
      <c r="F99" s="18">
        <f>'P0-3_Scorecard'!M100</f>
        <v/>
      </c>
      <c r="G99" s="18">
        <f>'P0-3_Scorecard'!E100</f>
        <v/>
      </c>
      <c r="H99" s="18">
        <f>'P0-3_Scorecard'!H100</f>
        <v/>
      </c>
      <c r="I99" s="18">
        <f>IF(OR(D99="",E99=""),"INCOMPLETE",IF(AND(D99&gt;=70,E99&lt;60),"DEPENDENCY GAP",IF(AND(D99&gt;=70,G99&lt;F99),"REQUIRED MATURITY GAP","OK")))</f>
        <v/>
      </c>
      <c r="J99" s="18" t="inlineStr">
        <is>
          <t>Digital control review</t>
        </is>
      </c>
    </row>
    <row r="100">
      <c r="A100" s="18" t="inlineStr">
        <is>
          <t>CD06</t>
        </is>
      </c>
      <c r="B100" s="18" t="inlineStr">
        <is>
          <t>D02-I10</t>
        </is>
      </c>
      <c r="C100" s="18" t="inlineStr">
        <is>
          <t>D08-I10</t>
        </is>
      </c>
      <c r="D100" s="18">
        <f>'P0-3_Scorecard'!L21</f>
        <v/>
      </c>
      <c r="E100" s="18">
        <f>'P0-3_Scorecard'!L102</f>
        <v/>
      </c>
      <c r="F100" s="18">
        <f>'P0-3_Scorecard'!M102</f>
        <v/>
      </c>
      <c r="G100" s="18">
        <f>'P0-3_Scorecard'!E102</f>
        <v/>
      </c>
      <c r="H100" s="18">
        <f>'P0-3_Scorecard'!H102</f>
        <v/>
      </c>
      <c r="I100" s="18">
        <f>IF(OR(D100="",E100=""),"INCOMPLETE",IF(AND(D100&gt;=70,E100&lt;60),"DEPENDENCY GAP",IF(AND(D100&gt;=70,G100&lt;F100),"REQUIRED MATURITY GAP","OK")))</f>
        <v/>
      </c>
      <c r="J100" s="18" t="inlineStr">
        <is>
          <t>Digital control review</t>
        </is>
      </c>
    </row>
    <row r="101">
      <c r="A101" s="18" t="inlineStr">
        <is>
          <t>CD07</t>
        </is>
      </c>
      <c r="B101" s="18" t="inlineStr">
        <is>
          <t>D02-I12</t>
        </is>
      </c>
      <c r="C101" s="18" t="inlineStr">
        <is>
          <t>D10-I04</t>
        </is>
      </c>
      <c r="D101" s="18">
        <f>'P0-3_Scorecard'!L23</f>
        <v/>
      </c>
      <c r="E101" s="18">
        <f>'P0-3_Scorecard'!L120</f>
        <v/>
      </c>
      <c r="F101" s="18">
        <f>'P0-3_Scorecard'!M120</f>
        <v/>
      </c>
      <c r="G101" s="18">
        <f>'P0-3_Scorecard'!E120</f>
        <v/>
      </c>
      <c r="H101" s="18">
        <f>'P0-3_Scorecard'!H120</f>
        <v/>
      </c>
      <c r="I101" s="18">
        <f>IF(OR(D101="",E101=""),"INCOMPLETE",IF(AND(D101&gt;=70,E101&lt;60),"DEPENDENCY GAP",IF(AND(D101&gt;=70,G101&lt;F101),"REQUIRED MATURITY GAP","OK")))</f>
        <v/>
      </c>
      <c r="J101" s="18" t="inlineStr">
        <is>
          <t>Research governance review</t>
        </is>
      </c>
    </row>
    <row r="102">
      <c r="A102" s="18" t="inlineStr">
        <is>
          <t>CD07</t>
        </is>
      </c>
      <c r="B102" s="18" t="inlineStr">
        <is>
          <t>D02-I12</t>
        </is>
      </c>
      <c r="C102" s="18" t="inlineStr">
        <is>
          <t>D10-I06</t>
        </is>
      </c>
      <c r="D102" s="18">
        <f>'P0-3_Scorecard'!L23</f>
        <v/>
      </c>
      <c r="E102" s="18">
        <f>'P0-3_Scorecard'!L122</f>
        <v/>
      </c>
      <c r="F102" s="18">
        <f>'P0-3_Scorecard'!M122</f>
        <v/>
      </c>
      <c r="G102" s="18">
        <f>'P0-3_Scorecard'!E122</f>
        <v/>
      </c>
      <c r="H102" s="18">
        <f>'P0-3_Scorecard'!H122</f>
        <v/>
      </c>
      <c r="I102" s="18">
        <f>IF(OR(D102="",E102=""),"INCOMPLETE",IF(AND(D102&gt;=70,E102&lt;60),"DEPENDENCY GAP",IF(AND(D102&gt;=70,G102&lt;F102),"REQUIRED MATURITY GAP","OK")))</f>
        <v/>
      </c>
      <c r="J102" s="18" t="inlineStr">
        <is>
          <t>Research governance review</t>
        </is>
      </c>
    </row>
    <row r="103">
      <c r="A103" s="18" t="inlineStr">
        <is>
          <t>CD07</t>
        </is>
      </c>
      <c r="B103" s="18" t="inlineStr">
        <is>
          <t>D02-I12</t>
        </is>
      </c>
      <c r="C103" s="18" t="inlineStr">
        <is>
          <t>D10-I12</t>
        </is>
      </c>
      <c r="D103" s="18">
        <f>'P0-3_Scorecard'!L23</f>
        <v/>
      </c>
      <c r="E103" s="18">
        <f>'P0-3_Scorecard'!L128</f>
        <v/>
      </c>
      <c r="F103" s="18">
        <f>'P0-3_Scorecard'!M128</f>
        <v/>
      </c>
      <c r="G103" s="18">
        <f>'P0-3_Scorecard'!E128</f>
        <v/>
      </c>
      <c r="H103" s="18">
        <f>'P0-3_Scorecard'!H128</f>
        <v/>
      </c>
      <c r="I103" s="18">
        <f>IF(OR(D103="",E103=""),"INCOMPLETE",IF(AND(D103&gt;=70,E103&lt;60),"DEPENDENCY GAP",IF(AND(D103&gt;=70,G103&lt;F103),"REQUIRED MATURITY GAP","OK")))</f>
        <v/>
      </c>
      <c r="J103" s="18" t="inlineStr">
        <is>
          <t>Research governance review</t>
        </is>
      </c>
    </row>
    <row r="104">
      <c r="A104" s="18" t="inlineStr">
        <is>
          <t>CD07</t>
        </is>
      </c>
      <c r="B104" s="18" t="inlineStr">
        <is>
          <t>D02-I12</t>
        </is>
      </c>
      <c r="C104" s="18" t="inlineStr">
        <is>
          <t>D10-I13</t>
        </is>
      </c>
      <c r="D104" s="18">
        <f>'P0-3_Scorecard'!L23</f>
        <v/>
      </c>
      <c r="E104" s="18">
        <f>'P0-3_Scorecard'!L129</f>
        <v/>
      </c>
      <c r="F104" s="18">
        <f>'P0-3_Scorecard'!M129</f>
        <v/>
      </c>
      <c r="G104" s="18">
        <f>'P0-3_Scorecard'!E129</f>
        <v/>
      </c>
      <c r="H104" s="18">
        <f>'P0-3_Scorecard'!H129</f>
        <v/>
      </c>
      <c r="I104" s="18">
        <f>IF(OR(D104="",E104=""),"INCOMPLETE",IF(AND(D104&gt;=70,E104&lt;60),"DEPENDENCY GAP",IF(AND(D104&gt;=70,G104&lt;F104),"REQUIRED MATURITY GAP","OK")))</f>
        <v/>
      </c>
      <c r="J104" s="18" t="inlineStr">
        <is>
          <t>Research governance review</t>
        </is>
      </c>
    </row>
    <row r="105">
      <c r="A105" s="18" t="inlineStr">
        <is>
          <t>CD07</t>
        </is>
      </c>
      <c r="B105" s="18" t="inlineStr">
        <is>
          <t>D02-I13</t>
        </is>
      </c>
      <c r="C105" s="18" t="inlineStr">
        <is>
          <t>D10-I04</t>
        </is>
      </c>
      <c r="D105" s="18">
        <f>'P0-3_Scorecard'!L24</f>
        <v/>
      </c>
      <c r="E105" s="18">
        <f>'P0-3_Scorecard'!L120</f>
        <v/>
      </c>
      <c r="F105" s="18">
        <f>'P0-3_Scorecard'!M120</f>
        <v/>
      </c>
      <c r="G105" s="18">
        <f>'P0-3_Scorecard'!E120</f>
        <v/>
      </c>
      <c r="H105" s="18">
        <f>'P0-3_Scorecard'!H120</f>
        <v/>
      </c>
      <c r="I105" s="18">
        <f>IF(OR(D105="",E105=""),"INCOMPLETE",IF(AND(D105&gt;=70,E105&lt;60),"DEPENDENCY GAP",IF(AND(D105&gt;=70,G105&lt;F105),"REQUIRED MATURITY GAP","OK")))</f>
        <v/>
      </c>
      <c r="J105" s="18" t="inlineStr">
        <is>
          <t>Research governance review</t>
        </is>
      </c>
    </row>
    <row r="106">
      <c r="A106" s="18" t="inlineStr">
        <is>
          <t>CD07</t>
        </is>
      </c>
      <c r="B106" s="18" t="inlineStr">
        <is>
          <t>D02-I13</t>
        </is>
      </c>
      <c r="C106" s="18" t="inlineStr">
        <is>
          <t>D10-I06</t>
        </is>
      </c>
      <c r="D106" s="18">
        <f>'P0-3_Scorecard'!L24</f>
        <v/>
      </c>
      <c r="E106" s="18">
        <f>'P0-3_Scorecard'!L122</f>
        <v/>
      </c>
      <c r="F106" s="18">
        <f>'P0-3_Scorecard'!M122</f>
        <v/>
      </c>
      <c r="G106" s="18">
        <f>'P0-3_Scorecard'!E122</f>
        <v/>
      </c>
      <c r="H106" s="18">
        <f>'P0-3_Scorecard'!H122</f>
        <v/>
      </c>
      <c r="I106" s="18">
        <f>IF(OR(D106="",E106=""),"INCOMPLETE",IF(AND(D106&gt;=70,E106&lt;60),"DEPENDENCY GAP",IF(AND(D106&gt;=70,G106&lt;F106),"REQUIRED MATURITY GAP","OK")))</f>
        <v/>
      </c>
      <c r="J106" s="18" t="inlineStr">
        <is>
          <t>Research governance review</t>
        </is>
      </c>
    </row>
    <row r="107">
      <c r="A107" s="18" t="inlineStr">
        <is>
          <t>CD07</t>
        </is>
      </c>
      <c r="B107" s="18" t="inlineStr">
        <is>
          <t>D02-I13</t>
        </is>
      </c>
      <c r="C107" s="18" t="inlineStr">
        <is>
          <t>D10-I12</t>
        </is>
      </c>
      <c r="D107" s="18">
        <f>'P0-3_Scorecard'!L24</f>
        <v/>
      </c>
      <c r="E107" s="18">
        <f>'P0-3_Scorecard'!L128</f>
        <v/>
      </c>
      <c r="F107" s="18">
        <f>'P0-3_Scorecard'!M128</f>
        <v/>
      </c>
      <c r="G107" s="18">
        <f>'P0-3_Scorecard'!E128</f>
        <v/>
      </c>
      <c r="H107" s="18">
        <f>'P0-3_Scorecard'!H128</f>
        <v/>
      </c>
      <c r="I107" s="18">
        <f>IF(OR(D107="",E107=""),"INCOMPLETE",IF(AND(D107&gt;=70,E107&lt;60),"DEPENDENCY GAP",IF(AND(D107&gt;=70,G107&lt;F107),"REQUIRED MATURITY GAP","OK")))</f>
        <v/>
      </c>
      <c r="J107" s="18" t="inlineStr">
        <is>
          <t>Research governance review</t>
        </is>
      </c>
    </row>
    <row r="108">
      <c r="A108" s="18" t="inlineStr">
        <is>
          <t>CD07</t>
        </is>
      </c>
      <c r="B108" s="18" t="inlineStr">
        <is>
          <t>D02-I13</t>
        </is>
      </c>
      <c r="C108" s="18" t="inlineStr">
        <is>
          <t>D10-I13</t>
        </is>
      </c>
      <c r="D108" s="18">
        <f>'P0-3_Scorecard'!L24</f>
        <v/>
      </c>
      <c r="E108" s="18">
        <f>'P0-3_Scorecard'!L129</f>
        <v/>
      </c>
      <c r="F108" s="18">
        <f>'P0-3_Scorecard'!M129</f>
        <v/>
      </c>
      <c r="G108" s="18">
        <f>'P0-3_Scorecard'!E129</f>
        <v/>
      </c>
      <c r="H108" s="18">
        <f>'P0-3_Scorecard'!H129</f>
        <v/>
      </c>
      <c r="I108" s="18">
        <f>IF(OR(D108="",E108=""),"INCOMPLETE",IF(AND(D108&gt;=70,E108&lt;60),"DEPENDENCY GAP",IF(AND(D108&gt;=70,G108&lt;F108),"REQUIRED MATURITY GAP","OK")))</f>
        <v/>
      </c>
      <c r="J108" s="18" t="inlineStr">
        <is>
          <t>Research governance review</t>
        </is>
      </c>
    </row>
    <row r="109">
      <c r="A109" s="18" t="inlineStr">
        <is>
          <t>CD07</t>
        </is>
      </c>
      <c r="B109" s="18" t="inlineStr">
        <is>
          <t>D02-I14</t>
        </is>
      </c>
      <c r="C109" s="18" t="inlineStr">
        <is>
          <t>D10-I04</t>
        </is>
      </c>
      <c r="D109" s="18">
        <f>'P0-3_Scorecard'!L25</f>
        <v/>
      </c>
      <c r="E109" s="18">
        <f>'P0-3_Scorecard'!L120</f>
        <v/>
      </c>
      <c r="F109" s="18">
        <f>'P0-3_Scorecard'!M120</f>
        <v/>
      </c>
      <c r="G109" s="18">
        <f>'P0-3_Scorecard'!E120</f>
        <v/>
      </c>
      <c r="H109" s="18">
        <f>'P0-3_Scorecard'!H120</f>
        <v/>
      </c>
      <c r="I109" s="18">
        <f>IF(OR(D109="",E109=""),"INCOMPLETE",IF(AND(D109&gt;=70,E109&lt;60),"DEPENDENCY GAP",IF(AND(D109&gt;=70,G109&lt;F109),"REQUIRED MATURITY GAP","OK")))</f>
        <v/>
      </c>
      <c r="J109" s="18" t="inlineStr">
        <is>
          <t>Research governance review</t>
        </is>
      </c>
    </row>
    <row r="110">
      <c r="A110" s="18" t="inlineStr">
        <is>
          <t>CD07</t>
        </is>
      </c>
      <c r="B110" s="18" t="inlineStr">
        <is>
          <t>D02-I14</t>
        </is>
      </c>
      <c r="C110" s="18" t="inlineStr">
        <is>
          <t>D10-I06</t>
        </is>
      </c>
      <c r="D110" s="18">
        <f>'P0-3_Scorecard'!L25</f>
        <v/>
      </c>
      <c r="E110" s="18">
        <f>'P0-3_Scorecard'!L122</f>
        <v/>
      </c>
      <c r="F110" s="18">
        <f>'P0-3_Scorecard'!M122</f>
        <v/>
      </c>
      <c r="G110" s="18">
        <f>'P0-3_Scorecard'!E122</f>
        <v/>
      </c>
      <c r="H110" s="18">
        <f>'P0-3_Scorecard'!H122</f>
        <v/>
      </c>
      <c r="I110" s="18">
        <f>IF(OR(D110="",E110=""),"INCOMPLETE",IF(AND(D110&gt;=70,E110&lt;60),"DEPENDENCY GAP",IF(AND(D110&gt;=70,G110&lt;F110),"REQUIRED MATURITY GAP","OK")))</f>
        <v/>
      </c>
      <c r="J110" s="18" t="inlineStr">
        <is>
          <t>Research governance review</t>
        </is>
      </c>
    </row>
    <row r="111">
      <c r="A111" s="18" t="inlineStr">
        <is>
          <t>CD07</t>
        </is>
      </c>
      <c r="B111" s="18" t="inlineStr">
        <is>
          <t>D02-I14</t>
        </is>
      </c>
      <c r="C111" s="18" t="inlineStr">
        <is>
          <t>D10-I12</t>
        </is>
      </c>
      <c r="D111" s="18">
        <f>'P0-3_Scorecard'!L25</f>
        <v/>
      </c>
      <c r="E111" s="18">
        <f>'P0-3_Scorecard'!L128</f>
        <v/>
      </c>
      <c r="F111" s="18">
        <f>'P0-3_Scorecard'!M128</f>
        <v/>
      </c>
      <c r="G111" s="18">
        <f>'P0-3_Scorecard'!E128</f>
        <v/>
      </c>
      <c r="H111" s="18">
        <f>'P0-3_Scorecard'!H128</f>
        <v/>
      </c>
      <c r="I111" s="18">
        <f>IF(OR(D111="",E111=""),"INCOMPLETE",IF(AND(D111&gt;=70,E111&lt;60),"DEPENDENCY GAP",IF(AND(D111&gt;=70,G111&lt;F111),"REQUIRED MATURITY GAP","OK")))</f>
        <v/>
      </c>
      <c r="J111" s="18" t="inlineStr">
        <is>
          <t>Research governance review</t>
        </is>
      </c>
    </row>
    <row r="112">
      <c r="A112" s="18" t="inlineStr">
        <is>
          <t>CD07</t>
        </is>
      </c>
      <c r="B112" s="18" t="inlineStr">
        <is>
          <t>D02-I14</t>
        </is>
      </c>
      <c r="C112" s="18" t="inlineStr">
        <is>
          <t>D10-I13</t>
        </is>
      </c>
      <c r="D112" s="18">
        <f>'P0-3_Scorecard'!L25</f>
        <v/>
      </c>
      <c r="E112" s="18">
        <f>'P0-3_Scorecard'!L129</f>
        <v/>
      </c>
      <c r="F112" s="18">
        <f>'P0-3_Scorecard'!M129</f>
        <v/>
      </c>
      <c r="G112" s="18">
        <f>'P0-3_Scorecard'!E129</f>
        <v/>
      </c>
      <c r="H112" s="18">
        <f>'P0-3_Scorecard'!H129</f>
        <v/>
      </c>
      <c r="I112" s="18">
        <f>IF(OR(D112="",E112=""),"INCOMPLETE",IF(AND(D112&gt;=70,E112&lt;60),"DEPENDENCY GAP",IF(AND(D112&gt;=70,G112&lt;F112),"REQUIRED MATURITY GAP","OK")))</f>
        <v/>
      </c>
      <c r="J112" s="18" t="inlineStr">
        <is>
          <t>Research governance review</t>
        </is>
      </c>
    </row>
    <row r="113">
      <c r="A113" s="18" t="inlineStr">
        <is>
          <t>CD08</t>
        </is>
      </c>
      <c r="B113" s="18" t="inlineStr">
        <is>
          <t>D03-I01</t>
        </is>
      </c>
      <c r="C113" s="18" t="inlineStr">
        <is>
          <t>D04-I02</t>
        </is>
      </c>
      <c r="D113" s="18">
        <f>'P0-3_Scorecard'!L26</f>
        <v/>
      </c>
      <c r="E113" s="18">
        <f>'P0-3_Scorecard'!L44</f>
        <v/>
      </c>
      <c r="F113" s="18">
        <f>'P0-3_Scorecard'!M44</f>
        <v/>
      </c>
      <c r="G113" s="18">
        <f>'P0-3_Scorecard'!E44</f>
        <v/>
      </c>
      <c r="H113" s="18">
        <f>'P0-3_Scorecard'!H44</f>
        <v/>
      </c>
      <c r="I113" s="18">
        <f>IF(OR(D113="",E113=""),"INCOMPLETE",IF(AND(D113&gt;=70,E113&lt;60),"DEPENDENCY GAP",IF(AND(D113&gt;=70,G113&lt;F113),"REQUIRED MATURITY GAP","OK")))</f>
        <v/>
      </c>
      <c r="J113" s="18" t="inlineStr">
        <is>
          <t>Curriculum mapping review</t>
        </is>
      </c>
    </row>
    <row r="114">
      <c r="A114" s="18" t="inlineStr">
        <is>
          <t>CD08</t>
        </is>
      </c>
      <c r="B114" s="18" t="inlineStr">
        <is>
          <t>D03-I01</t>
        </is>
      </c>
      <c r="C114" s="18" t="inlineStr">
        <is>
          <t>D04-I04</t>
        </is>
      </c>
      <c r="D114" s="18">
        <f>'P0-3_Scorecard'!L26</f>
        <v/>
      </c>
      <c r="E114" s="18">
        <f>'P0-3_Scorecard'!L46</f>
        <v/>
      </c>
      <c r="F114" s="18">
        <f>'P0-3_Scorecard'!M46</f>
        <v/>
      </c>
      <c r="G114" s="18">
        <f>'P0-3_Scorecard'!E46</f>
        <v/>
      </c>
      <c r="H114" s="18">
        <f>'P0-3_Scorecard'!H46</f>
        <v/>
      </c>
      <c r="I114" s="18">
        <f>IF(OR(D114="",E114=""),"INCOMPLETE",IF(AND(D114&gt;=70,E114&lt;60),"DEPENDENCY GAP",IF(AND(D114&gt;=70,G114&lt;F114),"REQUIRED MATURITY GAP","OK")))</f>
        <v/>
      </c>
      <c r="J114" s="18" t="inlineStr">
        <is>
          <t>Curriculum mapping review</t>
        </is>
      </c>
    </row>
    <row r="115">
      <c r="A115" s="18" t="inlineStr">
        <is>
          <t>CD08</t>
        </is>
      </c>
      <c r="B115" s="18" t="inlineStr">
        <is>
          <t>D03-I01</t>
        </is>
      </c>
      <c r="C115" s="18" t="inlineStr">
        <is>
          <t>D04-I07</t>
        </is>
      </c>
      <c r="D115" s="18">
        <f>'P0-3_Scorecard'!L26</f>
        <v/>
      </c>
      <c r="E115" s="18">
        <f>'P0-3_Scorecard'!L49</f>
        <v/>
      </c>
      <c r="F115" s="18">
        <f>'P0-3_Scorecard'!M49</f>
        <v/>
      </c>
      <c r="G115" s="18">
        <f>'P0-3_Scorecard'!E49</f>
        <v/>
      </c>
      <c r="H115" s="18">
        <f>'P0-3_Scorecard'!H49</f>
        <v/>
      </c>
      <c r="I115" s="18">
        <f>IF(OR(D115="",E115=""),"INCOMPLETE",IF(AND(D115&gt;=70,E115&lt;60),"DEPENDENCY GAP",IF(AND(D115&gt;=70,G115&lt;F115),"REQUIRED MATURITY GAP","OK")))</f>
        <v/>
      </c>
      <c r="J115" s="18" t="inlineStr">
        <is>
          <t>Curriculum mapping review</t>
        </is>
      </c>
    </row>
    <row r="116">
      <c r="A116" s="18" t="inlineStr">
        <is>
          <t>CD08</t>
        </is>
      </c>
      <c r="B116" s="18" t="inlineStr">
        <is>
          <t>D03-I01</t>
        </is>
      </c>
      <c r="C116" s="18" t="inlineStr">
        <is>
          <t>D04-I11</t>
        </is>
      </c>
      <c r="D116" s="18">
        <f>'P0-3_Scorecard'!L26</f>
        <v/>
      </c>
      <c r="E116" s="18">
        <f>'P0-3_Scorecard'!L53</f>
        <v/>
      </c>
      <c r="F116" s="18">
        <f>'P0-3_Scorecard'!M53</f>
        <v/>
      </c>
      <c r="G116" s="18">
        <f>'P0-3_Scorecard'!E53</f>
        <v/>
      </c>
      <c r="H116" s="18">
        <f>'P0-3_Scorecard'!H53</f>
        <v/>
      </c>
      <c r="I116" s="18">
        <f>IF(OR(D116="",E116=""),"INCOMPLETE",IF(AND(D116&gt;=70,E116&lt;60),"DEPENDENCY GAP",IF(AND(D116&gt;=70,G116&lt;F116),"REQUIRED MATURITY GAP","OK")))</f>
        <v/>
      </c>
      <c r="J116" s="18" t="inlineStr">
        <is>
          <t>Curriculum mapping review</t>
        </is>
      </c>
    </row>
    <row r="117">
      <c r="A117" s="18" t="inlineStr">
        <is>
          <t>CD08</t>
        </is>
      </c>
      <c r="B117" s="18" t="inlineStr">
        <is>
          <t>D03-I02</t>
        </is>
      </c>
      <c r="C117" s="18" t="inlineStr">
        <is>
          <t>D04-I02</t>
        </is>
      </c>
      <c r="D117" s="18">
        <f>'P0-3_Scorecard'!L27</f>
        <v/>
      </c>
      <c r="E117" s="18">
        <f>'P0-3_Scorecard'!L44</f>
        <v/>
      </c>
      <c r="F117" s="18">
        <f>'P0-3_Scorecard'!M44</f>
        <v/>
      </c>
      <c r="G117" s="18">
        <f>'P0-3_Scorecard'!E44</f>
        <v/>
      </c>
      <c r="H117" s="18">
        <f>'P0-3_Scorecard'!H44</f>
        <v/>
      </c>
      <c r="I117" s="18">
        <f>IF(OR(D117="",E117=""),"INCOMPLETE",IF(AND(D117&gt;=70,E117&lt;60),"DEPENDENCY GAP",IF(AND(D117&gt;=70,G117&lt;F117),"REQUIRED MATURITY GAP","OK")))</f>
        <v/>
      </c>
      <c r="J117" s="18" t="inlineStr">
        <is>
          <t>Curriculum mapping review</t>
        </is>
      </c>
    </row>
    <row r="118">
      <c r="A118" s="18" t="inlineStr">
        <is>
          <t>CD08</t>
        </is>
      </c>
      <c r="B118" s="18" t="inlineStr">
        <is>
          <t>D03-I02</t>
        </is>
      </c>
      <c r="C118" s="18" t="inlineStr">
        <is>
          <t>D04-I04</t>
        </is>
      </c>
      <c r="D118" s="18">
        <f>'P0-3_Scorecard'!L27</f>
        <v/>
      </c>
      <c r="E118" s="18">
        <f>'P0-3_Scorecard'!L46</f>
        <v/>
      </c>
      <c r="F118" s="18">
        <f>'P0-3_Scorecard'!M46</f>
        <v/>
      </c>
      <c r="G118" s="18">
        <f>'P0-3_Scorecard'!E46</f>
        <v/>
      </c>
      <c r="H118" s="18">
        <f>'P0-3_Scorecard'!H46</f>
        <v/>
      </c>
      <c r="I118" s="18">
        <f>IF(OR(D118="",E118=""),"INCOMPLETE",IF(AND(D118&gt;=70,E118&lt;60),"DEPENDENCY GAP",IF(AND(D118&gt;=70,G118&lt;F118),"REQUIRED MATURITY GAP","OK")))</f>
        <v/>
      </c>
      <c r="J118" s="18" t="inlineStr">
        <is>
          <t>Curriculum mapping review</t>
        </is>
      </c>
    </row>
    <row r="119">
      <c r="A119" s="18" t="inlineStr">
        <is>
          <t>CD08</t>
        </is>
      </c>
      <c r="B119" s="18" t="inlineStr">
        <is>
          <t>D03-I02</t>
        </is>
      </c>
      <c r="C119" s="18" t="inlineStr">
        <is>
          <t>D04-I07</t>
        </is>
      </c>
      <c r="D119" s="18">
        <f>'P0-3_Scorecard'!L27</f>
        <v/>
      </c>
      <c r="E119" s="18">
        <f>'P0-3_Scorecard'!L49</f>
        <v/>
      </c>
      <c r="F119" s="18">
        <f>'P0-3_Scorecard'!M49</f>
        <v/>
      </c>
      <c r="G119" s="18">
        <f>'P0-3_Scorecard'!E49</f>
        <v/>
      </c>
      <c r="H119" s="18">
        <f>'P0-3_Scorecard'!H49</f>
        <v/>
      </c>
      <c r="I119" s="18">
        <f>IF(OR(D119="",E119=""),"INCOMPLETE",IF(AND(D119&gt;=70,E119&lt;60),"DEPENDENCY GAP",IF(AND(D119&gt;=70,G119&lt;F119),"REQUIRED MATURITY GAP","OK")))</f>
        <v/>
      </c>
      <c r="J119" s="18" t="inlineStr">
        <is>
          <t>Curriculum mapping review</t>
        </is>
      </c>
    </row>
    <row r="120">
      <c r="A120" s="18" t="inlineStr">
        <is>
          <t>CD08</t>
        </is>
      </c>
      <c r="B120" s="18" t="inlineStr">
        <is>
          <t>D03-I02</t>
        </is>
      </c>
      <c r="C120" s="18" t="inlineStr">
        <is>
          <t>D04-I11</t>
        </is>
      </c>
      <c r="D120" s="18">
        <f>'P0-3_Scorecard'!L27</f>
        <v/>
      </c>
      <c r="E120" s="18">
        <f>'P0-3_Scorecard'!L53</f>
        <v/>
      </c>
      <c r="F120" s="18">
        <f>'P0-3_Scorecard'!M53</f>
        <v/>
      </c>
      <c r="G120" s="18">
        <f>'P0-3_Scorecard'!E53</f>
        <v/>
      </c>
      <c r="H120" s="18">
        <f>'P0-3_Scorecard'!H53</f>
        <v/>
      </c>
      <c r="I120" s="18">
        <f>IF(OR(D120="",E120=""),"INCOMPLETE",IF(AND(D120&gt;=70,E120&lt;60),"DEPENDENCY GAP",IF(AND(D120&gt;=70,G120&lt;F120),"REQUIRED MATURITY GAP","OK")))</f>
        <v/>
      </c>
      <c r="J120" s="18" t="inlineStr">
        <is>
          <t>Curriculum mapping review</t>
        </is>
      </c>
    </row>
    <row r="121">
      <c r="A121" s="18" t="inlineStr">
        <is>
          <t>CD08</t>
        </is>
      </c>
      <c r="B121" s="18" t="inlineStr">
        <is>
          <t>D03-I05</t>
        </is>
      </c>
      <c r="C121" s="18" t="inlineStr">
        <is>
          <t>D04-I02</t>
        </is>
      </c>
      <c r="D121" s="18">
        <f>'P0-3_Scorecard'!L30</f>
        <v/>
      </c>
      <c r="E121" s="18">
        <f>'P0-3_Scorecard'!L44</f>
        <v/>
      </c>
      <c r="F121" s="18">
        <f>'P0-3_Scorecard'!M44</f>
        <v/>
      </c>
      <c r="G121" s="18">
        <f>'P0-3_Scorecard'!E44</f>
        <v/>
      </c>
      <c r="H121" s="18">
        <f>'P0-3_Scorecard'!H44</f>
        <v/>
      </c>
      <c r="I121" s="18">
        <f>IF(OR(D121="",E121=""),"INCOMPLETE",IF(AND(D121&gt;=70,E121&lt;60),"DEPENDENCY GAP",IF(AND(D121&gt;=70,G121&lt;F121),"REQUIRED MATURITY GAP","OK")))</f>
        <v/>
      </c>
      <c r="J121" s="18" t="inlineStr">
        <is>
          <t>Curriculum mapping review</t>
        </is>
      </c>
    </row>
    <row r="122">
      <c r="A122" s="18" t="inlineStr">
        <is>
          <t>CD08</t>
        </is>
      </c>
      <c r="B122" s="18" t="inlineStr">
        <is>
          <t>D03-I05</t>
        </is>
      </c>
      <c r="C122" s="18" t="inlineStr">
        <is>
          <t>D04-I04</t>
        </is>
      </c>
      <c r="D122" s="18">
        <f>'P0-3_Scorecard'!L30</f>
        <v/>
      </c>
      <c r="E122" s="18">
        <f>'P0-3_Scorecard'!L46</f>
        <v/>
      </c>
      <c r="F122" s="18">
        <f>'P0-3_Scorecard'!M46</f>
        <v/>
      </c>
      <c r="G122" s="18">
        <f>'P0-3_Scorecard'!E46</f>
        <v/>
      </c>
      <c r="H122" s="18">
        <f>'P0-3_Scorecard'!H46</f>
        <v/>
      </c>
      <c r="I122" s="18">
        <f>IF(OR(D122="",E122=""),"INCOMPLETE",IF(AND(D122&gt;=70,E122&lt;60),"DEPENDENCY GAP",IF(AND(D122&gt;=70,G122&lt;F122),"REQUIRED MATURITY GAP","OK")))</f>
        <v/>
      </c>
      <c r="J122" s="18" t="inlineStr">
        <is>
          <t>Curriculum mapping review</t>
        </is>
      </c>
    </row>
    <row r="123">
      <c r="A123" s="18" t="inlineStr">
        <is>
          <t>CD08</t>
        </is>
      </c>
      <c r="B123" s="18" t="inlineStr">
        <is>
          <t>D03-I05</t>
        </is>
      </c>
      <c r="C123" s="18" t="inlineStr">
        <is>
          <t>D04-I07</t>
        </is>
      </c>
      <c r="D123" s="18">
        <f>'P0-3_Scorecard'!L30</f>
        <v/>
      </c>
      <c r="E123" s="18">
        <f>'P0-3_Scorecard'!L49</f>
        <v/>
      </c>
      <c r="F123" s="18">
        <f>'P0-3_Scorecard'!M49</f>
        <v/>
      </c>
      <c r="G123" s="18">
        <f>'P0-3_Scorecard'!E49</f>
        <v/>
      </c>
      <c r="H123" s="18">
        <f>'P0-3_Scorecard'!H49</f>
        <v/>
      </c>
      <c r="I123" s="18">
        <f>IF(OR(D123="",E123=""),"INCOMPLETE",IF(AND(D123&gt;=70,E123&lt;60),"DEPENDENCY GAP",IF(AND(D123&gt;=70,G123&lt;F123),"REQUIRED MATURITY GAP","OK")))</f>
        <v/>
      </c>
      <c r="J123" s="18" t="inlineStr">
        <is>
          <t>Curriculum mapping review</t>
        </is>
      </c>
    </row>
    <row r="124">
      <c r="A124" s="18" t="inlineStr">
        <is>
          <t>CD08</t>
        </is>
      </c>
      <c r="B124" s="18" t="inlineStr">
        <is>
          <t>D03-I05</t>
        </is>
      </c>
      <c r="C124" s="18" t="inlineStr">
        <is>
          <t>D04-I11</t>
        </is>
      </c>
      <c r="D124" s="18">
        <f>'P0-3_Scorecard'!L30</f>
        <v/>
      </c>
      <c r="E124" s="18">
        <f>'P0-3_Scorecard'!L53</f>
        <v/>
      </c>
      <c r="F124" s="18">
        <f>'P0-3_Scorecard'!M53</f>
        <v/>
      </c>
      <c r="G124" s="18">
        <f>'P0-3_Scorecard'!E53</f>
        <v/>
      </c>
      <c r="H124" s="18">
        <f>'P0-3_Scorecard'!H53</f>
        <v/>
      </c>
      <c r="I124" s="18">
        <f>IF(OR(D124="",E124=""),"INCOMPLETE",IF(AND(D124&gt;=70,E124&lt;60),"DEPENDENCY GAP",IF(AND(D124&gt;=70,G124&lt;F124),"REQUIRED MATURITY GAP","OK")))</f>
        <v/>
      </c>
      <c r="J124" s="18" t="inlineStr">
        <is>
          <t>Curriculum mapping review</t>
        </is>
      </c>
    </row>
    <row r="125">
      <c r="A125" s="18" t="inlineStr">
        <is>
          <t>CD08</t>
        </is>
      </c>
      <c r="B125" s="18" t="inlineStr">
        <is>
          <t>D03-I07</t>
        </is>
      </c>
      <c r="C125" s="18" t="inlineStr">
        <is>
          <t>D04-I02</t>
        </is>
      </c>
      <c r="D125" s="18">
        <f>'P0-3_Scorecard'!L32</f>
        <v/>
      </c>
      <c r="E125" s="18">
        <f>'P0-3_Scorecard'!L44</f>
        <v/>
      </c>
      <c r="F125" s="18">
        <f>'P0-3_Scorecard'!M44</f>
        <v/>
      </c>
      <c r="G125" s="18">
        <f>'P0-3_Scorecard'!E44</f>
        <v/>
      </c>
      <c r="H125" s="18">
        <f>'P0-3_Scorecard'!H44</f>
        <v/>
      </c>
      <c r="I125" s="18">
        <f>IF(OR(D125="",E125=""),"INCOMPLETE",IF(AND(D125&gt;=70,E125&lt;60),"DEPENDENCY GAP",IF(AND(D125&gt;=70,G125&lt;F125),"REQUIRED MATURITY GAP","OK")))</f>
        <v/>
      </c>
      <c r="J125" s="18" t="inlineStr">
        <is>
          <t>Curriculum mapping review</t>
        </is>
      </c>
    </row>
    <row r="126">
      <c r="A126" s="18" t="inlineStr">
        <is>
          <t>CD08</t>
        </is>
      </c>
      <c r="B126" s="18" t="inlineStr">
        <is>
          <t>D03-I07</t>
        </is>
      </c>
      <c r="C126" s="18" t="inlineStr">
        <is>
          <t>D04-I04</t>
        </is>
      </c>
      <c r="D126" s="18">
        <f>'P0-3_Scorecard'!L32</f>
        <v/>
      </c>
      <c r="E126" s="18">
        <f>'P0-3_Scorecard'!L46</f>
        <v/>
      </c>
      <c r="F126" s="18">
        <f>'P0-3_Scorecard'!M46</f>
        <v/>
      </c>
      <c r="G126" s="18">
        <f>'P0-3_Scorecard'!E46</f>
        <v/>
      </c>
      <c r="H126" s="18">
        <f>'P0-3_Scorecard'!H46</f>
        <v/>
      </c>
      <c r="I126" s="18">
        <f>IF(OR(D126="",E126=""),"INCOMPLETE",IF(AND(D126&gt;=70,E126&lt;60),"DEPENDENCY GAP",IF(AND(D126&gt;=70,G126&lt;F126),"REQUIRED MATURITY GAP","OK")))</f>
        <v/>
      </c>
      <c r="J126" s="18" t="inlineStr">
        <is>
          <t>Curriculum mapping review</t>
        </is>
      </c>
    </row>
    <row r="127">
      <c r="A127" s="18" t="inlineStr">
        <is>
          <t>CD08</t>
        </is>
      </c>
      <c r="B127" s="18" t="inlineStr">
        <is>
          <t>D03-I07</t>
        </is>
      </c>
      <c r="C127" s="18" t="inlineStr">
        <is>
          <t>D04-I07</t>
        </is>
      </c>
      <c r="D127" s="18">
        <f>'P0-3_Scorecard'!L32</f>
        <v/>
      </c>
      <c r="E127" s="18">
        <f>'P0-3_Scorecard'!L49</f>
        <v/>
      </c>
      <c r="F127" s="18">
        <f>'P0-3_Scorecard'!M49</f>
        <v/>
      </c>
      <c r="G127" s="18">
        <f>'P0-3_Scorecard'!E49</f>
        <v/>
      </c>
      <c r="H127" s="18">
        <f>'P0-3_Scorecard'!H49</f>
        <v/>
      </c>
      <c r="I127" s="18">
        <f>IF(OR(D127="",E127=""),"INCOMPLETE",IF(AND(D127&gt;=70,E127&lt;60),"DEPENDENCY GAP",IF(AND(D127&gt;=70,G127&lt;F127),"REQUIRED MATURITY GAP","OK")))</f>
        <v/>
      </c>
      <c r="J127" s="18" t="inlineStr">
        <is>
          <t>Curriculum mapping review</t>
        </is>
      </c>
    </row>
    <row r="128">
      <c r="A128" s="18" t="inlineStr">
        <is>
          <t>CD08</t>
        </is>
      </c>
      <c r="B128" s="18" t="inlineStr">
        <is>
          <t>D03-I07</t>
        </is>
      </c>
      <c r="C128" s="18" t="inlineStr">
        <is>
          <t>D04-I11</t>
        </is>
      </c>
      <c r="D128" s="18">
        <f>'P0-3_Scorecard'!L32</f>
        <v/>
      </c>
      <c r="E128" s="18">
        <f>'P0-3_Scorecard'!L53</f>
        <v/>
      </c>
      <c r="F128" s="18">
        <f>'P0-3_Scorecard'!M53</f>
        <v/>
      </c>
      <c r="G128" s="18">
        <f>'P0-3_Scorecard'!E53</f>
        <v/>
      </c>
      <c r="H128" s="18">
        <f>'P0-3_Scorecard'!H53</f>
        <v/>
      </c>
      <c r="I128" s="18">
        <f>IF(OR(D128="",E128=""),"INCOMPLETE",IF(AND(D128&gt;=70,E128&lt;60),"DEPENDENCY GAP",IF(AND(D128&gt;=70,G128&lt;F128),"REQUIRED MATURITY GAP","OK")))</f>
        <v/>
      </c>
      <c r="J128" s="18" t="inlineStr">
        <is>
          <t>Curriculum mapping review</t>
        </is>
      </c>
    </row>
    <row r="129">
      <c r="A129" s="18" t="inlineStr">
        <is>
          <t>CD08</t>
        </is>
      </c>
      <c r="B129" s="18" t="inlineStr">
        <is>
          <t>D03-I16</t>
        </is>
      </c>
      <c r="C129" s="18" t="inlineStr">
        <is>
          <t>D04-I02</t>
        </is>
      </c>
      <c r="D129" s="18">
        <f>'P0-3_Scorecard'!L41</f>
        <v/>
      </c>
      <c r="E129" s="18">
        <f>'P0-3_Scorecard'!L44</f>
        <v/>
      </c>
      <c r="F129" s="18">
        <f>'P0-3_Scorecard'!M44</f>
        <v/>
      </c>
      <c r="G129" s="18">
        <f>'P0-3_Scorecard'!E44</f>
        <v/>
      </c>
      <c r="H129" s="18">
        <f>'P0-3_Scorecard'!H44</f>
        <v/>
      </c>
      <c r="I129" s="18">
        <f>IF(OR(D129="",E129=""),"INCOMPLETE",IF(AND(D129&gt;=70,E129&lt;60),"DEPENDENCY GAP",IF(AND(D129&gt;=70,G129&lt;F129),"REQUIRED MATURITY GAP","OK")))</f>
        <v/>
      </c>
      <c r="J129" s="18" t="inlineStr">
        <is>
          <t>Curriculum mapping review</t>
        </is>
      </c>
    </row>
    <row r="130">
      <c r="A130" s="18" t="inlineStr">
        <is>
          <t>CD08</t>
        </is>
      </c>
      <c r="B130" s="18" t="inlineStr">
        <is>
          <t>D03-I16</t>
        </is>
      </c>
      <c r="C130" s="18" t="inlineStr">
        <is>
          <t>D04-I04</t>
        </is>
      </c>
      <c r="D130" s="18">
        <f>'P0-3_Scorecard'!L41</f>
        <v/>
      </c>
      <c r="E130" s="18">
        <f>'P0-3_Scorecard'!L46</f>
        <v/>
      </c>
      <c r="F130" s="18">
        <f>'P0-3_Scorecard'!M46</f>
        <v/>
      </c>
      <c r="G130" s="18">
        <f>'P0-3_Scorecard'!E46</f>
        <v/>
      </c>
      <c r="H130" s="18">
        <f>'P0-3_Scorecard'!H46</f>
        <v/>
      </c>
      <c r="I130" s="18">
        <f>IF(OR(D130="",E130=""),"INCOMPLETE",IF(AND(D130&gt;=70,E130&lt;60),"DEPENDENCY GAP",IF(AND(D130&gt;=70,G130&lt;F130),"REQUIRED MATURITY GAP","OK")))</f>
        <v/>
      </c>
      <c r="J130" s="18" t="inlineStr">
        <is>
          <t>Curriculum mapping review</t>
        </is>
      </c>
    </row>
    <row r="131">
      <c r="A131" s="18" t="inlineStr">
        <is>
          <t>CD08</t>
        </is>
      </c>
      <c r="B131" s="18" t="inlineStr">
        <is>
          <t>D03-I16</t>
        </is>
      </c>
      <c r="C131" s="18" t="inlineStr">
        <is>
          <t>D04-I07</t>
        </is>
      </c>
      <c r="D131" s="18">
        <f>'P0-3_Scorecard'!L41</f>
        <v/>
      </c>
      <c r="E131" s="18">
        <f>'P0-3_Scorecard'!L49</f>
        <v/>
      </c>
      <c r="F131" s="18">
        <f>'P0-3_Scorecard'!M49</f>
        <v/>
      </c>
      <c r="G131" s="18">
        <f>'P0-3_Scorecard'!E49</f>
        <v/>
      </c>
      <c r="H131" s="18">
        <f>'P0-3_Scorecard'!H49</f>
        <v/>
      </c>
      <c r="I131" s="18">
        <f>IF(OR(D131="",E131=""),"INCOMPLETE",IF(AND(D131&gt;=70,E131&lt;60),"DEPENDENCY GAP",IF(AND(D131&gt;=70,G131&lt;F131),"REQUIRED MATURITY GAP","OK")))</f>
        <v/>
      </c>
      <c r="J131" s="18" t="inlineStr">
        <is>
          <t>Curriculum mapping review</t>
        </is>
      </c>
    </row>
    <row r="132">
      <c r="A132" s="18" t="inlineStr">
        <is>
          <t>CD08</t>
        </is>
      </c>
      <c r="B132" s="18" t="inlineStr">
        <is>
          <t>D03-I16</t>
        </is>
      </c>
      <c r="C132" s="18" t="inlineStr">
        <is>
          <t>D04-I11</t>
        </is>
      </c>
      <c r="D132" s="18">
        <f>'P0-3_Scorecard'!L41</f>
        <v/>
      </c>
      <c r="E132" s="18">
        <f>'P0-3_Scorecard'!L53</f>
        <v/>
      </c>
      <c r="F132" s="18">
        <f>'P0-3_Scorecard'!M53</f>
        <v/>
      </c>
      <c r="G132" s="18">
        <f>'P0-3_Scorecard'!E53</f>
        <v/>
      </c>
      <c r="H132" s="18">
        <f>'P0-3_Scorecard'!H53</f>
        <v/>
      </c>
      <c r="I132" s="18">
        <f>IF(OR(D132="",E132=""),"INCOMPLETE",IF(AND(D132&gt;=70,E132&lt;60),"DEPENDENCY GAP",IF(AND(D132&gt;=70,G132&lt;F132),"REQUIRED MATURITY GAP","OK")))</f>
        <v/>
      </c>
      <c r="J132" s="18" t="inlineStr">
        <is>
          <t>Curriculum mapping review</t>
        </is>
      </c>
    </row>
    <row r="133">
      <c r="A133" s="18" t="inlineStr">
        <is>
          <t>CD08</t>
        </is>
      </c>
      <c r="B133" s="18" t="inlineStr">
        <is>
          <t>D03-I17</t>
        </is>
      </c>
      <c r="C133" s="18" t="inlineStr">
        <is>
          <t>D04-I02</t>
        </is>
      </c>
      <c r="D133" s="18">
        <f>'P0-3_Scorecard'!L42</f>
        <v/>
      </c>
      <c r="E133" s="18">
        <f>'P0-3_Scorecard'!L44</f>
        <v/>
      </c>
      <c r="F133" s="18">
        <f>'P0-3_Scorecard'!M44</f>
        <v/>
      </c>
      <c r="G133" s="18">
        <f>'P0-3_Scorecard'!E44</f>
        <v/>
      </c>
      <c r="H133" s="18">
        <f>'P0-3_Scorecard'!H44</f>
        <v/>
      </c>
      <c r="I133" s="18">
        <f>IF(OR(D133="",E133=""),"INCOMPLETE",IF(AND(D133&gt;=70,E133&lt;60),"DEPENDENCY GAP",IF(AND(D133&gt;=70,G133&lt;F133),"REQUIRED MATURITY GAP","OK")))</f>
        <v/>
      </c>
      <c r="J133" s="18" t="inlineStr">
        <is>
          <t>Curriculum mapping review</t>
        </is>
      </c>
    </row>
    <row r="134">
      <c r="A134" s="18" t="inlineStr">
        <is>
          <t>CD08</t>
        </is>
      </c>
      <c r="B134" s="18" t="inlineStr">
        <is>
          <t>D03-I17</t>
        </is>
      </c>
      <c r="C134" s="18" t="inlineStr">
        <is>
          <t>D04-I04</t>
        </is>
      </c>
      <c r="D134" s="18">
        <f>'P0-3_Scorecard'!L42</f>
        <v/>
      </c>
      <c r="E134" s="18">
        <f>'P0-3_Scorecard'!L46</f>
        <v/>
      </c>
      <c r="F134" s="18">
        <f>'P0-3_Scorecard'!M46</f>
        <v/>
      </c>
      <c r="G134" s="18">
        <f>'P0-3_Scorecard'!E46</f>
        <v/>
      </c>
      <c r="H134" s="18">
        <f>'P0-3_Scorecard'!H46</f>
        <v/>
      </c>
      <c r="I134" s="18">
        <f>IF(OR(D134="",E134=""),"INCOMPLETE",IF(AND(D134&gt;=70,E134&lt;60),"DEPENDENCY GAP",IF(AND(D134&gt;=70,G134&lt;F134),"REQUIRED MATURITY GAP","OK")))</f>
        <v/>
      </c>
      <c r="J134" s="18" t="inlineStr">
        <is>
          <t>Curriculum mapping review</t>
        </is>
      </c>
    </row>
    <row r="135">
      <c r="A135" s="18" t="inlineStr">
        <is>
          <t>CD08</t>
        </is>
      </c>
      <c r="B135" s="18" t="inlineStr">
        <is>
          <t>D03-I17</t>
        </is>
      </c>
      <c r="C135" s="18" t="inlineStr">
        <is>
          <t>D04-I07</t>
        </is>
      </c>
      <c r="D135" s="18">
        <f>'P0-3_Scorecard'!L42</f>
        <v/>
      </c>
      <c r="E135" s="18">
        <f>'P0-3_Scorecard'!L49</f>
        <v/>
      </c>
      <c r="F135" s="18">
        <f>'P0-3_Scorecard'!M49</f>
        <v/>
      </c>
      <c r="G135" s="18">
        <f>'P0-3_Scorecard'!E49</f>
        <v/>
      </c>
      <c r="H135" s="18">
        <f>'P0-3_Scorecard'!H49</f>
        <v/>
      </c>
      <c r="I135" s="18">
        <f>IF(OR(D135="",E135=""),"INCOMPLETE",IF(AND(D135&gt;=70,E135&lt;60),"DEPENDENCY GAP",IF(AND(D135&gt;=70,G135&lt;F135),"REQUIRED MATURITY GAP","OK")))</f>
        <v/>
      </c>
      <c r="J135" s="18" t="inlineStr">
        <is>
          <t>Curriculum mapping review</t>
        </is>
      </c>
    </row>
    <row r="136">
      <c r="A136" s="18" t="inlineStr">
        <is>
          <t>CD08</t>
        </is>
      </c>
      <c r="B136" s="18" t="inlineStr">
        <is>
          <t>D03-I17</t>
        </is>
      </c>
      <c r="C136" s="18" t="inlineStr">
        <is>
          <t>D04-I11</t>
        </is>
      </c>
      <c r="D136" s="18">
        <f>'P0-3_Scorecard'!L42</f>
        <v/>
      </c>
      <c r="E136" s="18">
        <f>'P0-3_Scorecard'!L53</f>
        <v/>
      </c>
      <c r="F136" s="18">
        <f>'P0-3_Scorecard'!M53</f>
        <v/>
      </c>
      <c r="G136" s="18">
        <f>'P0-3_Scorecard'!E53</f>
        <v/>
      </c>
      <c r="H136" s="18">
        <f>'P0-3_Scorecard'!H53</f>
        <v/>
      </c>
      <c r="I136" s="18">
        <f>IF(OR(D136="",E136=""),"INCOMPLETE",IF(AND(D136&gt;=70,E136&lt;60),"DEPENDENCY GAP",IF(AND(D136&gt;=70,G136&lt;F136),"REQUIRED MATURITY GAP","OK")))</f>
        <v/>
      </c>
      <c r="J136" s="18" t="inlineStr">
        <is>
          <t>Curriculum mapping review</t>
        </is>
      </c>
    </row>
    <row r="137">
      <c r="A137" s="18" t="inlineStr">
        <is>
          <t>CD09</t>
        </is>
      </c>
      <c r="B137" s="18" t="inlineStr">
        <is>
          <t>D03-I02</t>
        </is>
      </c>
      <c r="C137" s="18" t="inlineStr">
        <is>
          <t>D06-I02</t>
        </is>
      </c>
      <c r="D137" s="18">
        <f>'P0-3_Scorecard'!L27</f>
        <v/>
      </c>
      <c r="E137" s="18">
        <f>'P0-3_Scorecard'!L68</f>
        <v/>
      </c>
      <c r="F137" s="18">
        <f>'P0-3_Scorecard'!M68</f>
        <v/>
      </c>
      <c r="G137" s="18">
        <f>'P0-3_Scorecard'!E68</f>
        <v/>
      </c>
      <c r="H137" s="18">
        <f>'P0-3_Scorecard'!H68</f>
        <v/>
      </c>
      <c r="I137" s="18">
        <f>IF(OR(D137="",E137=""),"INCOMPLETE",IF(AND(D137&gt;=70,E137&lt;60),"DEPENDENCY GAP",IF(AND(D137&gt;=70,G137&lt;F137),"REQUIRED MATURITY GAP","OK")))</f>
        <v/>
      </c>
      <c r="J137" s="18" t="inlineStr">
        <is>
          <t>Student capability review</t>
        </is>
      </c>
    </row>
    <row r="138">
      <c r="A138" s="18" t="inlineStr">
        <is>
          <t>CD09</t>
        </is>
      </c>
      <c r="B138" s="18" t="inlineStr">
        <is>
          <t>D03-I02</t>
        </is>
      </c>
      <c r="C138" s="18" t="inlineStr">
        <is>
          <t>D06-I03</t>
        </is>
      </c>
      <c r="D138" s="18">
        <f>'P0-3_Scorecard'!L27</f>
        <v/>
      </c>
      <c r="E138" s="18">
        <f>'P0-3_Scorecard'!L69</f>
        <v/>
      </c>
      <c r="F138" s="18">
        <f>'P0-3_Scorecard'!M69</f>
        <v/>
      </c>
      <c r="G138" s="18">
        <f>'P0-3_Scorecard'!E69</f>
        <v/>
      </c>
      <c r="H138" s="18">
        <f>'P0-3_Scorecard'!H69</f>
        <v/>
      </c>
      <c r="I138" s="18">
        <f>IF(OR(D138="",E138=""),"INCOMPLETE",IF(AND(D138&gt;=70,E138&lt;60),"DEPENDENCY GAP",IF(AND(D138&gt;=70,G138&lt;F138),"REQUIRED MATURITY GAP","OK")))</f>
        <v/>
      </c>
      <c r="J138" s="18" t="inlineStr">
        <is>
          <t>Student capability review</t>
        </is>
      </c>
    </row>
    <row r="139">
      <c r="A139" s="18" t="inlineStr">
        <is>
          <t>CD09</t>
        </is>
      </c>
      <c r="B139" s="18" t="inlineStr">
        <is>
          <t>D03-I02</t>
        </is>
      </c>
      <c r="C139" s="18" t="inlineStr">
        <is>
          <t>D06-I04</t>
        </is>
      </c>
      <c r="D139" s="18">
        <f>'P0-3_Scorecard'!L27</f>
        <v/>
      </c>
      <c r="E139" s="18">
        <f>'P0-3_Scorecard'!L70</f>
        <v/>
      </c>
      <c r="F139" s="18">
        <f>'P0-3_Scorecard'!M70</f>
        <v/>
      </c>
      <c r="G139" s="18">
        <f>'P0-3_Scorecard'!E70</f>
        <v/>
      </c>
      <c r="H139" s="18">
        <f>'P0-3_Scorecard'!H70</f>
        <v/>
      </c>
      <c r="I139" s="18">
        <f>IF(OR(D139="",E139=""),"INCOMPLETE",IF(AND(D139&gt;=70,E139&lt;60),"DEPENDENCY GAP",IF(AND(D139&gt;=70,G139&lt;F139),"REQUIRED MATURITY GAP","OK")))</f>
        <v/>
      </c>
      <c r="J139" s="18" t="inlineStr">
        <is>
          <t>Student capability review</t>
        </is>
      </c>
    </row>
    <row r="140">
      <c r="A140" s="18" t="inlineStr">
        <is>
          <t>CD09</t>
        </is>
      </c>
      <c r="B140" s="18" t="inlineStr">
        <is>
          <t>D03-I02</t>
        </is>
      </c>
      <c r="C140" s="18" t="inlineStr">
        <is>
          <t>D06-I10</t>
        </is>
      </c>
      <c r="D140" s="18">
        <f>'P0-3_Scorecard'!L27</f>
        <v/>
      </c>
      <c r="E140" s="18">
        <f>'P0-3_Scorecard'!L76</f>
        <v/>
      </c>
      <c r="F140" s="18">
        <f>'P0-3_Scorecard'!M76</f>
        <v/>
      </c>
      <c r="G140" s="18">
        <f>'P0-3_Scorecard'!E76</f>
        <v/>
      </c>
      <c r="H140" s="18">
        <f>'P0-3_Scorecard'!H76</f>
        <v/>
      </c>
      <c r="I140" s="18">
        <f>IF(OR(D140="",E140=""),"INCOMPLETE",IF(AND(D140&gt;=70,E140&lt;60),"DEPENDENCY GAP",IF(AND(D140&gt;=70,G140&lt;F140),"REQUIRED MATURITY GAP","OK")))</f>
        <v/>
      </c>
      <c r="J140" s="18" t="inlineStr">
        <is>
          <t>Student capability review</t>
        </is>
      </c>
    </row>
    <row r="141">
      <c r="A141" s="18" t="inlineStr">
        <is>
          <t>CD09</t>
        </is>
      </c>
      <c r="B141" s="18" t="inlineStr">
        <is>
          <t>D03-I02</t>
        </is>
      </c>
      <c r="C141" s="18" t="inlineStr">
        <is>
          <t>D06-I14</t>
        </is>
      </c>
      <c r="D141" s="18">
        <f>'P0-3_Scorecard'!L27</f>
        <v/>
      </c>
      <c r="E141" s="18">
        <f>'P0-3_Scorecard'!L80</f>
        <v/>
      </c>
      <c r="F141" s="18">
        <f>'P0-3_Scorecard'!M80</f>
        <v/>
      </c>
      <c r="G141" s="18">
        <f>'P0-3_Scorecard'!E80</f>
        <v/>
      </c>
      <c r="H141" s="18">
        <f>'P0-3_Scorecard'!H80</f>
        <v/>
      </c>
      <c r="I141" s="18">
        <f>IF(OR(D141="",E141=""),"INCOMPLETE",IF(AND(D141&gt;=70,E141&lt;60),"DEPENDENCY GAP",IF(AND(D141&gt;=70,G141&lt;F141),"REQUIRED MATURITY GAP","OK")))</f>
        <v/>
      </c>
      <c r="J141" s="18" t="inlineStr">
        <is>
          <t>Student capability review</t>
        </is>
      </c>
    </row>
    <row r="142">
      <c r="A142" s="18" t="inlineStr">
        <is>
          <t>CD09</t>
        </is>
      </c>
      <c r="B142" s="18" t="inlineStr">
        <is>
          <t>D03-I05</t>
        </is>
      </c>
      <c r="C142" s="18" t="inlineStr">
        <is>
          <t>D06-I02</t>
        </is>
      </c>
      <c r="D142" s="18">
        <f>'P0-3_Scorecard'!L30</f>
        <v/>
      </c>
      <c r="E142" s="18">
        <f>'P0-3_Scorecard'!L68</f>
        <v/>
      </c>
      <c r="F142" s="18">
        <f>'P0-3_Scorecard'!M68</f>
        <v/>
      </c>
      <c r="G142" s="18">
        <f>'P0-3_Scorecard'!E68</f>
        <v/>
      </c>
      <c r="H142" s="18">
        <f>'P0-3_Scorecard'!H68</f>
        <v/>
      </c>
      <c r="I142" s="18">
        <f>IF(OR(D142="",E142=""),"INCOMPLETE",IF(AND(D142&gt;=70,E142&lt;60),"DEPENDENCY GAP",IF(AND(D142&gt;=70,G142&lt;F142),"REQUIRED MATURITY GAP","OK")))</f>
        <v/>
      </c>
      <c r="J142" s="18" t="inlineStr">
        <is>
          <t>Student capability review</t>
        </is>
      </c>
    </row>
    <row r="143">
      <c r="A143" s="18" t="inlineStr">
        <is>
          <t>CD09</t>
        </is>
      </c>
      <c r="B143" s="18" t="inlineStr">
        <is>
          <t>D03-I05</t>
        </is>
      </c>
      <c r="C143" s="18" t="inlineStr">
        <is>
          <t>D06-I03</t>
        </is>
      </c>
      <c r="D143" s="18">
        <f>'P0-3_Scorecard'!L30</f>
        <v/>
      </c>
      <c r="E143" s="18">
        <f>'P0-3_Scorecard'!L69</f>
        <v/>
      </c>
      <c r="F143" s="18">
        <f>'P0-3_Scorecard'!M69</f>
        <v/>
      </c>
      <c r="G143" s="18">
        <f>'P0-3_Scorecard'!E69</f>
        <v/>
      </c>
      <c r="H143" s="18">
        <f>'P0-3_Scorecard'!H69</f>
        <v/>
      </c>
      <c r="I143" s="18">
        <f>IF(OR(D143="",E143=""),"INCOMPLETE",IF(AND(D143&gt;=70,E143&lt;60),"DEPENDENCY GAP",IF(AND(D143&gt;=70,G143&lt;F143),"REQUIRED MATURITY GAP","OK")))</f>
        <v/>
      </c>
      <c r="J143" s="18" t="inlineStr">
        <is>
          <t>Student capability review</t>
        </is>
      </c>
    </row>
    <row r="144">
      <c r="A144" s="18" t="inlineStr">
        <is>
          <t>CD09</t>
        </is>
      </c>
      <c r="B144" s="18" t="inlineStr">
        <is>
          <t>D03-I05</t>
        </is>
      </c>
      <c r="C144" s="18" t="inlineStr">
        <is>
          <t>D06-I04</t>
        </is>
      </c>
      <c r="D144" s="18">
        <f>'P0-3_Scorecard'!L30</f>
        <v/>
      </c>
      <c r="E144" s="18">
        <f>'P0-3_Scorecard'!L70</f>
        <v/>
      </c>
      <c r="F144" s="18">
        <f>'P0-3_Scorecard'!M70</f>
        <v/>
      </c>
      <c r="G144" s="18">
        <f>'P0-3_Scorecard'!E70</f>
        <v/>
      </c>
      <c r="H144" s="18">
        <f>'P0-3_Scorecard'!H70</f>
        <v/>
      </c>
      <c r="I144" s="18">
        <f>IF(OR(D144="",E144=""),"INCOMPLETE",IF(AND(D144&gt;=70,E144&lt;60),"DEPENDENCY GAP",IF(AND(D144&gt;=70,G144&lt;F144),"REQUIRED MATURITY GAP","OK")))</f>
        <v/>
      </c>
      <c r="J144" s="18" t="inlineStr">
        <is>
          <t>Student capability review</t>
        </is>
      </c>
    </row>
    <row r="145">
      <c r="A145" s="18" t="inlineStr">
        <is>
          <t>CD09</t>
        </is>
      </c>
      <c r="B145" s="18" t="inlineStr">
        <is>
          <t>D03-I05</t>
        </is>
      </c>
      <c r="C145" s="18" t="inlineStr">
        <is>
          <t>D06-I10</t>
        </is>
      </c>
      <c r="D145" s="18">
        <f>'P0-3_Scorecard'!L30</f>
        <v/>
      </c>
      <c r="E145" s="18">
        <f>'P0-3_Scorecard'!L76</f>
        <v/>
      </c>
      <c r="F145" s="18">
        <f>'P0-3_Scorecard'!M76</f>
        <v/>
      </c>
      <c r="G145" s="18">
        <f>'P0-3_Scorecard'!E76</f>
        <v/>
      </c>
      <c r="H145" s="18">
        <f>'P0-3_Scorecard'!H76</f>
        <v/>
      </c>
      <c r="I145" s="18">
        <f>IF(OR(D145="",E145=""),"INCOMPLETE",IF(AND(D145&gt;=70,E145&lt;60),"DEPENDENCY GAP",IF(AND(D145&gt;=70,G145&lt;F145),"REQUIRED MATURITY GAP","OK")))</f>
        <v/>
      </c>
      <c r="J145" s="18" t="inlineStr">
        <is>
          <t>Student capability review</t>
        </is>
      </c>
    </row>
    <row r="146">
      <c r="A146" s="18" t="inlineStr">
        <is>
          <t>CD09</t>
        </is>
      </c>
      <c r="B146" s="18" t="inlineStr">
        <is>
          <t>D03-I05</t>
        </is>
      </c>
      <c r="C146" s="18" t="inlineStr">
        <is>
          <t>D06-I14</t>
        </is>
      </c>
      <c r="D146" s="18">
        <f>'P0-3_Scorecard'!L30</f>
        <v/>
      </c>
      <c r="E146" s="18">
        <f>'P0-3_Scorecard'!L80</f>
        <v/>
      </c>
      <c r="F146" s="18">
        <f>'P0-3_Scorecard'!M80</f>
        <v/>
      </c>
      <c r="G146" s="18">
        <f>'P0-3_Scorecard'!E80</f>
        <v/>
      </c>
      <c r="H146" s="18">
        <f>'P0-3_Scorecard'!H80</f>
        <v/>
      </c>
      <c r="I146" s="18">
        <f>IF(OR(D146="",E146=""),"INCOMPLETE",IF(AND(D146&gt;=70,E146&lt;60),"DEPENDENCY GAP",IF(AND(D146&gt;=70,G146&lt;F146),"REQUIRED MATURITY GAP","OK")))</f>
        <v/>
      </c>
      <c r="J146" s="18" t="inlineStr">
        <is>
          <t>Student capability review</t>
        </is>
      </c>
    </row>
    <row r="147">
      <c r="A147" s="18" t="inlineStr">
        <is>
          <t>CD09</t>
        </is>
      </c>
      <c r="B147" s="18" t="inlineStr">
        <is>
          <t>D03-I08</t>
        </is>
      </c>
      <c r="C147" s="18" t="inlineStr">
        <is>
          <t>D06-I02</t>
        </is>
      </c>
      <c r="D147" s="18">
        <f>'P0-3_Scorecard'!L33</f>
        <v/>
      </c>
      <c r="E147" s="18">
        <f>'P0-3_Scorecard'!L68</f>
        <v/>
      </c>
      <c r="F147" s="18">
        <f>'P0-3_Scorecard'!M68</f>
        <v/>
      </c>
      <c r="G147" s="18">
        <f>'P0-3_Scorecard'!E68</f>
        <v/>
      </c>
      <c r="H147" s="18">
        <f>'P0-3_Scorecard'!H68</f>
        <v/>
      </c>
      <c r="I147" s="18">
        <f>IF(OR(D147="",E147=""),"INCOMPLETE",IF(AND(D147&gt;=70,E147&lt;60),"DEPENDENCY GAP",IF(AND(D147&gt;=70,G147&lt;F147),"REQUIRED MATURITY GAP","OK")))</f>
        <v/>
      </c>
      <c r="J147" s="18" t="inlineStr">
        <is>
          <t>Student capability review</t>
        </is>
      </c>
    </row>
    <row r="148">
      <c r="A148" s="18" t="inlineStr">
        <is>
          <t>CD09</t>
        </is>
      </c>
      <c r="B148" s="18" t="inlineStr">
        <is>
          <t>D03-I08</t>
        </is>
      </c>
      <c r="C148" s="18" t="inlineStr">
        <is>
          <t>D06-I03</t>
        </is>
      </c>
      <c r="D148" s="18">
        <f>'P0-3_Scorecard'!L33</f>
        <v/>
      </c>
      <c r="E148" s="18">
        <f>'P0-3_Scorecard'!L69</f>
        <v/>
      </c>
      <c r="F148" s="18">
        <f>'P0-3_Scorecard'!M69</f>
        <v/>
      </c>
      <c r="G148" s="18">
        <f>'P0-3_Scorecard'!E69</f>
        <v/>
      </c>
      <c r="H148" s="18">
        <f>'P0-3_Scorecard'!H69</f>
        <v/>
      </c>
      <c r="I148" s="18">
        <f>IF(OR(D148="",E148=""),"INCOMPLETE",IF(AND(D148&gt;=70,E148&lt;60),"DEPENDENCY GAP",IF(AND(D148&gt;=70,G148&lt;F148),"REQUIRED MATURITY GAP","OK")))</f>
        <v/>
      </c>
      <c r="J148" s="18" t="inlineStr">
        <is>
          <t>Student capability review</t>
        </is>
      </c>
    </row>
    <row r="149">
      <c r="A149" s="18" t="inlineStr">
        <is>
          <t>CD09</t>
        </is>
      </c>
      <c r="B149" s="18" t="inlineStr">
        <is>
          <t>D03-I08</t>
        </is>
      </c>
      <c r="C149" s="18" t="inlineStr">
        <is>
          <t>D06-I04</t>
        </is>
      </c>
      <c r="D149" s="18">
        <f>'P0-3_Scorecard'!L33</f>
        <v/>
      </c>
      <c r="E149" s="18">
        <f>'P0-3_Scorecard'!L70</f>
        <v/>
      </c>
      <c r="F149" s="18">
        <f>'P0-3_Scorecard'!M70</f>
        <v/>
      </c>
      <c r="G149" s="18">
        <f>'P0-3_Scorecard'!E70</f>
        <v/>
      </c>
      <c r="H149" s="18">
        <f>'P0-3_Scorecard'!H70</f>
        <v/>
      </c>
      <c r="I149" s="18">
        <f>IF(OR(D149="",E149=""),"INCOMPLETE",IF(AND(D149&gt;=70,E149&lt;60),"DEPENDENCY GAP",IF(AND(D149&gt;=70,G149&lt;F149),"REQUIRED MATURITY GAP","OK")))</f>
        <v/>
      </c>
      <c r="J149" s="18" t="inlineStr">
        <is>
          <t>Student capability review</t>
        </is>
      </c>
    </row>
    <row r="150">
      <c r="A150" s="18" t="inlineStr">
        <is>
          <t>CD09</t>
        </is>
      </c>
      <c r="B150" s="18" t="inlineStr">
        <is>
          <t>D03-I08</t>
        </is>
      </c>
      <c r="C150" s="18" t="inlineStr">
        <is>
          <t>D06-I10</t>
        </is>
      </c>
      <c r="D150" s="18">
        <f>'P0-3_Scorecard'!L33</f>
        <v/>
      </c>
      <c r="E150" s="18">
        <f>'P0-3_Scorecard'!L76</f>
        <v/>
      </c>
      <c r="F150" s="18">
        <f>'P0-3_Scorecard'!M76</f>
        <v/>
      </c>
      <c r="G150" s="18">
        <f>'P0-3_Scorecard'!E76</f>
        <v/>
      </c>
      <c r="H150" s="18">
        <f>'P0-3_Scorecard'!H76</f>
        <v/>
      </c>
      <c r="I150" s="18">
        <f>IF(OR(D150="",E150=""),"INCOMPLETE",IF(AND(D150&gt;=70,E150&lt;60),"DEPENDENCY GAP",IF(AND(D150&gt;=70,G150&lt;F150),"REQUIRED MATURITY GAP","OK")))</f>
        <v/>
      </c>
      <c r="J150" s="18" t="inlineStr">
        <is>
          <t>Student capability review</t>
        </is>
      </c>
    </row>
    <row r="151">
      <c r="A151" s="18" t="inlineStr">
        <is>
          <t>CD09</t>
        </is>
      </c>
      <c r="B151" s="18" t="inlineStr">
        <is>
          <t>D03-I08</t>
        </is>
      </c>
      <c r="C151" s="18" t="inlineStr">
        <is>
          <t>D06-I14</t>
        </is>
      </c>
      <c r="D151" s="18">
        <f>'P0-3_Scorecard'!L33</f>
        <v/>
      </c>
      <c r="E151" s="18">
        <f>'P0-3_Scorecard'!L80</f>
        <v/>
      </c>
      <c r="F151" s="18">
        <f>'P0-3_Scorecard'!M80</f>
        <v/>
      </c>
      <c r="G151" s="18">
        <f>'P0-3_Scorecard'!E80</f>
        <v/>
      </c>
      <c r="H151" s="18">
        <f>'P0-3_Scorecard'!H80</f>
        <v/>
      </c>
      <c r="I151" s="18">
        <f>IF(OR(D151="",E151=""),"INCOMPLETE",IF(AND(D151&gt;=70,E151&lt;60),"DEPENDENCY GAP",IF(AND(D151&gt;=70,G151&lt;F151),"REQUIRED MATURITY GAP","OK")))</f>
        <v/>
      </c>
      <c r="J151" s="18" t="inlineStr">
        <is>
          <t>Student capability review</t>
        </is>
      </c>
    </row>
    <row r="152">
      <c r="A152" s="18" t="inlineStr">
        <is>
          <t>CD09</t>
        </is>
      </c>
      <c r="B152" s="18" t="inlineStr">
        <is>
          <t>D03-I15</t>
        </is>
      </c>
      <c r="C152" s="18" t="inlineStr">
        <is>
          <t>D06-I02</t>
        </is>
      </c>
      <c r="D152" s="18">
        <f>'P0-3_Scorecard'!L40</f>
        <v/>
      </c>
      <c r="E152" s="18">
        <f>'P0-3_Scorecard'!L68</f>
        <v/>
      </c>
      <c r="F152" s="18">
        <f>'P0-3_Scorecard'!M68</f>
        <v/>
      </c>
      <c r="G152" s="18">
        <f>'P0-3_Scorecard'!E68</f>
        <v/>
      </c>
      <c r="H152" s="18">
        <f>'P0-3_Scorecard'!H68</f>
        <v/>
      </c>
      <c r="I152" s="18">
        <f>IF(OR(D152="",E152=""),"INCOMPLETE",IF(AND(D152&gt;=70,E152&lt;60),"DEPENDENCY GAP",IF(AND(D152&gt;=70,G152&lt;F152),"REQUIRED MATURITY GAP","OK")))</f>
        <v/>
      </c>
      <c r="J152" s="18" t="inlineStr">
        <is>
          <t>Student capability review</t>
        </is>
      </c>
    </row>
    <row r="153">
      <c r="A153" s="18" t="inlineStr">
        <is>
          <t>CD09</t>
        </is>
      </c>
      <c r="B153" s="18" t="inlineStr">
        <is>
          <t>D03-I15</t>
        </is>
      </c>
      <c r="C153" s="18" t="inlineStr">
        <is>
          <t>D06-I03</t>
        </is>
      </c>
      <c r="D153" s="18">
        <f>'P0-3_Scorecard'!L40</f>
        <v/>
      </c>
      <c r="E153" s="18">
        <f>'P0-3_Scorecard'!L69</f>
        <v/>
      </c>
      <c r="F153" s="18">
        <f>'P0-3_Scorecard'!M69</f>
        <v/>
      </c>
      <c r="G153" s="18">
        <f>'P0-3_Scorecard'!E69</f>
        <v/>
      </c>
      <c r="H153" s="18">
        <f>'P0-3_Scorecard'!H69</f>
        <v/>
      </c>
      <c r="I153" s="18">
        <f>IF(OR(D153="",E153=""),"INCOMPLETE",IF(AND(D153&gt;=70,E153&lt;60),"DEPENDENCY GAP",IF(AND(D153&gt;=70,G153&lt;F153),"REQUIRED MATURITY GAP","OK")))</f>
        <v/>
      </c>
      <c r="J153" s="18" t="inlineStr">
        <is>
          <t>Student capability review</t>
        </is>
      </c>
    </row>
    <row r="154">
      <c r="A154" s="18" t="inlineStr">
        <is>
          <t>CD09</t>
        </is>
      </c>
      <c r="B154" s="18" t="inlineStr">
        <is>
          <t>D03-I15</t>
        </is>
      </c>
      <c r="C154" s="18" t="inlineStr">
        <is>
          <t>D06-I04</t>
        </is>
      </c>
      <c r="D154" s="18">
        <f>'P0-3_Scorecard'!L40</f>
        <v/>
      </c>
      <c r="E154" s="18">
        <f>'P0-3_Scorecard'!L70</f>
        <v/>
      </c>
      <c r="F154" s="18">
        <f>'P0-3_Scorecard'!M70</f>
        <v/>
      </c>
      <c r="G154" s="18">
        <f>'P0-3_Scorecard'!E70</f>
        <v/>
      </c>
      <c r="H154" s="18">
        <f>'P0-3_Scorecard'!H70</f>
        <v/>
      </c>
      <c r="I154" s="18">
        <f>IF(OR(D154="",E154=""),"INCOMPLETE",IF(AND(D154&gt;=70,E154&lt;60),"DEPENDENCY GAP",IF(AND(D154&gt;=70,G154&lt;F154),"REQUIRED MATURITY GAP","OK")))</f>
        <v/>
      </c>
      <c r="J154" s="18" t="inlineStr">
        <is>
          <t>Student capability review</t>
        </is>
      </c>
    </row>
    <row r="155">
      <c r="A155" s="18" t="inlineStr">
        <is>
          <t>CD09</t>
        </is>
      </c>
      <c r="B155" s="18" t="inlineStr">
        <is>
          <t>D03-I15</t>
        </is>
      </c>
      <c r="C155" s="18" t="inlineStr">
        <is>
          <t>D06-I10</t>
        </is>
      </c>
      <c r="D155" s="18">
        <f>'P0-3_Scorecard'!L40</f>
        <v/>
      </c>
      <c r="E155" s="18">
        <f>'P0-3_Scorecard'!L76</f>
        <v/>
      </c>
      <c r="F155" s="18">
        <f>'P0-3_Scorecard'!M76</f>
        <v/>
      </c>
      <c r="G155" s="18">
        <f>'P0-3_Scorecard'!E76</f>
        <v/>
      </c>
      <c r="H155" s="18">
        <f>'P0-3_Scorecard'!H76</f>
        <v/>
      </c>
      <c r="I155" s="18">
        <f>IF(OR(D155="",E155=""),"INCOMPLETE",IF(AND(D155&gt;=70,E155&lt;60),"DEPENDENCY GAP",IF(AND(D155&gt;=70,G155&lt;F155),"REQUIRED MATURITY GAP","OK")))</f>
        <v/>
      </c>
      <c r="J155" s="18" t="inlineStr">
        <is>
          <t>Student capability review</t>
        </is>
      </c>
    </row>
    <row r="156">
      <c r="A156" s="18" t="inlineStr">
        <is>
          <t>CD09</t>
        </is>
      </c>
      <c r="B156" s="18" t="inlineStr">
        <is>
          <t>D03-I15</t>
        </is>
      </c>
      <c r="C156" s="18" t="inlineStr">
        <is>
          <t>D06-I14</t>
        </is>
      </c>
      <c r="D156" s="18">
        <f>'P0-3_Scorecard'!L40</f>
        <v/>
      </c>
      <c r="E156" s="18">
        <f>'P0-3_Scorecard'!L80</f>
        <v/>
      </c>
      <c r="F156" s="18">
        <f>'P0-3_Scorecard'!M80</f>
        <v/>
      </c>
      <c r="G156" s="18">
        <f>'P0-3_Scorecard'!E80</f>
        <v/>
      </c>
      <c r="H156" s="18">
        <f>'P0-3_Scorecard'!H80</f>
        <v/>
      </c>
      <c r="I156" s="18">
        <f>IF(OR(D156="",E156=""),"INCOMPLETE",IF(AND(D156&gt;=70,E156&lt;60),"DEPENDENCY GAP",IF(AND(D156&gt;=70,G156&lt;F156),"REQUIRED MATURITY GAP","OK")))</f>
        <v/>
      </c>
      <c r="J156" s="18" t="inlineStr">
        <is>
          <t>Student capability review</t>
        </is>
      </c>
    </row>
    <row r="157">
      <c r="A157" s="18" t="inlineStr">
        <is>
          <t>CD09</t>
        </is>
      </c>
      <c r="B157" s="18" t="inlineStr">
        <is>
          <t>D03-I16</t>
        </is>
      </c>
      <c r="C157" s="18" t="inlineStr">
        <is>
          <t>D06-I02</t>
        </is>
      </c>
      <c r="D157" s="18">
        <f>'P0-3_Scorecard'!L41</f>
        <v/>
      </c>
      <c r="E157" s="18">
        <f>'P0-3_Scorecard'!L68</f>
        <v/>
      </c>
      <c r="F157" s="18">
        <f>'P0-3_Scorecard'!M68</f>
        <v/>
      </c>
      <c r="G157" s="18">
        <f>'P0-3_Scorecard'!E68</f>
        <v/>
      </c>
      <c r="H157" s="18">
        <f>'P0-3_Scorecard'!H68</f>
        <v/>
      </c>
      <c r="I157" s="18">
        <f>IF(OR(D157="",E157=""),"INCOMPLETE",IF(AND(D157&gt;=70,E157&lt;60),"DEPENDENCY GAP",IF(AND(D157&gt;=70,G157&lt;F157),"REQUIRED MATURITY GAP","OK")))</f>
        <v/>
      </c>
      <c r="J157" s="18" t="inlineStr">
        <is>
          <t>Student capability review</t>
        </is>
      </c>
    </row>
    <row r="158">
      <c r="A158" s="18" t="inlineStr">
        <is>
          <t>CD09</t>
        </is>
      </c>
      <c r="B158" s="18" t="inlineStr">
        <is>
          <t>D03-I16</t>
        </is>
      </c>
      <c r="C158" s="18" t="inlineStr">
        <is>
          <t>D06-I03</t>
        </is>
      </c>
      <c r="D158" s="18">
        <f>'P0-3_Scorecard'!L41</f>
        <v/>
      </c>
      <c r="E158" s="18">
        <f>'P0-3_Scorecard'!L69</f>
        <v/>
      </c>
      <c r="F158" s="18">
        <f>'P0-3_Scorecard'!M69</f>
        <v/>
      </c>
      <c r="G158" s="18">
        <f>'P0-3_Scorecard'!E69</f>
        <v/>
      </c>
      <c r="H158" s="18">
        <f>'P0-3_Scorecard'!H69</f>
        <v/>
      </c>
      <c r="I158" s="18">
        <f>IF(OR(D158="",E158=""),"INCOMPLETE",IF(AND(D158&gt;=70,E158&lt;60),"DEPENDENCY GAP",IF(AND(D158&gt;=70,G158&lt;F158),"REQUIRED MATURITY GAP","OK")))</f>
        <v/>
      </c>
      <c r="J158" s="18" t="inlineStr">
        <is>
          <t>Student capability review</t>
        </is>
      </c>
    </row>
    <row r="159">
      <c r="A159" s="18" t="inlineStr">
        <is>
          <t>CD09</t>
        </is>
      </c>
      <c r="B159" s="18" t="inlineStr">
        <is>
          <t>D03-I16</t>
        </is>
      </c>
      <c r="C159" s="18" t="inlineStr">
        <is>
          <t>D06-I04</t>
        </is>
      </c>
      <c r="D159" s="18">
        <f>'P0-3_Scorecard'!L41</f>
        <v/>
      </c>
      <c r="E159" s="18">
        <f>'P0-3_Scorecard'!L70</f>
        <v/>
      </c>
      <c r="F159" s="18">
        <f>'P0-3_Scorecard'!M70</f>
        <v/>
      </c>
      <c r="G159" s="18">
        <f>'P0-3_Scorecard'!E70</f>
        <v/>
      </c>
      <c r="H159" s="18">
        <f>'P0-3_Scorecard'!H70</f>
        <v/>
      </c>
      <c r="I159" s="18">
        <f>IF(OR(D159="",E159=""),"INCOMPLETE",IF(AND(D159&gt;=70,E159&lt;60),"DEPENDENCY GAP",IF(AND(D159&gt;=70,G159&lt;F159),"REQUIRED MATURITY GAP","OK")))</f>
        <v/>
      </c>
      <c r="J159" s="18" t="inlineStr">
        <is>
          <t>Student capability review</t>
        </is>
      </c>
    </row>
    <row r="160">
      <c r="A160" s="18" t="inlineStr">
        <is>
          <t>CD09</t>
        </is>
      </c>
      <c r="B160" s="18" t="inlineStr">
        <is>
          <t>D03-I16</t>
        </is>
      </c>
      <c r="C160" s="18" t="inlineStr">
        <is>
          <t>D06-I10</t>
        </is>
      </c>
      <c r="D160" s="18">
        <f>'P0-3_Scorecard'!L41</f>
        <v/>
      </c>
      <c r="E160" s="18">
        <f>'P0-3_Scorecard'!L76</f>
        <v/>
      </c>
      <c r="F160" s="18">
        <f>'P0-3_Scorecard'!M76</f>
        <v/>
      </c>
      <c r="G160" s="18">
        <f>'P0-3_Scorecard'!E76</f>
        <v/>
      </c>
      <c r="H160" s="18">
        <f>'P0-3_Scorecard'!H76</f>
        <v/>
      </c>
      <c r="I160" s="18">
        <f>IF(OR(D160="",E160=""),"INCOMPLETE",IF(AND(D160&gt;=70,E160&lt;60),"DEPENDENCY GAP",IF(AND(D160&gt;=70,G160&lt;F160),"REQUIRED MATURITY GAP","OK")))</f>
        <v/>
      </c>
      <c r="J160" s="18" t="inlineStr">
        <is>
          <t>Student capability review</t>
        </is>
      </c>
    </row>
    <row r="161">
      <c r="A161" s="18" t="inlineStr">
        <is>
          <t>CD09</t>
        </is>
      </c>
      <c r="B161" s="18" t="inlineStr">
        <is>
          <t>D03-I16</t>
        </is>
      </c>
      <c r="C161" s="18" t="inlineStr">
        <is>
          <t>D06-I14</t>
        </is>
      </c>
      <c r="D161" s="18">
        <f>'P0-3_Scorecard'!L41</f>
        <v/>
      </c>
      <c r="E161" s="18">
        <f>'P0-3_Scorecard'!L80</f>
        <v/>
      </c>
      <c r="F161" s="18">
        <f>'P0-3_Scorecard'!M80</f>
        <v/>
      </c>
      <c r="G161" s="18">
        <f>'P0-3_Scorecard'!E80</f>
        <v/>
      </c>
      <c r="H161" s="18">
        <f>'P0-3_Scorecard'!H80</f>
        <v/>
      </c>
      <c r="I161" s="18">
        <f>IF(OR(D161="",E161=""),"INCOMPLETE",IF(AND(D161&gt;=70,E161&lt;60),"DEPENDENCY GAP",IF(AND(D161&gt;=70,G161&lt;F161),"REQUIRED MATURITY GAP","OK")))</f>
        <v/>
      </c>
      <c r="J161" s="18" t="inlineStr">
        <is>
          <t>Student capability review</t>
        </is>
      </c>
    </row>
    <row r="162">
      <c r="A162" s="18" t="inlineStr">
        <is>
          <t>CD10</t>
        </is>
      </c>
      <c r="B162" s="18" t="inlineStr">
        <is>
          <t>D03-I02</t>
        </is>
      </c>
      <c r="C162" s="18" t="inlineStr">
        <is>
          <t>D07-I02</t>
        </is>
      </c>
      <c r="D162" s="18">
        <f>'P0-3_Scorecard'!L27</f>
        <v/>
      </c>
      <c r="E162" s="18">
        <f>'P0-3_Scorecard'!L82</f>
        <v/>
      </c>
      <c r="F162" s="18">
        <f>'P0-3_Scorecard'!M82</f>
        <v/>
      </c>
      <c r="G162" s="18">
        <f>'P0-3_Scorecard'!E82</f>
        <v/>
      </c>
      <c r="H162" s="18">
        <f>'P0-3_Scorecard'!H82</f>
        <v/>
      </c>
      <c r="I162" s="18">
        <f>IF(OR(D162="",E162=""),"INCOMPLETE",IF(AND(D162&gt;=70,E162&lt;60),"DEPENDENCY GAP",IF(AND(D162&gt;=70,G162&lt;F162),"REQUIRED MATURITY GAP","OK")))</f>
        <v/>
      </c>
      <c r="J162" s="18" t="inlineStr">
        <is>
          <t>Assessment alignment review</t>
        </is>
      </c>
    </row>
    <row r="163">
      <c r="A163" s="18" t="inlineStr">
        <is>
          <t>CD10</t>
        </is>
      </c>
      <c r="B163" s="18" t="inlineStr">
        <is>
          <t>D03-I02</t>
        </is>
      </c>
      <c r="C163" s="18" t="inlineStr">
        <is>
          <t>D07-I03</t>
        </is>
      </c>
      <c r="D163" s="18">
        <f>'P0-3_Scorecard'!L27</f>
        <v/>
      </c>
      <c r="E163" s="18">
        <f>'P0-3_Scorecard'!L83</f>
        <v/>
      </c>
      <c r="F163" s="18">
        <f>'P0-3_Scorecard'!M83</f>
        <v/>
      </c>
      <c r="G163" s="18">
        <f>'P0-3_Scorecard'!E83</f>
        <v/>
      </c>
      <c r="H163" s="18">
        <f>'P0-3_Scorecard'!H83</f>
        <v/>
      </c>
      <c r="I163" s="18">
        <f>IF(OR(D163="",E163=""),"INCOMPLETE",IF(AND(D163&gt;=70,E163&lt;60),"DEPENDENCY GAP",IF(AND(D163&gt;=70,G163&lt;F163),"REQUIRED MATURITY GAP","OK")))</f>
        <v/>
      </c>
      <c r="J163" s="18" t="inlineStr">
        <is>
          <t>Assessment alignment review</t>
        </is>
      </c>
    </row>
    <row r="164">
      <c r="A164" s="18" t="inlineStr">
        <is>
          <t>CD10</t>
        </is>
      </c>
      <c r="B164" s="18" t="inlineStr">
        <is>
          <t>D03-I02</t>
        </is>
      </c>
      <c r="C164" s="18" t="inlineStr">
        <is>
          <t>D07-I05</t>
        </is>
      </c>
      <c r="D164" s="18">
        <f>'P0-3_Scorecard'!L27</f>
        <v/>
      </c>
      <c r="E164" s="18">
        <f>'P0-3_Scorecard'!L85</f>
        <v/>
      </c>
      <c r="F164" s="18">
        <f>'P0-3_Scorecard'!M85</f>
        <v/>
      </c>
      <c r="G164" s="18">
        <f>'P0-3_Scorecard'!E85</f>
        <v/>
      </c>
      <c r="H164" s="18">
        <f>'P0-3_Scorecard'!H85</f>
        <v/>
      </c>
      <c r="I164" s="18">
        <f>IF(OR(D164="",E164=""),"INCOMPLETE",IF(AND(D164&gt;=70,E164&lt;60),"DEPENDENCY GAP",IF(AND(D164&gt;=70,G164&lt;F164),"REQUIRED MATURITY GAP","OK")))</f>
        <v/>
      </c>
      <c r="J164" s="18" t="inlineStr">
        <is>
          <t>Assessment alignment review</t>
        </is>
      </c>
    </row>
    <row r="165">
      <c r="A165" s="18" t="inlineStr">
        <is>
          <t>CD10</t>
        </is>
      </c>
      <c r="B165" s="18" t="inlineStr">
        <is>
          <t>D03-I02</t>
        </is>
      </c>
      <c r="C165" s="18" t="inlineStr">
        <is>
          <t>D07-I07</t>
        </is>
      </c>
      <c r="D165" s="18">
        <f>'P0-3_Scorecard'!L27</f>
        <v/>
      </c>
      <c r="E165" s="18">
        <f>'P0-3_Scorecard'!L87</f>
        <v/>
      </c>
      <c r="F165" s="18">
        <f>'P0-3_Scorecard'!M87</f>
        <v/>
      </c>
      <c r="G165" s="18">
        <f>'P0-3_Scorecard'!E87</f>
        <v/>
      </c>
      <c r="H165" s="18">
        <f>'P0-3_Scorecard'!H87</f>
        <v/>
      </c>
      <c r="I165" s="18">
        <f>IF(OR(D165="",E165=""),"INCOMPLETE",IF(AND(D165&gt;=70,E165&lt;60),"DEPENDENCY GAP",IF(AND(D165&gt;=70,G165&lt;F165),"REQUIRED MATURITY GAP","OK")))</f>
        <v/>
      </c>
      <c r="J165" s="18" t="inlineStr">
        <is>
          <t>Assessment alignment review</t>
        </is>
      </c>
    </row>
    <row r="166">
      <c r="A166" s="18" t="inlineStr">
        <is>
          <t>CD10</t>
        </is>
      </c>
      <c r="B166" s="18" t="inlineStr">
        <is>
          <t>D03-I02</t>
        </is>
      </c>
      <c r="C166" s="18" t="inlineStr">
        <is>
          <t>D07-I08</t>
        </is>
      </c>
      <c r="D166" s="18">
        <f>'P0-3_Scorecard'!L27</f>
        <v/>
      </c>
      <c r="E166" s="18">
        <f>'P0-3_Scorecard'!L88</f>
        <v/>
      </c>
      <c r="F166" s="18">
        <f>'P0-3_Scorecard'!M88</f>
        <v/>
      </c>
      <c r="G166" s="18">
        <f>'P0-3_Scorecard'!E88</f>
        <v/>
      </c>
      <c r="H166" s="18">
        <f>'P0-3_Scorecard'!H88</f>
        <v/>
      </c>
      <c r="I166" s="18">
        <f>IF(OR(D166="",E166=""),"INCOMPLETE",IF(AND(D166&gt;=70,E166&lt;60),"DEPENDENCY GAP",IF(AND(D166&gt;=70,G166&lt;F166),"REQUIRED MATURITY GAP","OK")))</f>
        <v/>
      </c>
      <c r="J166" s="18" t="inlineStr">
        <is>
          <t>Assessment alignment review</t>
        </is>
      </c>
    </row>
    <row r="167">
      <c r="A167" s="18" t="inlineStr">
        <is>
          <t>CD10</t>
        </is>
      </c>
      <c r="B167" s="18" t="inlineStr">
        <is>
          <t>D03-I05</t>
        </is>
      </c>
      <c r="C167" s="18" t="inlineStr">
        <is>
          <t>D07-I02</t>
        </is>
      </c>
      <c r="D167" s="18">
        <f>'P0-3_Scorecard'!L30</f>
        <v/>
      </c>
      <c r="E167" s="18">
        <f>'P0-3_Scorecard'!L82</f>
        <v/>
      </c>
      <c r="F167" s="18">
        <f>'P0-3_Scorecard'!M82</f>
        <v/>
      </c>
      <c r="G167" s="18">
        <f>'P0-3_Scorecard'!E82</f>
        <v/>
      </c>
      <c r="H167" s="18">
        <f>'P0-3_Scorecard'!H82</f>
        <v/>
      </c>
      <c r="I167" s="18">
        <f>IF(OR(D167="",E167=""),"INCOMPLETE",IF(AND(D167&gt;=70,E167&lt;60),"DEPENDENCY GAP",IF(AND(D167&gt;=70,G167&lt;F167),"REQUIRED MATURITY GAP","OK")))</f>
        <v/>
      </c>
      <c r="J167" s="18" t="inlineStr">
        <is>
          <t>Assessment alignment review</t>
        </is>
      </c>
    </row>
    <row r="168">
      <c r="A168" s="18" t="inlineStr">
        <is>
          <t>CD10</t>
        </is>
      </c>
      <c r="B168" s="18" t="inlineStr">
        <is>
          <t>D03-I05</t>
        </is>
      </c>
      <c r="C168" s="18" t="inlineStr">
        <is>
          <t>D07-I03</t>
        </is>
      </c>
      <c r="D168" s="18">
        <f>'P0-3_Scorecard'!L30</f>
        <v/>
      </c>
      <c r="E168" s="18">
        <f>'P0-3_Scorecard'!L83</f>
        <v/>
      </c>
      <c r="F168" s="18">
        <f>'P0-3_Scorecard'!M83</f>
        <v/>
      </c>
      <c r="G168" s="18">
        <f>'P0-3_Scorecard'!E83</f>
        <v/>
      </c>
      <c r="H168" s="18">
        <f>'P0-3_Scorecard'!H83</f>
        <v/>
      </c>
      <c r="I168" s="18">
        <f>IF(OR(D168="",E168=""),"INCOMPLETE",IF(AND(D168&gt;=70,E168&lt;60),"DEPENDENCY GAP",IF(AND(D168&gt;=70,G168&lt;F168),"REQUIRED MATURITY GAP","OK")))</f>
        <v/>
      </c>
      <c r="J168" s="18" t="inlineStr">
        <is>
          <t>Assessment alignment review</t>
        </is>
      </c>
    </row>
    <row r="169">
      <c r="A169" s="18" t="inlineStr">
        <is>
          <t>CD10</t>
        </is>
      </c>
      <c r="B169" s="18" t="inlineStr">
        <is>
          <t>D03-I05</t>
        </is>
      </c>
      <c r="C169" s="18" t="inlineStr">
        <is>
          <t>D07-I05</t>
        </is>
      </c>
      <c r="D169" s="18">
        <f>'P0-3_Scorecard'!L30</f>
        <v/>
      </c>
      <c r="E169" s="18">
        <f>'P0-3_Scorecard'!L85</f>
        <v/>
      </c>
      <c r="F169" s="18">
        <f>'P0-3_Scorecard'!M85</f>
        <v/>
      </c>
      <c r="G169" s="18">
        <f>'P0-3_Scorecard'!E85</f>
        <v/>
      </c>
      <c r="H169" s="18">
        <f>'P0-3_Scorecard'!H85</f>
        <v/>
      </c>
      <c r="I169" s="18">
        <f>IF(OR(D169="",E169=""),"INCOMPLETE",IF(AND(D169&gt;=70,E169&lt;60),"DEPENDENCY GAP",IF(AND(D169&gt;=70,G169&lt;F169),"REQUIRED MATURITY GAP","OK")))</f>
        <v/>
      </c>
      <c r="J169" s="18" t="inlineStr">
        <is>
          <t>Assessment alignment review</t>
        </is>
      </c>
    </row>
    <row r="170">
      <c r="A170" s="18" t="inlineStr">
        <is>
          <t>CD10</t>
        </is>
      </c>
      <c r="B170" s="18" t="inlineStr">
        <is>
          <t>D03-I05</t>
        </is>
      </c>
      <c r="C170" s="18" t="inlineStr">
        <is>
          <t>D07-I07</t>
        </is>
      </c>
      <c r="D170" s="18">
        <f>'P0-3_Scorecard'!L30</f>
        <v/>
      </c>
      <c r="E170" s="18">
        <f>'P0-3_Scorecard'!L87</f>
        <v/>
      </c>
      <c r="F170" s="18">
        <f>'P0-3_Scorecard'!M87</f>
        <v/>
      </c>
      <c r="G170" s="18">
        <f>'P0-3_Scorecard'!E87</f>
        <v/>
      </c>
      <c r="H170" s="18">
        <f>'P0-3_Scorecard'!H87</f>
        <v/>
      </c>
      <c r="I170" s="18">
        <f>IF(OR(D170="",E170=""),"INCOMPLETE",IF(AND(D170&gt;=70,E170&lt;60),"DEPENDENCY GAP",IF(AND(D170&gt;=70,G170&lt;F170),"REQUIRED MATURITY GAP","OK")))</f>
        <v/>
      </c>
      <c r="J170" s="18" t="inlineStr">
        <is>
          <t>Assessment alignment review</t>
        </is>
      </c>
    </row>
    <row r="171">
      <c r="A171" s="18" t="inlineStr">
        <is>
          <t>CD10</t>
        </is>
      </c>
      <c r="B171" s="18" t="inlineStr">
        <is>
          <t>D03-I05</t>
        </is>
      </c>
      <c r="C171" s="18" t="inlineStr">
        <is>
          <t>D07-I08</t>
        </is>
      </c>
      <c r="D171" s="18">
        <f>'P0-3_Scorecard'!L30</f>
        <v/>
      </c>
      <c r="E171" s="18">
        <f>'P0-3_Scorecard'!L88</f>
        <v/>
      </c>
      <c r="F171" s="18">
        <f>'P0-3_Scorecard'!M88</f>
        <v/>
      </c>
      <c r="G171" s="18">
        <f>'P0-3_Scorecard'!E88</f>
        <v/>
      </c>
      <c r="H171" s="18">
        <f>'P0-3_Scorecard'!H88</f>
        <v/>
      </c>
      <c r="I171" s="18">
        <f>IF(OR(D171="",E171=""),"INCOMPLETE",IF(AND(D171&gt;=70,E171&lt;60),"DEPENDENCY GAP",IF(AND(D171&gt;=70,G171&lt;F171),"REQUIRED MATURITY GAP","OK")))</f>
        <v/>
      </c>
      <c r="J171" s="18" t="inlineStr">
        <is>
          <t>Assessment alignment review</t>
        </is>
      </c>
    </row>
    <row r="172">
      <c r="A172" s="18" t="inlineStr">
        <is>
          <t>CD10</t>
        </is>
      </c>
      <c r="B172" s="18" t="inlineStr">
        <is>
          <t>D03-I07</t>
        </is>
      </c>
      <c r="C172" s="18" t="inlineStr">
        <is>
          <t>D07-I02</t>
        </is>
      </c>
      <c r="D172" s="18">
        <f>'P0-3_Scorecard'!L32</f>
        <v/>
      </c>
      <c r="E172" s="18">
        <f>'P0-3_Scorecard'!L82</f>
        <v/>
      </c>
      <c r="F172" s="18">
        <f>'P0-3_Scorecard'!M82</f>
        <v/>
      </c>
      <c r="G172" s="18">
        <f>'P0-3_Scorecard'!E82</f>
        <v/>
      </c>
      <c r="H172" s="18">
        <f>'P0-3_Scorecard'!H82</f>
        <v/>
      </c>
      <c r="I172" s="18">
        <f>IF(OR(D172="",E172=""),"INCOMPLETE",IF(AND(D172&gt;=70,E172&lt;60),"DEPENDENCY GAP",IF(AND(D172&gt;=70,G172&lt;F172),"REQUIRED MATURITY GAP","OK")))</f>
        <v/>
      </c>
      <c r="J172" s="18" t="inlineStr">
        <is>
          <t>Assessment alignment review</t>
        </is>
      </c>
    </row>
    <row r="173">
      <c r="A173" s="18" t="inlineStr">
        <is>
          <t>CD10</t>
        </is>
      </c>
      <c r="B173" s="18" t="inlineStr">
        <is>
          <t>D03-I07</t>
        </is>
      </c>
      <c r="C173" s="18" t="inlineStr">
        <is>
          <t>D07-I03</t>
        </is>
      </c>
      <c r="D173" s="18">
        <f>'P0-3_Scorecard'!L32</f>
        <v/>
      </c>
      <c r="E173" s="18">
        <f>'P0-3_Scorecard'!L83</f>
        <v/>
      </c>
      <c r="F173" s="18">
        <f>'P0-3_Scorecard'!M83</f>
        <v/>
      </c>
      <c r="G173" s="18">
        <f>'P0-3_Scorecard'!E83</f>
        <v/>
      </c>
      <c r="H173" s="18">
        <f>'P0-3_Scorecard'!H83</f>
        <v/>
      </c>
      <c r="I173" s="18">
        <f>IF(OR(D173="",E173=""),"INCOMPLETE",IF(AND(D173&gt;=70,E173&lt;60),"DEPENDENCY GAP",IF(AND(D173&gt;=70,G173&lt;F173),"REQUIRED MATURITY GAP","OK")))</f>
        <v/>
      </c>
      <c r="J173" s="18" t="inlineStr">
        <is>
          <t>Assessment alignment review</t>
        </is>
      </c>
    </row>
    <row r="174">
      <c r="A174" s="18" t="inlineStr">
        <is>
          <t>CD10</t>
        </is>
      </c>
      <c r="B174" s="18" t="inlineStr">
        <is>
          <t>D03-I07</t>
        </is>
      </c>
      <c r="C174" s="18" t="inlineStr">
        <is>
          <t>D07-I05</t>
        </is>
      </c>
      <c r="D174" s="18">
        <f>'P0-3_Scorecard'!L32</f>
        <v/>
      </c>
      <c r="E174" s="18">
        <f>'P0-3_Scorecard'!L85</f>
        <v/>
      </c>
      <c r="F174" s="18">
        <f>'P0-3_Scorecard'!M85</f>
        <v/>
      </c>
      <c r="G174" s="18">
        <f>'P0-3_Scorecard'!E85</f>
        <v/>
      </c>
      <c r="H174" s="18">
        <f>'P0-3_Scorecard'!H85</f>
        <v/>
      </c>
      <c r="I174" s="18">
        <f>IF(OR(D174="",E174=""),"INCOMPLETE",IF(AND(D174&gt;=70,E174&lt;60),"DEPENDENCY GAP",IF(AND(D174&gt;=70,G174&lt;F174),"REQUIRED MATURITY GAP","OK")))</f>
        <v/>
      </c>
      <c r="J174" s="18" t="inlineStr">
        <is>
          <t>Assessment alignment review</t>
        </is>
      </c>
    </row>
    <row r="175">
      <c r="A175" s="18" t="inlineStr">
        <is>
          <t>CD10</t>
        </is>
      </c>
      <c r="B175" s="18" t="inlineStr">
        <is>
          <t>D03-I07</t>
        </is>
      </c>
      <c r="C175" s="18" t="inlineStr">
        <is>
          <t>D07-I07</t>
        </is>
      </c>
      <c r="D175" s="18">
        <f>'P0-3_Scorecard'!L32</f>
        <v/>
      </c>
      <c r="E175" s="18">
        <f>'P0-3_Scorecard'!L87</f>
        <v/>
      </c>
      <c r="F175" s="18">
        <f>'P0-3_Scorecard'!M87</f>
        <v/>
      </c>
      <c r="G175" s="18">
        <f>'P0-3_Scorecard'!E87</f>
        <v/>
      </c>
      <c r="H175" s="18">
        <f>'P0-3_Scorecard'!H87</f>
        <v/>
      </c>
      <c r="I175" s="18">
        <f>IF(OR(D175="",E175=""),"INCOMPLETE",IF(AND(D175&gt;=70,E175&lt;60),"DEPENDENCY GAP",IF(AND(D175&gt;=70,G175&lt;F175),"REQUIRED MATURITY GAP","OK")))</f>
        <v/>
      </c>
      <c r="J175" s="18" t="inlineStr">
        <is>
          <t>Assessment alignment review</t>
        </is>
      </c>
    </row>
    <row r="176">
      <c r="A176" s="18" t="inlineStr">
        <is>
          <t>CD10</t>
        </is>
      </c>
      <c r="B176" s="18" t="inlineStr">
        <is>
          <t>D03-I07</t>
        </is>
      </c>
      <c r="C176" s="18" t="inlineStr">
        <is>
          <t>D07-I08</t>
        </is>
      </c>
      <c r="D176" s="18">
        <f>'P0-3_Scorecard'!L32</f>
        <v/>
      </c>
      <c r="E176" s="18">
        <f>'P0-3_Scorecard'!L88</f>
        <v/>
      </c>
      <c r="F176" s="18">
        <f>'P0-3_Scorecard'!M88</f>
        <v/>
      </c>
      <c r="G176" s="18">
        <f>'P0-3_Scorecard'!E88</f>
        <v/>
      </c>
      <c r="H176" s="18">
        <f>'P0-3_Scorecard'!H88</f>
        <v/>
      </c>
      <c r="I176" s="18">
        <f>IF(OR(D176="",E176=""),"INCOMPLETE",IF(AND(D176&gt;=70,E176&lt;60),"DEPENDENCY GAP",IF(AND(D176&gt;=70,G176&lt;F176),"REQUIRED MATURITY GAP","OK")))</f>
        <v/>
      </c>
      <c r="J176" s="18" t="inlineStr">
        <is>
          <t>Assessment alignment review</t>
        </is>
      </c>
    </row>
    <row r="177">
      <c r="A177" s="18" t="inlineStr">
        <is>
          <t>CD10</t>
        </is>
      </c>
      <c r="B177" s="18" t="inlineStr">
        <is>
          <t>D03-I16</t>
        </is>
      </c>
      <c r="C177" s="18" t="inlineStr">
        <is>
          <t>D07-I02</t>
        </is>
      </c>
      <c r="D177" s="18">
        <f>'P0-3_Scorecard'!L41</f>
        <v/>
      </c>
      <c r="E177" s="18">
        <f>'P0-3_Scorecard'!L82</f>
        <v/>
      </c>
      <c r="F177" s="18">
        <f>'P0-3_Scorecard'!M82</f>
        <v/>
      </c>
      <c r="G177" s="18">
        <f>'P0-3_Scorecard'!E82</f>
        <v/>
      </c>
      <c r="H177" s="18">
        <f>'P0-3_Scorecard'!H82</f>
        <v/>
      </c>
      <c r="I177" s="18">
        <f>IF(OR(D177="",E177=""),"INCOMPLETE",IF(AND(D177&gt;=70,E177&lt;60),"DEPENDENCY GAP",IF(AND(D177&gt;=70,G177&lt;F177),"REQUIRED MATURITY GAP","OK")))</f>
        <v/>
      </c>
      <c r="J177" s="18" t="inlineStr">
        <is>
          <t>Assessment alignment review</t>
        </is>
      </c>
    </row>
    <row r="178">
      <c r="A178" s="18" t="inlineStr">
        <is>
          <t>CD10</t>
        </is>
      </c>
      <c r="B178" s="18" t="inlineStr">
        <is>
          <t>D03-I16</t>
        </is>
      </c>
      <c r="C178" s="18" t="inlineStr">
        <is>
          <t>D07-I03</t>
        </is>
      </c>
      <c r="D178" s="18">
        <f>'P0-3_Scorecard'!L41</f>
        <v/>
      </c>
      <c r="E178" s="18">
        <f>'P0-3_Scorecard'!L83</f>
        <v/>
      </c>
      <c r="F178" s="18">
        <f>'P0-3_Scorecard'!M83</f>
        <v/>
      </c>
      <c r="G178" s="18">
        <f>'P0-3_Scorecard'!E83</f>
        <v/>
      </c>
      <c r="H178" s="18">
        <f>'P0-3_Scorecard'!H83</f>
        <v/>
      </c>
      <c r="I178" s="18">
        <f>IF(OR(D178="",E178=""),"INCOMPLETE",IF(AND(D178&gt;=70,E178&lt;60),"DEPENDENCY GAP",IF(AND(D178&gt;=70,G178&lt;F178),"REQUIRED MATURITY GAP","OK")))</f>
        <v/>
      </c>
      <c r="J178" s="18" t="inlineStr">
        <is>
          <t>Assessment alignment review</t>
        </is>
      </c>
    </row>
    <row r="179">
      <c r="A179" s="18" t="inlineStr">
        <is>
          <t>CD10</t>
        </is>
      </c>
      <c r="B179" s="18" t="inlineStr">
        <is>
          <t>D03-I16</t>
        </is>
      </c>
      <c r="C179" s="18" t="inlineStr">
        <is>
          <t>D07-I05</t>
        </is>
      </c>
      <c r="D179" s="18">
        <f>'P0-3_Scorecard'!L41</f>
        <v/>
      </c>
      <c r="E179" s="18">
        <f>'P0-3_Scorecard'!L85</f>
        <v/>
      </c>
      <c r="F179" s="18">
        <f>'P0-3_Scorecard'!M85</f>
        <v/>
      </c>
      <c r="G179" s="18">
        <f>'P0-3_Scorecard'!E85</f>
        <v/>
      </c>
      <c r="H179" s="18">
        <f>'P0-3_Scorecard'!H85</f>
        <v/>
      </c>
      <c r="I179" s="18">
        <f>IF(OR(D179="",E179=""),"INCOMPLETE",IF(AND(D179&gt;=70,E179&lt;60),"DEPENDENCY GAP",IF(AND(D179&gt;=70,G179&lt;F179),"REQUIRED MATURITY GAP","OK")))</f>
        <v/>
      </c>
      <c r="J179" s="18" t="inlineStr">
        <is>
          <t>Assessment alignment review</t>
        </is>
      </c>
    </row>
    <row r="180">
      <c r="A180" s="18" t="inlineStr">
        <is>
          <t>CD10</t>
        </is>
      </c>
      <c r="B180" s="18" t="inlineStr">
        <is>
          <t>D03-I16</t>
        </is>
      </c>
      <c r="C180" s="18" t="inlineStr">
        <is>
          <t>D07-I07</t>
        </is>
      </c>
      <c r="D180" s="18">
        <f>'P0-3_Scorecard'!L41</f>
        <v/>
      </c>
      <c r="E180" s="18">
        <f>'P0-3_Scorecard'!L87</f>
        <v/>
      </c>
      <c r="F180" s="18">
        <f>'P0-3_Scorecard'!M87</f>
        <v/>
      </c>
      <c r="G180" s="18">
        <f>'P0-3_Scorecard'!E87</f>
        <v/>
      </c>
      <c r="H180" s="18">
        <f>'P0-3_Scorecard'!H87</f>
        <v/>
      </c>
      <c r="I180" s="18">
        <f>IF(OR(D180="",E180=""),"INCOMPLETE",IF(AND(D180&gt;=70,E180&lt;60),"DEPENDENCY GAP",IF(AND(D180&gt;=70,G180&lt;F180),"REQUIRED MATURITY GAP","OK")))</f>
        <v/>
      </c>
      <c r="J180" s="18" t="inlineStr">
        <is>
          <t>Assessment alignment review</t>
        </is>
      </c>
    </row>
    <row r="181">
      <c r="A181" s="18" t="inlineStr">
        <is>
          <t>CD10</t>
        </is>
      </c>
      <c r="B181" s="18" t="inlineStr">
        <is>
          <t>D03-I16</t>
        </is>
      </c>
      <c r="C181" s="18" t="inlineStr">
        <is>
          <t>D07-I08</t>
        </is>
      </c>
      <c r="D181" s="18">
        <f>'P0-3_Scorecard'!L41</f>
        <v/>
      </c>
      <c r="E181" s="18">
        <f>'P0-3_Scorecard'!L88</f>
        <v/>
      </c>
      <c r="F181" s="18">
        <f>'P0-3_Scorecard'!M88</f>
        <v/>
      </c>
      <c r="G181" s="18">
        <f>'P0-3_Scorecard'!E88</f>
        <v/>
      </c>
      <c r="H181" s="18">
        <f>'P0-3_Scorecard'!H88</f>
        <v/>
      </c>
      <c r="I181" s="18">
        <f>IF(OR(D181="",E181=""),"INCOMPLETE",IF(AND(D181&gt;=70,E181&lt;60),"DEPENDENCY GAP",IF(AND(D181&gt;=70,G181&lt;F181),"REQUIRED MATURITY GAP","OK")))</f>
        <v/>
      </c>
      <c r="J181" s="18" t="inlineStr">
        <is>
          <t>Assessment alignment review</t>
        </is>
      </c>
    </row>
    <row r="182">
      <c r="A182" s="18" t="inlineStr">
        <is>
          <t>CD11</t>
        </is>
      </c>
      <c r="B182" s="18" t="inlineStr">
        <is>
          <t>D04-I02</t>
        </is>
      </c>
      <c r="C182" s="18" t="inlineStr">
        <is>
          <t>D07-I01</t>
        </is>
      </c>
      <c r="D182" s="18">
        <f>'P0-3_Scorecard'!L44</f>
        <v/>
      </c>
      <c r="E182" s="18">
        <f>'P0-3_Scorecard'!L81</f>
        <v/>
      </c>
      <c r="F182" s="18">
        <f>'P0-3_Scorecard'!M81</f>
        <v/>
      </c>
      <c r="G182" s="18">
        <f>'P0-3_Scorecard'!E81</f>
        <v/>
      </c>
      <c r="H182" s="18">
        <f>'P0-3_Scorecard'!H81</f>
        <v/>
      </c>
      <c r="I182" s="18">
        <f>IF(OR(D182="",E182=""),"INCOMPLETE",IF(AND(D182&gt;=70,E182&lt;60),"DEPENDENCY GAP",IF(AND(D182&gt;=70,G182&lt;F182),"REQUIRED MATURITY GAP","OK")))</f>
        <v/>
      </c>
      <c r="J182" s="18" t="inlineStr">
        <is>
          <t>Assessment redesign</t>
        </is>
      </c>
    </row>
    <row r="183">
      <c r="A183" s="18" t="inlineStr">
        <is>
          <t>CD11</t>
        </is>
      </c>
      <c r="B183" s="18" t="inlineStr">
        <is>
          <t>D04-I02</t>
        </is>
      </c>
      <c r="C183" s="18" t="inlineStr">
        <is>
          <t>D07-I02</t>
        </is>
      </c>
      <c r="D183" s="18">
        <f>'P0-3_Scorecard'!L44</f>
        <v/>
      </c>
      <c r="E183" s="18">
        <f>'P0-3_Scorecard'!L82</f>
        <v/>
      </c>
      <c r="F183" s="18">
        <f>'P0-3_Scorecard'!M82</f>
        <v/>
      </c>
      <c r="G183" s="18">
        <f>'P0-3_Scorecard'!E82</f>
        <v/>
      </c>
      <c r="H183" s="18">
        <f>'P0-3_Scorecard'!H82</f>
        <v/>
      </c>
      <c r="I183" s="18">
        <f>IF(OR(D183="",E183=""),"INCOMPLETE",IF(AND(D183&gt;=70,E183&lt;60),"DEPENDENCY GAP",IF(AND(D183&gt;=70,G183&lt;F183),"REQUIRED MATURITY GAP","OK")))</f>
        <v/>
      </c>
      <c r="J183" s="18" t="inlineStr">
        <is>
          <t>Assessment redesign</t>
        </is>
      </c>
    </row>
    <row r="184">
      <c r="A184" s="18" t="inlineStr">
        <is>
          <t>CD11</t>
        </is>
      </c>
      <c r="B184" s="18" t="inlineStr">
        <is>
          <t>D04-I02</t>
        </is>
      </c>
      <c r="C184" s="18" t="inlineStr">
        <is>
          <t>D07-I04</t>
        </is>
      </c>
      <c r="D184" s="18">
        <f>'P0-3_Scorecard'!L44</f>
        <v/>
      </c>
      <c r="E184" s="18">
        <f>'P0-3_Scorecard'!L84</f>
        <v/>
      </c>
      <c r="F184" s="18">
        <f>'P0-3_Scorecard'!M84</f>
        <v/>
      </c>
      <c r="G184" s="18">
        <f>'P0-3_Scorecard'!E84</f>
        <v/>
      </c>
      <c r="H184" s="18">
        <f>'P0-3_Scorecard'!H84</f>
        <v/>
      </c>
      <c r="I184" s="18">
        <f>IF(OR(D184="",E184=""),"INCOMPLETE",IF(AND(D184&gt;=70,E184&lt;60),"DEPENDENCY GAP",IF(AND(D184&gt;=70,G184&lt;F184),"REQUIRED MATURITY GAP","OK")))</f>
        <v/>
      </c>
      <c r="J184" s="18" t="inlineStr">
        <is>
          <t>Assessment redesign</t>
        </is>
      </c>
    </row>
    <row r="185">
      <c r="A185" s="18" t="inlineStr">
        <is>
          <t>CD11</t>
        </is>
      </c>
      <c r="B185" s="18" t="inlineStr">
        <is>
          <t>D04-I02</t>
        </is>
      </c>
      <c r="C185" s="18" t="inlineStr">
        <is>
          <t>D07-I07</t>
        </is>
      </c>
      <c r="D185" s="18">
        <f>'P0-3_Scorecard'!L44</f>
        <v/>
      </c>
      <c r="E185" s="18">
        <f>'P0-3_Scorecard'!L87</f>
        <v/>
      </c>
      <c r="F185" s="18">
        <f>'P0-3_Scorecard'!M87</f>
        <v/>
      </c>
      <c r="G185" s="18">
        <f>'P0-3_Scorecard'!E87</f>
        <v/>
      </c>
      <c r="H185" s="18">
        <f>'P0-3_Scorecard'!H87</f>
        <v/>
      </c>
      <c r="I185" s="18">
        <f>IF(OR(D185="",E185=""),"INCOMPLETE",IF(AND(D185&gt;=70,E185&lt;60),"DEPENDENCY GAP",IF(AND(D185&gt;=70,G185&lt;F185),"REQUIRED MATURITY GAP","OK")))</f>
        <v/>
      </c>
      <c r="J185" s="18" t="inlineStr">
        <is>
          <t>Assessment redesign</t>
        </is>
      </c>
    </row>
    <row r="186">
      <c r="A186" s="18" t="inlineStr">
        <is>
          <t>CD11</t>
        </is>
      </c>
      <c r="B186" s="18" t="inlineStr">
        <is>
          <t>D04-I02</t>
        </is>
      </c>
      <c r="C186" s="18" t="inlineStr">
        <is>
          <t>D07-I08</t>
        </is>
      </c>
      <c r="D186" s="18">
        <f>'P0-3_Scorecard'!L44</f>
        <v/>
      </c>
      <c r="E186" s="18">
        <f>'P0-3_Scorecard'!L88</f>
        <v/>
      </c>
      <c r="F186" s="18">
        <f>'P0-3_Scorecard'!M88</f>
        <v/>
      </c>
      <c r="G186" s="18">
        <f>'P0-3_Scorecard'!E88</f>
        <v/>
      </c>
      <c r="H186" s="18">
        <f>'P0-3_Scorecard'!H88</f>
        <v/>
      </c>
      <c r="I186" s="18">
        <f>IF(OR(D186="",E186=""),"INCOMPLETE",IF(AND(D186&gt;=70,E186&lt;60),"DEPENDENCY GAP",IF(AND(D186&gt;=70,G186&lt;F186),"REQUIRED MATURITY GAP","OK")))</f>
        <v/>
      </c>
      <c r="J186" s="18" t="inlineStr">
        <is>
          <t>Assessment redesign</t>
        </is>
      </c>
    </row>
    <row r="187">
      <c r="A187" s="18" t="inlineStr">
        <is>
          <t>CD11</t>
        </is>
      </c>
      <c r="B187" s="18" t="inlineStr">
        <is>
          <t>D04-I04</t>
        </is>
      </c>
      <c r="C187" s="18" t="inlineStr">
        <is>
          <t>D07-I01</t>
        </is>
      </c>
      <c r="D187" s="18">
        <f>'P0-3_Scorecard'!L46</f>
        <v/>
      </c>
      <c r="E187" s="18">
        <f>'P0-3_Scorecard'!L81</f>
        <v/>
      </c>
      <c r="F187" s="18">
        <f>'P0-3_Scorecard'!M81</f>
        <v/>
      </c>
      <c r="G187" s="18">
        <f>'P0-3_Scorecard'!E81</f>
        <v/>
      </c>
      <c r="H187" s="18">
        <f>'P0-3_Scorecard'!H81</f>
        <v/>
      </c>
      <c r="I187" s="18">
        <f>IF(OR(D187="",E187=""),"INCOMPLETE",IF(AND(D187&gt;=70,E187&lt;60),"DEPENDENCY GAP",IF(AND(D187&gt;=70,G187&lt;F187),"REQUIRED MATURITY GAP","OK")))</f>
        <v/>
      </c>
      <c r="J187" s="18" t="inlineStr">
        <is>
          <t>Assessment redesign</t>
        </is>
      </c>
    </row>
    <row r="188">
      <c r="A188" s="18" t="inlineStr">
        <is>
          <t>CD11</t>
        </is>
      </c>
      <c r="B188" s="18" t="inlineStr">
        <is>
          <t>D04-I04</t>
        </is>
      </c>
      <c r="C188" s="18" t="inlineStr">
        <is>
          <t>D07-I02</t>
        </is>
      </c>
      <c r="D188" s="18">
        <f>'P0-3_Scorecard'!L46</f>
        <v/>
      </c>
      <c r="E188" s="18">
        <f>'P0-3_Scorecard'!L82</f>
        <v/>
      </c>
      <c r="F188" s="18">
        <f>'P0-3_Scorecard'!M82</f>
        <v/>
      </c>
      <c r="G188" s="18">
        <f>'P0-3_Scorecard'!E82</f>
        <v/>
      </c>
      <c r="H188" s="18">
        <f>'P0-3_Scorecard'!H82</f>
        <v/>
      </c>
      <c r="I188" s="18">
        <f>IF(OR(D188="",E188=""),"INCOMPLETE",IF(AND(D188&gt;=70,E188&lt;60),"DEPENDENCY GAP",IF(AND(D188&gt;=70,G188&lt;F188),"REQUIRED MATURITY GAP","OK")))</f>
        <v/>
      </c>
      <c r="J188" s="18" t="inlineStr">
        <is>
          <t>Assessment redesign</t>
        </is>
      </c>
    </row>
    <row r="189">
      <c r="A189" s="18" t="inlineStr">
        <is>
          <t>CD11</t>
        </is>
      </c>
      <c r="B189" s="18" t="inlineStr">
        <is>
          <t>D04-I04</t>
        </is>
      </c>
      <c r="C189" s="18" t="inlineStr">
        <is>
          <t>D07-I04</t>
        </is>
      </c>
      <c r="D189" s="18">
        <f>'P0-3_Scorecard'!L46</f>
        <v/>
      </c>
      <c r="E189" s="18">
        <f>'P0-3_Scorecard'!L84</f>
        <v/>
      </c>
      <c r="F189" s="18">
        <f>'P0-3_Scorecard'!M84</f>
        <v/>
      </c>
      <c r="G189" s="18">
        <f>'P0-3_Scorecard'!E84</f>
        <v/>
      </c>
      <c r="H189" s="18">
        <f>'P0-3_Scorecard'!H84</f>
        <v/>
      </c>
      <c r="I189" s="18">
        <f>IF(OR(D189="",E189=""),"INCOMPLETE",IF(AND(D189&gt;=70,E189&lt;60),"DEPENDENCY GAP",IF(AND(D189&gt;=70,G189&lt;F189),"REQUIRED MATURITY GAP","OK")))</f>
        <v/>
      </c>
      <c r="J189" s="18" t="inlineStr">
        <is>
          <t>Assessment redesign</t>
        </is>
      </c>
    </row>
    <row r="190">
      <c r="A190" s="18" t="inlineStr">
        <is>
          <t>CD11</t>
        </is>
      </c>
      <c r="B190" s="18" t="inlineStr">
        <is>
          <t>D04-I04</t>
        </is>
      </c>
      <c r="C190" s="18" t="inlineStr">
        <is>
          <t>D07-I07</t>
        </is>
      </c>
      <c r="D190" s="18">
        <f>'P0-3_Scorecard'!L46</f>
        <v/>
      </c>
      <c r="E190" s="18">
        <f>'P0-3_Scorecard'!L87</f>
        <v/>
      </c>
      <c r="F190" s="18">
        <f>'P0-3_Scorecard'!M87</f>
        <v/>
      </c>
      <c r="G190" s="18">
        <f>'P0-3_Scorecard'!E87</f>
        <v/>
      </c>
      <c r="H190" s="18">
        <f>'P0-3_Scorecard'!H87</f>
        <v/>
      </c>
      <c r="I190" s="18">
        <f>IF(OR(D190="",E190=""),"INCOMPLETE",IF(AND(D190&gt;=70,E190&lt;60),"DEPENDENCY GAP",IF(AND(D190&gt;=70,G190&lt;F190),"REQUIRED MATURITY GAP","OK")))</f>
        <v/>
      </c>
      <c r="J190" s="18" t="inlineStr">
        <is>
          <t>Assessment redesign</t>
        </is>
      </c>
    </row>
    <row r="191">
      <c r="A191" s="18" t="inlineStr">
        <is>
          <t>CD11</t>
        </is>
      </c>
      <c r="B191" s="18" t="inlineStr">
        <is>
          <t>D04-I04</t>
        </is>
      </c>
      <c r="C191" s="18" t="inlineStr">
        <is>
          <t>D07-I08</t>
        </is>
      </c>
      <c r="D191" s="18">
        <f>'P0-3_Scorecard'!L46</f>
        <v/>
      </c>
      <c r="E191" s="18">
        <f>'P0-3_Scorecard'!L88</f>
        <v/>
      </c>
      <c r="F191" s="18">
        <f>'P0-3_Scorecard'!M88</f>
        <v/>
      </c>
      <c r="G191" s="18">
        <f>'P0-3_Scorecard'!E88</f>
        <v/>
      </c>
      <c r="H191" s="18">
        <f>'P0-3_Scorecard'!H88</f>
        <v/>
      </c>
      <c r="I191" s="18">
        <f>IF(OR(D191="",E191=""),"INCOMPLETE",IF(AND(D191&gt;=70,E191&lt;60),"DEPENDENCY GAP",IF(AND(D191&gt;=70,G191&lt;F191),"REQUIRED MATURITY GAP","OK")))</f>
        <v/>
      </c>
      <c r="J191" s="18" t="inlineStr">
        <is>
          <t>Assessment redesign</t>
        </is>
      </c>
    </row>
    <row r="192">
      <c r="A192" s="18" t="inlineStr">
        <is>
          <t>CD11</t>
        </is>
      </c>
      <c r="B192" s="18" t="inlineStr">
        <is>
          <t>D04-I05</t>
        </is>
      </c>
      <c r="C192" s="18" t="inlineStr">
        <is>
          <t>D07-I01</t>
        </is>
      </c>
      <c r="D192" s="18">
        <f>'P0-3_Scorecard'!L47</f>
        <v/>
      </c>
      <c r="E192" s="18">
        <f>'P0-3_Scorecard'!L81</f>
        <v/>
      </c>
      <c r="F192" s="18">
        <f>'P0-3_Scorecard'!M81</f>
        <v/>
      </c>
      <c r="G192" s="18">
        <f>'P0-3_Scorecard'!E81</f>
        <v/>
      </c>
      <c r="H192" s="18">
        <f>'P0-3_Scorecard'!H81</f>
        <v/>
      </c>
      <c r="I192" s="18">
        <f>IF(OR(D192="",E192=""),"INCOMPLETE",IF(AND(D192&gt;=70,E192&lt;60),"DEPENDENCY GAP",IF(AND(D192&gt;=70,G192&lt;F192),"REQUIRED MATURITY GAP","OK")))</f>
        <v/>
      </c>
      <c r="J192" s="18" t="inlineStr">
        <is>
          <t>Assessment redesign</t>
        </is>
      </c>
    </row>
    <row r="193">
      <c r="A193" s="18" t="inlineStr">
        <is>
          <t>CD11</t>
        </is>
      </c>
      <c r="B193" s="18" t="inlineStr">
        <is>
          <t>D04-I05</t>
        </is>
      </c>
      <c r="C193" s="18" t="inlineStr">
        <is>
          <t>D07-I02</t>
        </is>
      </c>
      <c r="D193" s="18">
        <f>'P0-3_Scorecard'!L47</f>
        <v/>
      </c>
      <c r="E193" s="18">
        <f>'P0-3_Scorecard'!L82</f>
        <v/>
      </c>
      <c r="F193" s="18">
        <f>'P0-3_Scorecard'!M82</f>
        <v/>
      </c>
      <c r="G193" s="18">
        <f>'P0-3_Scorecard'!E82</f>
        <v/>
      </c>
      <c r="H193" s="18">
        <f>'P0-3_Scorecard'!H82</f>
        <v/>
      </c>
      <c r="I193" s="18">
        <f>IF(OR(D193="",E193=""),"INCOMPLETE",IF(AND(D193&gt;=70,E193&lt;60),"DEPENDENCY GAP",IF(AND(D193&gt;=70,G193&lt;F193),"REQUIRED MATURITY GAP","OK")))</f>
        <v/>
      </c>
      <c r="J193" s="18" t="inlineStr">
        <is>
          <t>Assessment redesign</t>
        </is>
      </c>
    </row>
    <row r="194">
      <c r="A194" s="18" t="inlineStr">
        <is>
          <t>CD11</t>
        </is>
      </c>
      <c r="B194" s="18" t="inlineStr">
        <is>
          <t>D04-I05</t>
        </is>
      </c>
      <c r="C194" s="18" t="inlineStr">
        <is>
          <t>D07-I04</t>
        </is>
      </c>
      <c r="D194" s="18">
        <f>'P0-3_Scorecard'!L47</f>
        <v/>
      </c>
      <c r="E194" s="18">
        <f>'P0-3_Scorecard'!L84</f>
        <v/>
      </c>
      <c r="F194" s="18">
        <f>'P0-3_Scorecard'!M84</f>
        <v/>
      </c>
      <c r="G194" s="18">
        <f>'P0-3_Scorecard'!E84</f>
        <v/>
      </c>
      <c r="H194" s="18">
        <f>'P0-3_Scorecard'!H84</f>
        <v/>
      </c>
      <c r="I194" s="18">
        <f>IF(OR(D194="",E194=""),"INCOMPLETE",IF(AND(D194&gt;=70,E194&lt;60),"DEPENDENCY GAP",IF(AND(D194&gt;=70,G194&lt;F194),"REQUIRED MATURITY GAP","OK")))</f>
        <v/>
      </c>
      <c r="J194" s="18" t="inlineStr">
        <is>
          <t>Assessment redesign</t>
        </is>
      </c>
    </row>
    <row r="195">
      <c r="A195" s="18" t="inlineStr">
        <is>
          <t>CD11</t>
        </is>
      </c>
      <c r="B195" s="18" t="inlineStr">
        <is>
          <t>D04-I05</t>
        </is>
      </c>
      <c r="C195" s="18" t="inlineStr">
        <is>
          <t>D07-I07</t>
        </is>
      </c>
      <c r="D195" s="18">
        <f>'P0-3_Scorecard'!L47</f>
        <v/>
      </c>
      <c r="E195" s="18">
        <f>'P0-3_Scorecard'!L87</f>
        <v/>
      </c>
      <c r="F195" s="18">
        <f>'P0-3_Scorecard'!M87</f>
        <v/>
      </c>
      <c r="G195" s="18">
        <f>'P0-3_Scorecard'!E87</f>
        <v/>
      </c>
      <c r="H195" s="18">
        <f>'P0-3_Scorecard'!H87</f>
        <v/>
      </c>
      <c r="I195" s="18">
        <f>IF(OR(D195="",E195=""),"INCOMPLETE",IF(AND(D195&gt;=70,E195&lt;60),"DEPENDENCY GAP",IF(AND(D195&gt;=70,G195&lt;F195),"REQUIRED MATURITY GAP","OK")))</f>
        <v/>
      </c>
      <c r="J195" s="18" t="inlineStr">
        <is>
          <t>Assessment redesign</t>
        </is>
      </c>
    </row>
    <row r="196">
      <c r="A196" s="18" t="inlineStr">
        <is>
          <t>CD11</t>
        </is>
      </c>
      <c r="B196" s="18" t="inlineStr">
        <is>
          <t>D04-I05</t>
        </is>
      </c>
      <c r="C196" s="18" t="inlineStr">
        <is>
          <t>D07-I08</t>
        </is>
      </c>
      <c r="D196" s="18">
        <f>'P0-3_Scorecard'!L47</f>
        <v/>
      </c>
      <c r="E196" s="18">
        <f>'P0-3_Scorecard'!L88</f>
        <v/>
      </c>
      <c r="F196" s="18">
        <f>'P0-3_Scorecard'!M88</f>
        <v/>
      </c>
      <c r="G196" s="18">
        <f>'P0-3_Scorecard'!E88</f>
        <v/>
      </c>
      <c r="H196" s="18">
        <f>'P0-3_Scorecard'!H88</f>
        <v/>
      </c>
      <c r="I196" s="18">
        <f>IF(OR(D196="",E196=""),"INCOMPLETE",IF(AND(D196&gt;=70,E196&lt;60),"DEPENDENCY GAP",IF(AND(D196&gt;=70,G196&lt;F196),"REQUIRED MATURITY GAP","OK")))</f>
        <v/>
      </c>
      <c r="J196" s="18" t="inlineStr">
        <is>
          <t>Assessment redesign</t>
        </is>
      </c>
    </row>
    <row r="197">
      <c r="A197" s="18" t="inlineStr">
        <is>
          <t>CD11</t>
        </is>
      </c>
      <c r="B197" s="18" t="inlineStr">
        <is>
          <t>D04-I08</t>
        </is>
      </c>
      <c r="C197" s="18" t="inlineStr">
        <is>
          <t>D07-I01</t>
        </is>
      </c>
      <c r="D197" s="18">
        <f>'P0-3_Scorecard'!L50</f>
        <v/>
      </c>
      <c r="E197" s="18">
        <f>'P0-3_Scorecard'!L81</f>
        <v/>
      </c>
      <c r="F197" s="18">
        <f>'P0-3_Scorecard'!M81</f>
        <v/>
      </c>
      <c r="G197" s="18">
        <f>'P0-3_Scorecard'!E81</f>
        <v/>
      </c>
      <c r="H197" s="18">
        <f>'P0-3_Scorecard'!H81</f>
        <v/>
      </c>
      <c r="I197" s="18">
        <f>IF(OR(D197="",E197=""),"INCOMPLETE",IF(AND(D197&gt;=70,E197&lt;60),"DEPENDENCY GAP",IF(AND(D197&gt;=70,G197&lt;F197),"REQUIRED MATURITY GAP","OK")))</f>
        <v/>
      </c>
      <c r="J197" s="18" t="inlineStr">
        <is>
          <t>Assessment redesign</t>
        </is>
      </c>
    </row>
    <row r="198">
      <c r="A198" s="18" t="inlineStr">
        <is>
          <t>CD11</t>
        </is>
      </c>
      <c r="B198" s="18" t="inlineStr">
        <is>
          <t>D04-I08</t>
        </is>
      </c>
      <c r="C198" s="18" t="inlineStr">
        <is>
          <t>D07-I02</t>
        </is>
      </c>
      <c r="D198" s="18">
        <f>'P0-3_Scorecard'!L50</f>
        <v/>
      </c>
      <c r="E198" s="18">
        <f>'P0-3_Scorecard'!L82</f>
        <v/>
      </c>
      <c r="F198" s="18">
        <f>'P0-3_Scorecard'!M82</f>
        <v/>
      </c>
      <c r="G198" s="18">
        <f>'P0-3_Scorecard'!E82</f>
        <v/>
      </c>
      <c r="H198" s="18">
        <f>'P0-3_Scorecard'!H82</f>
        <v/>
      </c>
      <c r="I198" s="18">
        <f>IF(OR(D198="",E198=""),"INCOMPLETE",IF(AND(D198&gt;=70,E198&lt;60),"DEPENDENCY GAP",IF(AND(D198&gt;=70,G198&lt;F198),"REQUIRED MATURITY GAP","OK")))</f>
        <v/>
      </c>
      <c r="J198" s="18" t="inlineStr">
        <is>
          <t>Assessment redesign</t>
        </is>
      </c>
    </row>
    <row r="199">
      <c r="A199" s="18" t="inlineStr">
        <is>
          <t>CD11</t>
        </is>
      </c>
      <c r="B199" s="18" t="inlineStr">
        <is>
          <t>D04-I08</t>
        </is>
      </c>
      <c r="C199" s="18" t="inlineStr">
        <is>
          <t>D07-I04</t>
        </is>
      </c>
      <c r="D199" s="18">
        <f>'P0-3_Scorecard'!L50</f>
        <v/>
      </c>
      <c r="E199" s="18">
        <f>'P0-3_Scorecard'!L84</f>
        <v/>
      </c>
      <c r="F199" s="18">
        <f>'P0-3_Scorecard'!M84</f>
        <v/>
      </c>
      <c r="G199" s="18">
        <f>'P0-3_Scorecard'!E84</f>
        <v/>
      </c>
      <c r="H199" s="18">
        <f>'P0-3_Scorecard'!H84</f>
        <v/>
      </c>
      <c r="I199" s="18">
        <f>IF(OR(D199="",E199=""),"INCOMPLETE",IF(AND(D199&gt;=70,E199&lt;60),"DEPENDENCY GAP",IF(AND(D199&gt;=70,G199&lt;F199),"REQUIRED MATURITY GAP","OK")))</f>
        <v/>
      </c>
      <c r="J199" s="18" t="inlineStr">
        <is>
          <t>Assessment redesign</t>
        </is>
      </c>
    </row>
    <row r="200">
      <c r="A200" s="18" t="inlineStr">
        <is>
          <t>CD11</t>
        </is>
      </c>
      <c r="B200" s="18" t="inlineStr">
        <is>
          <t>D04-I08</t>
        </is>
      </c>
      <c r="C200" s="18" t="inlineStr">
        <is>
          <t>D07-I07</t>
        </is>
      </c>
      <c r="D200" s="18">
        <f>'P0-3_Scorecard'!L50</f>
        <v/>
      </c>
      <c r="E200" s="18">
        <f>'P0-3_Scorecard'!L87</f>
        <v/>
      </c>
      <c r="F200" s="18">
        <f>'P0-3_Scorecard'!M87</f>
        <v/>
      </c>
      <c r="G200" s="18">
        <f>'P0-3_Scorecard'!E87</f>
        <v/>
      </c>
      <c r="H200" s="18">
        <f>'P0-3_Scorecard'!H87</f>
        <v/>
      </c>
      <c r="I200" s="18">
        <f>IF(OR(D200="",E200=""),"INCOMPLETE",IF(AND(D200&gt;=70,E200&lt;60),"DEPENDENCY GAP",IF(AND(D200&gt;=70,G200&lt;F200),"REQUIRED MATURITY GAP","OK")))</f>
        <v/>
      </c>
      <c r="J200" s="18" t="inlineStr">
        <is>
          <t>Assessment redesign</t>
        </is>
      </c>
    </row>
    <row r="201">
      <c r="A201" s="18" t="inlineStr">
        <is>
          <t>CD11</t>
        </is>
      </c>
      <c r="B201" s="18" t="inlineStr">
        <is>
          <t>D04-I08</t>
        </is>
      </c>
      <c r="C201" s="18" t="inlineStr">
        <is>
          <t>D07-I08</t>
        </is>
      </c>
      <c r="D201" s="18">
        <f>'P0-3_Scorecard'!L50</f>
        <v/>
      </c>
      <c r="E201" s="18">
        <f>'P0-3_Scorecard'!L88</f>
        <v/>
      </c>
      <c r="F201" s="18">
        <f>'P0-3_Scorecard'!M88</f>
        <v/>
      </c>
      <c r="G201" s="18">
        <f>'P0-3_Scorecard'!E88</f>
        <v/>
      </c>
      <c r="H201" s="18">
        <f>'P0-3_Scorecard'!H88</f>
        <v/>
      </c>
      <c r="I201" s="18">
        <f>IF(OR(D201="",E201=""),"INCOMPLETE",IF(AND(D201&gt;=70,E201&lt;60),"DEPENDENCY GAP",IF(AND(D201&gt;=70,G201&lt;F201),"REQUIRED MATURITY GAP","OK")))</f>
        <v/>
      </c>
      <c r="J201" s="18" t="inlineStr">
        <is>
          <t>Assessment redesign</t>
        </is>
      </c>
    </row>
    <row r="202">
      <c r="A202" s="18" t="inlineStr">
        <is>
          <t>CD11</t>
        </is>
      </c>
      <c r="B202" s="18" t="inlineStr">
        <is>
          <t>D04-I12</t>
        </is>
      </c>
      <c r="C202" s="18" t="inlineStr">
        <is>
          <t>D07-I01</t>
        </is>
      </c>
      <c r="D202" s="18">
        <f>'P0-3_Scorecard'!L54</f>
        <v/>
      </c>
      <c r="E202" s="18">
        <f>'P0-3_Scorecard'!L81</f>
        <v/>
      </c>
      <c r="F202" s="18">
        <f>'P0-3_Scorecard'!M81</f>
        <v/>
      </c>
      <c r="G202" s="18">
        <f>'P0-3_Scorecard'!E81</f>
        <v/>
      </c>
      <c r="H202" s="18">
        <f>'P0-3_Scorecard'!H81</f>
        <v/>
      </c>
      <c r="I202" s="18">
        <f>IF(OR(D202="",E202=""),"INCOMPLETE",IF(AND(D202&gt;=70,E202&lt;60),"DEPENDENCY GAP",IF(AND(D202&gt;=70,G202&lt;F202),"REQUIRED MATURITY GAP","OK")))</f>
        <v/>
      </c>
      <c r="J202" s="18" t="inlineStr">
        <is>
          <t>Assessment redesign</t>
        </is>
      </c>
    </row>
    <row r="203">
      <c r="A203" s="18" t="inlineStr">
        <is>
          <t>CD11</t>
        </is>
      </c>
      <c r="B203" s="18" t="inlineStr">
        <is>
          <t>D04-I12</t>
        </is>
      </c>
      <c r="C203" s="18" t="inlineStr">
        <is>
          <t>D07-I02</t>
        </is>
      </c>
      <c r="D203" s="18">
        <f>'P0-3_Scorecard'!L54</f>
        <v/>
      </c>
      <c r="E203" s="18">
        <f>'P0-3_Scorecard'!L82</f>
        <v/>
      </c>
      <c r="F203" s="18">
        <f>'P0-3_Scorecard'!M82</f>
        <v/>
      </c>
      <c r="G203" s="18">
        <f>'P0-3_Scorecard'!E82</f>
        <v/>
      </c>
      <c r="H203" s="18">
        <f>'P0-3_Scorecard'!H82</f>
        <v/>
      </c>
      <c r="I203" s="18">
        <f>IF(OR(D203="",E203=""),"INCOMPLETE",IF(AND(D203&gt;=70,E203&lt;60),"DEPENDENCY GAP",IF(AND(D203&gt;=70,G203&lt;F203),"REQUIRED MATURITY GAP","OK")))</f>
        <v/>
      </c>
      <c r="J203" s="18" t="inlineStr">
        <is>
          <t>Assessment redesign</t>
        </is>
      </c>
    </row>
    <row r="204">
      <c r="A204" s="18" t="inlineStr">
        <is>
          <t>CD11</t>
        </is>
      </c>
      <c r="B204" s="18" t="inlineStr">
        <is>
          <t>D04-I12</t>
        </is>
      </c>
      <c r="C204" s="18" t="inlineStr">
        <is>
          <t>D07-I04</t>
        </is>
      </c>
      <c r="D204" s="18">
        <f>'P0-3_Scorecard'!L54</f>
        <v/>
      </c>
      <c r="E204" s="18">
        <f>'P0-3_Scorecard'!L84</f>
        <v/>
      </c>
      <c r="F204" s="18">
        <f>'P0-3_Scorecard'!M84</f>
        <v/>
      </c>
      <c r="G204" s="18">
        <f>'P0-3_Scorecard'!E84</f>
        <v/>
      </c>
      <c r="H204" s="18">
        <f>'P0-3_Scorecard'!H84</f>
        <v/>
      </c>
      <c r="I204" s="18">
        <f>IF(OR(D204="",E204=""),"INCOMPLETE",IF(AND(D204&gt;=70,E204&lt;60),"DEPENDENCY GAP",IF(AND(D204&gt;=70,G204&lt;F204),"REQUIRED MATURITY GAP","OK")))</f>
        <v/>
      </c>
      <c r="J204" s="18" t="inlineStr">
        <is>
          <t>Assessment redesign</t>
        </is>
      </c>
    </row>
    <row r="205">
      <c r="A205" s="18" t="inlineStr">
        <is>
          <t>CD11</t>
        </is>
      </c>
      <c r="B205" s="18" t="inlineStr">
        <is>
          <t>D04-I12</t>
        </is>
      </c>
      <c r="C205" s="18" t="inlineStr">
        <is>
          <t>D07-I07</t>
        </is>
      </c>
      <c r="D205" s="18">
        <f>'P0-3_Scorecard'!L54</f>
        <v/>
      </c>
      <c r="E205" s="18">
        <f>'P0-3_Scorecard'!L87</f>
        <v/>
      </c>
      <c r="F205" s="18">
        <f>'P0-3_Scorecard'!M87</f>
        <v/>
      </c>
      <c r="G205" s="18">
        <f>'P0-3_Scorecard'!E87</f>
        <v/>
      </c>
      <c r="H205" s="18">
        <f>'P0-3_Scorecard'!H87</f>
        <v/>
      </c>
      <c r="I205" s="18">
        <f>IF(OR(D205="",E205=""),"INCOMPLETE",IF(AND(D205&gt;=70,E205&lt;60),"DEPENDENCY GAP",IF(AND(D205&gt;=70,G205&lt;F205),"REQUIRED MATURITY GAP","OK")))</f>
        <v/>
      </c>
      <c r="J205" s="18" t="inlineStr">
        <is>
          <t>Assessment redesign</t>
        </is>
      </c>
    </row>
    <row r="206">
      <c r="A206" s="18" t="inlineStr">
        <is>
          <t>CD11</t>
        </is>
      </c>
      <c r="B206" s="18" t="inlineStr">
        <is>
          <t>D04-I12</t>
        </is>
      </c>
      <c r="C206" s="18" t="inlineStr">
        <is>
          <t>D07-I08</t>
        </is>
      </c>
      <c r="D206" s="18">
        <f>'P0-3_Scorecard'!L54</f>
        <v/>
      </c>
      <c r="E206" s="18">
        <f>'P0-3_Scorecard'!L88</f>
        <v/>
      </c>
      <c r="F206" s="18">
        <f>'P0-3_Scorecard'!M88</f>
        <v/>
      </c>
      <c r="G206" s="18">
        <f>'P0-3_Scorecard'!E88</f>
        <v/>
      </c>
      <c r="H206" s="18">
        <f>'P0-3_Scorecard'!H88</f>
        <v/>
      </c>
      <c r="I206" s="18">
        <f>IF(OR(D206="",E206=""),"INCOMPLETE",IF(AND(D206&gt;=70,E206&lt;60),"DEPENDENCY GAP",IF(AND(D206&gt;=70,G206&lt;F206),"REQUIRED MATURITY GAP","OK")))</f>
        <v/>
      </c>
      <c r="J206" s="18" t="inlineStr">
        <is>
          <t>Assessment redesign</t>
        </is>
      </c>
    </row>
    <row r="207">
      <c r="A207" s="18" t="inlineStr">
        <is>
          <t>CD12</t>
        </is>
      </c>
      <c r="B207" s="18" t="inlineStr">
        <is>
          <t>D05-I03</t>
        </is>
      </c>
      <c r="C207" s="18" t="inlineStr">
        <is>
          <t>D07-I01</t>
        </is>
      </c>
      <c r="D207" s="18">
        <f>'P0-3_Scorecard'!L57</f>
        <v/>
      </c>
      <c r="E207" s="18">
        <f>'P0-3_Scorecard'!L81</f>
        <v/>
      </c>
      <c r="F207" s="18">
        <f>'P0-3_Scorecard'!M81</f>
        <v/>
      </c>
      <c r="G207" s="18">
        <f>'P0-3_Scorecard'!E81</f>
        <v/>
      </c>
      <c r="H207" s="18">
        <f>'P0-3_Scorecard'!H81</f>
        <v/>
      </c>
      <c r="I207" s="18">
        <f>IF(OR(D207="",E207=""),"INCOMPLETE",IF(AND(D207&gt;=70,E207&lt;60),"DEPENDENCY GAP",IF(AND(D207&gt;=70,G207&lt;F207),"REQUIRED MATURITY GAP","OK")))</f>
        <v/>
      </c>
      <c r="J207" s="18" t="inlineStr">
        <is>
          <t>Faculty practice review</t>
        </is>
      </c>
    </row>
    <row r="208">
      <c r="A208" s="18" t="inlineStr">
        <is>
          <t>CD12</t>
        </is>
      </c>
      <c r="B208" s="18" t="inlineStr">
        <is>
          <t>D05-I03</t>
        </is>
      </c>
      <c r="C208" s="18" t="inlineStr">
        <is>
          <t>D07-I04</t>
        </is>
      </c>
      <c r="D208" s="18">
        <f>'P0-3_Scorecard'!L57</f>
        <v/>
      </c>
      <c r="E208" s="18">
        <f>'P0-3_Scorecard'!L84</f>
        <v/>
      </c>
      <c r="F208" s="18">
        <f>'P0-3_Scorecard'!M84</f>
        <v/>
      </c>
      <c r="G208" s="18">
        <f>'P0-3_Scorecard'!E84</f>
        <v/>
      </c>
      <c r="H208" s="18">
        <f>'P0-3_Scorecard'!H84</f>
        <v/>
      </c>
      <c r="I208" s="18">
        <f>IF(OR(D208="",E208=""),"INCOMPLETE",IF(AND(D208&gt;=70,E208&lt;60),"DEPENDENCY GAP",IF(AND(D208&gt;=70,G208&lt;F208),"REQUIRED MATURITY GAP","OK")))</f>
        <v/>
      </c>
      <c r="J208" s="18" t="inlineStr">
        <is>
          <t>Faculty practice review</t>
        </is>
      </c>
    </row>
    <row r="209">
      <c r="A209" s="18" t="inlineStr">
        <is>
          <t>CD12</t>
        </is>
      </c>
      <c r="B209" s="18" t="inlineStr">
        <is>
          <t>D05-I03</t>
        </is>
      </c>
      <c r="C209" s="18" t="inlineStr">
        <is>
          <t>D07-I05</t>
        </is>
      </c>
      <c r="D209" s="18">
        <f>'P0-3_Scorecard'!L57</f>
        <v/>
      </c>
      <c r="E209" s="18">
        <f>'P0-3_Scorecard'!L85</f>
        <v/>
      </c>
      <c r="F209" s="18">
        <f>'P0-3_Scorecard'!M85</f>
        <v/>
      </c>
      <c r="G209" s="18">
        <f>'P0-3_Scorecard'!E85</f>
        <v/>
      </c>
      <c r="H209" s="18">
        <f>'P0-3_Scorecard'!H85</f>
        <v/>
      </c>
      <c r="I209" s="18">
        <f>IF(OR(D209="",E209=""),"INCOMPLETE",IF(AND(D209&gt;=70,E209&lt;60),"DEPENDENCY GAP",IF(AND(D209&gt;=70,G209&lt;F209),"REQUIRED MATURITY GAP","OK")))</f>
        <v/>
      </c>
      <c r="J209" s="18" t="inlineStr">
        <is>
          <t>Faculty practice review</t>
        </is>
      </c>
    </row>
    <row r="210">
      <c r="A210" s="18" t="inlineStr">
        <is>
          <t>CD12</t>
        </is>
      </c>
      <c r="B210" s="18" t="inlineStr">
        <is>
          <t>D05-I03</t>
        </is>
      </c>
      <c r="C210" s="18" t="inlineStr">
        <is>
          <t>D07-I11</t>
        </is>
      </c>
      <c r="D210" s="18">
        <f>'P0-3_Scorecard'!L57</f>
        <v/>
      </c>
      <c r="E210" s="18">
        <f>'P0-3_Scorecard'!L91</f>
        <v/>
      </c>
      <c r="F210" s="18">
        <f>'P0-3_Scorecard'!M91</f>
        <v/>
      </c>
      <c r="G210" s="18">
        <f>'P0-3_Scorecard'!E91</f>
        <v/>
      </c>
      <c r="H210" s="18">
        <f>'P0-3_Scorecard'!H91</f>
        <v/>
      </c>
      <c r="I210" s="18">
        <f>IF(OR(D210="",E210=""),"INCOMPLETE",IF(AND(D210&gt;=70,E210&lt;60),"DEPENDENCY GAP",IF(AND(D210&gt;=70,G210&lt;F210),"REQUIRED MATURITY GAP","OK")))</f>
        <v/>
      </c>
      <c r="J210" s="18" t="inlineStr">
        <is>
          <t>Faculty practice review</t>
        </is>
      </c>
    </row>
    <row r="211">
      <c r="A211" s="18" t="inlineStr">
        <is>
          <t>CD12</t>
        </is>
      </c>
      <c r="B211" s="18" t="inlineStr">
        <is>
          <t>D05-I04</t>
        </is>
      </c>
      <c r="C211" s="18" t="inlineStr">
        <is>
          <t>D07-I01</t>
        </is>
      </c>
      <c r="D211" s="18">
        <f>'P0-3_Scorecard'!L58</f>
        <v/>
      </c>
      <c r="E211" s="18">
        <f>'P0-3_Scorecard'!L81</f>
        <v/>
      </c>
      <c r="F211" s="18">
        <f>'P0-3_Scorecard'!M81</f>
        <v/>
      </c>
      <c r="G211" s="18">
        <f>'P0-3_Scorecard'!E81</f>
        <v/>
      </c>
      <c r="H211" s="18">
        <f>'P0-3_Scorecard'!H81</f>
        <v/>
      </c>
      <c r="I211" s="18">
        <f>IF(OR(D211="",E211=""),"INCOMPLETE",IF(AND(D211&gt;=70,E211&lt;60),"DEPENDENCY GAP",IF(AND(D211&gt;=70,G211&lt;F211),"REQUIRED MATURITY GAP","OK")))</f>
        <v/>
      </c>
      <c r="J211" s="18" t="inlineStr">
        <is>
          <t>Faculty practice review</t>
        </is>
      </c>
    </row>
    <row r="212">
      <c r="A212" s="18" t="inlineStr">
        <is>
          <t>CD12</t>
        </is>
      </c>
      <c r="B212" s="18" t="inlineStr">
        <is>
          <t>D05-I04</t>
        </is>
      </c>
      <c r="C212" s="18" t="inlineStr">
        <is>
          <t>D07-I04</t>
        </is>
      </c>
      <c r="D212" s="18">
        <f>'P0-3_Scorecard'!L58</f>
        <v/>
      </c>
      <c r="E212" s="18">
        <f>'P0-3_Scorecard'!L84</f>
        <v/>
      </c>
      <c r="F212" s="18">
        <f>'P0-3_Scorecard'!M84</f>
        <v/>
      </c>
      <c r="G212" s="18">
        <f>'P0-3_Scorecard'!E84</f>
        <v/>
      </c>
      <c r="H212" s="18">
        <f>'P0-3_Scorecard'!H84</f>
        <v/>
      </c>
      <c r="I212" s="18">
        <f>IF(OR(D212="",E212=""),"INCOMPLETE",IF(AND(D212&gt;=70,E212&lt;60),"DEPENDENCY GAP",IF(AND(D212&gt;=70,G212&lt;F212),"REQUIRED MATURITY GAP","OK")))</f>
        <v/>
      </c>
      <c r="J212" s="18" t="inlineStr">
        <is>
          <t>Faculty practice review</t>
        </is>
      </c>
    </row>
    <row r="213">
      <c r="A213" s="18" t="inlineStr">
        <is>
          <t>CD12</t>
        </is>
      </c>
      <c r="B213" s="18" t="inlineStr">
        <is>
          <t>D05-I04</t>
        </is>
      </c>
      <c r="C213" s="18" t="inlineStr">
        <is>
          <t>D07-I05</t>
        </is>
      </c>
      <c r="D213" s="18">
        <f>'P0-3_Scorecard'!L58</f>
        <v/>
      </c>
      <c r="E213" s="18">
        <f>'P0-3_Scorecard'!L85</f>
        <v/>
      </c>
      <c r="F213" s="18">
        <f>'P0-3_Scorecard'!M85</f>
        <v/>
      </c>
      <c r="G213" s="18">
        <f>'P0-3_Scorecard'!E85</f>
        <v/>
      </c>
      <c r="H213" s="18">
        <f>'P0-3_Scorecard'!H85</f>
        <v/>
      </c>
      <c r="I213" s="18">
        <f>IF(OR(D213="",E213=""),"INCOMPLETE",IF(AND(D213&gt;=70,E213&lt;60),"DEPENDENCY GAP",IF(AND(D213&gt;=70,G213&lt;F213),"REQUIRED MATURITY GAP","OK")))</f>
        <v/>
      </c>
      <c r="J213" s="18" t="inlineStr">
        <is>
          <t>Faculty practice review</t>
        </is>
      </c>
    </row>
    <row r="214">
      <c r="A214" s="18" t="inlineStr">
        <is>
          <t>CD12</t>
        </is>
      </c>
      <c r="B214" s="18" t="inlineStr">
        <is>
          <t>D05-I04</t>
        </is>
      </c>
      <c r="C214" s="18" t="inlineStr">
        <is>
          <t>D07-I11</t>
        </is>
      </c>
      <c r="D214" s="18">
        <f>'P0-3_Scorecard'!L58</f>
        <v/>
      </c>
      <c r="E214" s="18">
        <f>'P0-3_Scorecard'!L91</f>
        <v/>
      </c>
      <c r="F214" s="18">
        <f>'P0-3_Scorecard'!M91</f>
        <v/>
      </c>
      <c r="G214" s="18">
        <f>'P0-3_Scorecard'!E91</f>
        <v/>
      </c>
      <c r="H214" s="18">
        <f>'P0-3_Scorecard'!H91</f>
        <v/>
      </c>
      <c r="I214" s="18">
        <f>IF(OR(D214="",E214=""),"INCOMPLETE",IF(AND(D214&gt;=70,E214&lt;60),"DEPENDENCY GAP",IF(AND(D214&gt;=70,G214&lt;F214),"REQUIRED MATURITY GAP","OK")))</f>
        <v/>
      </c>
      <c r="J214" s="18" t="inlineStr">
        <is>
          <t>Faculty practice review</t>
        </is>
      </c>
    </row>
    <row r="215">
      <c r="A215" s="18" t="inlineStr">
        <is>
          <t>CD12</t>
        </is>
      </c>
      <c r="B215" s="18" t="inlineStr">
        <is>
          <t>D05-I05</t>
        </is>
      </c>
      <c r="C215" s="18" t="inlineStr">
        <is>
          <t>D07-I01</t>
        </is>
      </c>
      <c r="D215" s="18">
        <f>'P0-3_Scorecard'!L59</f>
        <v/>
      </c>
      <c r="E215" s="18">
        <f>'P0-3_Scorecard'!L81</f>
        <v/>
      </c>
      <c r="F215" s="18">
        <f>'P0-3_Scorecard'!M81</f>
        <v/>
      </c>
      <c r="G215" s="18">
        <f>'P0-3_Scorecard'!E81</f>
        <v/>
      </c>
      <c r="H215" s="18">
        <f>'P0-3_Scorecard'!H81</f>
        <v/>
      </c>
      <c r="I215" s="18">
        <f>IF(OR(D215="",E215=""),"INCOMPLETE",IF(AND(D215&gt;=70,E215&lt;60),"DEPENDENCY GAP",IF(AND(D215&gt;=70,G215&lt;F215),"REQUIRED MATURITY GAP","OK")))</f>
        <v/>
      </c>
      <c r="J215" s="18" t="inlineStr">
        <is>
          <t>Faculty practice review</t>
        </is>
      </c>
    </row>
    <row r="216">
      <c r="A216" s="18" t="inlineStr">
        <is>
          <t>CD12</t>
        </is>
      </c>
      <c r="B216" s="18" t="inlineStr">
        <is>
          <t>D05-I05</t>
        </is>
      </c>
      <c r="C216" s="18" t="inlineStr">
        <is>
          <t>D07-I04</t>
        </is>
      </c>
      <c r="D216" s="18">
        <f>'P0-3_Scorecard'!L59</f>
        <v/>
      </c>
      <c r="E216" s="18">
        <f>'P0-3_Scorecard'!L84</f>
        <v/>
      </c>
      <c r="F216" s="18">
        <f>'P0-3_Scorecard'!M84</f>
        <v/>
      </c>
      <c r="G216" s="18">
        <f>'P0-3_Scorecard'!E84</f>
        <v/>
      </c>
      <c r="H216" s="18">
        <f>'P0-3_Scorecard'!H84</f>
        <v/>
      </c>
      <c r="I216" s="18">
        <f>IF(OR(D216="",E216=""),"INCOMPLETE",IF(AND(D216&gt;=70,E216&lt;60),"DEPENDENCY GAP",IF(AND(D216&gt;=70,G216&lt;F216),"REQUIRED MATURITY GAP","OK")))</f>
        <v/>
      </c>
      <c r="J216" s="18" t="inlineStr">
        <is>
          <t>Faculty practice review</t>
        </is>
      </c>
    </row>
    <row r="217">
      <c r="A217" s="18" t="inlineStr">
        <is>
          <t>CD12</t>
        </is>
      </c>
      <c r="B217" s="18" t="inlineStr">
        <is>
          <t>D05-I05</t>
        </is>
      </c>
      <c r="C217" s="18" t="inlineStr">
        <is>
          <t>D07-I05</t>
        </is>
      </c>
      <c r="D217" s="18">
        <f>'P0-3_Scorecard'!L59</f>
        <v/>
      </c>
      <c r="E217" s="18">
        <f>'P0-3_Scorecard'!L85</f>
        <v/>
      </c>
      <c r="F217" s="18">
        <f>'P0-3_Scorecard'!M85</f>
        <v/>
      </c>
      <c r="G217" s="18">
        <f>'P0-3_Scorecard'!E85</f>
        <v/>
      </c>
      <c r="H217" s="18">
        <f>'P0-3_Scorecard'!H85</f>
        <v/>
      </c>
      <c r="I217" s="18">
        <f>IF(OR(D217="",E217=""),"INCOMPLETE",IF(AND(D217&gt;=70,E217&lt;60),"DEPENDENCY GAP",IF(AND(D217&gt;=70,G217&lt;F217),"REQUIRED MATURITY GAP","OK")))</f>
        <v/>
      </c>
      <c r="J217" s="18" t="inlineStr">
        <is>
          <t>Faculty practice review</t>
        </is>
      </c>
    </row>
    <row r="218">
      <c r="A218" s="18" t="inlineStr">
        <is>
          <t>CD12</t>
        </is>
      </c>
      <c r="B218" s="18" t="inlineStr">
        <is>
          <t>D05-I05</t>
        </is>
      </c>
      <c r="C218" s="18" t="inlineStr">
        <is>
          <t>D07-I11</t>
        </is>
      </c>
      <c r="D218" s="18">
        <f>'P0-3_Scorecard'!L59</f>
        <v/>
      </c>
      <c r="E218" s="18">
        <f>'P0-3_Scorecard'!L91</f>
        <v/>
      </c>
      <c r="F218" s="18">
        <f>'P0-3_Scorecard'!M91</f>
        <v/>
      </c>
      <c r="G218" s="18">
        <f>'P0-3_Scorecard'!E91</f>
        <v/>
      </c>
      <c r="H218" s="18">
        <f>'P0-3_Scorecard'!H91</f>
        <v/>
      </c>
      <c r="I218" s="18">
        <f>IF(OR(D218="",E218=""),"INCOMPLETE",IF(AND(D218&gt;=70,E218&lt;60),"DEPENDENCY GAP",IF(AND(D218&gt;=70,G218&lt;F218),"REQUIRED MATURITY GAP","OK")))</f>
        <v/>
      </c>
      <c r="J218" s="18" t="inlineStr">
        <is>
          <t>Faculty practice review</t>
        </is>
      </c>
    </row>
    <row r="219">
      <c r="A219" s="18" t="inlineStr">
        <is>
          <t>CD12</t>
        </is>
      </c>
      <c r="B219" s="18" t="inlineStr">
        <is>
          <t>D05-I12</t>
        </is>
      </c>
      <c r="C219" s="18" t="inlineStr">
        <is>
          <t>D07-I01</t>
        </is>
      </c>
      <c r="D219" s="18">
        <f>'P0-3_Scorecard'!L66</f>
        <v/>
      </c>
      <c r="E219" s="18">
        <f>'P0-3_Scorecard'!L81</f>
        <v/>
      </c>
      <c r="F219" s="18">
        <f>'P0-3_Scorecard'!M81</f>
        <v/>
      </c>
      <c r="G219" s="18">
        <f>'P0-3_Scorecard'!E81</f>
        <v/>
      </c>
      <c r="H219" s="18">
        <f>'P0-3_Scorecard'!H81</f>
        <v/>
      </c>
      <c r="I219" s="18">
        <f>IF(OR(D219="",E219=""),"INCOMPLETE",IF(AND(D219&gt;=70,E219&lt;60),"DEPENDENCY GAP",IF(AND(D219&gt;=70,G219&lt;F219),"REQUIRED MATURITY GAP","OK")))</f>
        <v/>
      </c>
      <c r="J219" s="18" t="inlineStr">
        <is>
          <t>Faculty practice review</t>
        </is>
      </c>
    </row>
    <row r="220">
      <c r="A220" s="18" t="inlineStr">
        <is>
          <t>CD12</t>
        </is>
      </c>
      <c r="B220" s="18" t="inlineStr">
        <is>
          <t>D05-I12</t>
        </is>
      </c>
      <c r="C220" s="18" t="inlineStr">
        <is>
          <t>D07-I04</t>
        </is>
      </c>
      <c r="D220" s="18">
        <f>'P0-3_Scorecard'!L66</f>
        <v/>
      </c>
      <c r="E220" s="18">
        <f>'P0-3_Scorecard'!L84</f>
        <v/>
      </c>
      <c r="F220" s="18">
        <f>'P0-3_Scorecard'!M84</f>
        <v/>
      </c>
      <c r="G220" s="18">
        <f>'P0-3_Scorecard'!E84</f>
        <v/>
      </c>
      <c r="H220" s="18">
        <f>'P0-3_Scorecard'!H84</f>
        <v/>
      </c>
      <c r="I220" s="18">
        <f>IF(OR(D220="",E220=""),"INCOMPLETE",IF(AND(D220&gt;=70,E220&lt;60),"DEPENDENCY GAP",IF(AND(D220&gt;=70,G220&lt;F220),"REQUIRED MATURITY GAP","OK")))</f>
        <v/>
      </c>
      <c r="J220" s="18" t="inlineStr">
        <is>
          <t>Faculty practice review</t>
        </is>
      </c>
    </row>
    <row r="221">
      <c r="A221" s="18" t="inlineStr">
        <is>
          <t>CD12</t>
        </is>
      </c>
      <c r="B221" s="18" t="inlineStr">
        <is>
          <t>D05-I12</t>
        </is>
      </c>
      <c r="C221" s="18" t="inlineStr">
        <is>
          <t>D07-I05</t>
        </is>
      </c>
      <c r="D221" s="18">
        <f>'P0-3_Scorecard'!L66</f>
        <v/>
      </c>
      <c r="E221" s="18">
        <f>'P0-3_Scorecard'!L85</f>
        <v/>
      </c>
      <c r="F221" s="18">
        <f>'P0-3_Scorecard'!M85</f>
        <v/>
      </c>
      <c r="G221" s="18">
        <f>'P0-3_Scorecard'!E85</f>
        <v/>
      </c>
      <c r="H221" s="18">
        <f>'P0-3_Scorecard'!H85</f>
        <v/>
      </c>
      <c r="I221" s="18">
        <f>IF(OR(D221="",E221=""),"INCOMPLETE",IF(AND(D221&gt;=70,E221&lt;60),"DEPENDENCY GAP",IF(AND(D221&gt;=70,G221&lt;F221),"REQUIRED MATURITY GAP","OK")))</f>
        <v/>
      </c>
      <c r="J221" s="18" t="inlineStr">
        <is>
          <t>Faculty practice review</t>
        </is>
      </c>
    </row>
    <row r="222">
      <c r="A222" s="18" t="inlineStr">
        <is>
          <t>CD12</t>
        </is>
      </c>
      <c r="B222" s="18" t="inlineStr">
        <is>
          <t>D05-I12</t>
        </is>
      </c>
      <c r="C222" s="18" t="inlineStr">
        <is>
          <t>D07-I11</t>
        </is>
      </c>
      <c r="D222" s="18">
        <f>'P0-3_Scorecard'!L66</f>
        <v/>
      </c>
      <c r="E222" s="18">
        <f>'P0-3_Scorecard'!L91</f>
        <v/>
      </c>
      <c r="F222" s="18">
        <f>'P0-3_Scorecard'!M91</f>
        <v/>
      </c>
      <c r="G222" s="18">
        <f>'P0-3_Scorecard'!E91</f>
        <v/>
      </c>
      <c r="H222" s="18">
        <f>'P0-3_Scorecard'!H91</f>
        <v/>
      </c>
      <c r="I222" s="18">
        <f>IF(OR(D222="",E222=""),"INCOMPLETE",IF(AND(D222&gt;=70,E222&lt;60),"DEPENDENCY GAP",IF(AND(D222&gt;=70,G222&lt;F222),"REQUIRED MATURITY GAP","OK")))</f>
        <v/>
      </c>
      <c r="J222" s="18" t="inlineStr">
        <is>
          <t>Faculty practice review</t>
        </is>
      </c>
    </row>
    <row r="223">
      <c r="A223" s="18" t="inlineStr">
        <is>
          <t>CD13</t>
        </is>
      </c>
      <c r="B223" s="18" t="inlineStr">
        <is>
          <t>D06-I04</t>
        </is>
      </c>
      <c r="C223" s="18" t="inlineStr">
        <is>
          <t>D09-I05</t>
        </is>
      </c>
      <c r="D223" s="18">
        <f>'P0-3_Scorecard'!L70</f>
        <v/>
      </c>
      <c r="E223" s="18">
        <f>'P0-3_Scorecard'!L109</f>
        <v/>
      </c>
      <c r="F223" s="18">
        <f>'P0-3_Scorecard'!M109</f>
        <v/>
      </c>
      <c r="G223" s="18">
        <f>'P0-3_Scorecard'!E109</f>
        <v/>
      </c>
      <c r="H223" s="18">
        <f>'P0-3_Scorecard'!H109</f>
        <v/>
      </c>
      <c r="I223" s="18">
        <f>IF(OR(D223="",E223=""),"INCOMPLETE",IF(AND(D223&gt;=70,E223&lt;60),"DEPENDENCY GAP",IF(AND(D223&gt;=70,G223&lt;F223),"REQUIRED MATURITY GAP","OK")))</f>
        <v/>
      </c>
      <c r="J223" s="18" t="inlineStr">
        <is>
          <t>Employability evidence review</t>
        </is>
      </c>
    </row>
    <row r="224">
      <c r="A224" s="18" t="inlineStr">
        <is>
          <t>CD13</t>
        </is>
      </c>
      <c r="B224" s="18" t="inlineStr">
        <is>
          <t>D06-I04</t>
        </is>
      </c>
      <c r="C224" s="18" t="inlineStr">
        <is>
          <t>D09-I06</t>
        </is>
      </c>
      <c r="D224" s="18">
        <f>'P0-3_Scorecard'!L70</f>
        <v/>
      </c>
      <c r="E224" s="18">
        <f>'P0-3_Scorecard'!L110</f>
        <v/>
      </c>
      <c r="F224" s="18">
        <f>'P0-3_Scorecard'!M110</f>
        <v/>
      </c>
      <c r="G224" s="18">
        <f>'P0-3_Scorecard'!E110</f>
        <v/>
      </c>
      <c r="H224" s="18">
        <f>'P0-3_Scorecard'!H110</f>
        <v/>
      </c>
      <c r="I224" s="18">
        <f>IF(OR(D224="",E224=""),"INCOMPLETE",IF(AND(D224&gt;=70,E224&lt;60),"DEPENDENCY GAP",IF(AND(D224&gt;=70,G224&lt;F224),"REQUIRED MATURITY GAP","OK")))</f>
        <v/>
      </c>
      <c r="J224" s="18" t="inlineStr">
        <is>
          <t>Employability evidence review</t>
        </is>
      </c>
    </row>
    <row r="225">
      <c r="A225" s="18" t="inlineStr">
        <is>
          <t>CD13</t>
        </is>
      </c>
      <c r="B225" s="18" t="inlineStr">
        <is>
          <t>D06-I04</t>
        </is>
      </c>
      <c r="C225" s="18" t="inlineStr">
        <is>
          <t>D09-I07</t>
        </is>
      </c>
      <c r="D225" s="18">
        <f>'P0-3_Scorecard'!L70</f>
        <v/>
      </c>
      <c r="E225" s="18">
        <f>'P0-3_Scorecard'!L111</f>
        <v/>
      </c>
      <c r="F225" s="18">
        <f>'P0-3_Scorecard'!M111</f>
        <v/>
      </c>
      <c r="G225" s="18">
        <f>'P0-3_Scorecard'!E111</f>
        <v/>
      </c>
      <c r="H225" s="18">
        <f>'P0-3_Scorecard'!H111</f>
        <v/>
      </c>
      <c r="I225" s="18">
        <f>IF(OR(D225="",E225=""),"INCOMPLETE",IF(AND(D225&gt;=70,E225&lt;60),"DEPENDENCY GAP",IF(AND(D225&gt;=70,G225&lt;F225),"REQUIRED MATURITY GAP","OK")))</f>
        <v/>
      </c>
      <c r="J225" s="18" t="inlineStr">
        <is>
          <t>Employability evidence review</t>
        </is>
      </c>
    </row>
    <row r="226">
      <c r="A226" s="18" t="inlineStr">
        <is>
          <t>CD13</t>
        </is>
      </c>
      <c r="B226" s="18" t="inlineStr">
        <is>
          <t>D06-I04</t>
        </is>
      </c>
      <c r="C226" s="18" t="inlineStr">
        <is>
          <t>D09-I08</t>
        </is>
      </c>
      <c r="D226" s="18">
        <f>'P0-3_Scorecard'!L70</f>
        <v/>
      </c>
      <c r="E226" s="18">
        <f>'P0-3_Scorecard'!L112</f>
        <v/>
      </c>
      <c r="F226" s="18">
        <f>'P0-3_Scorecard'!M112</f>
        <v/>
      </c>
      <c r="G226" s="18">
        <f>'P0-3_Scorecard'!E112</f>
        <v/>
      </c>
      <c r="H226" s="18">
        <f>'P0-3_Scorecard'!H112</f>
        <v/>
      </c>
      <c r="I226" s="18">
        <f>IF(OR(D226="",E226=""),"INCOMPLETE",IF(AND(D226&gt;=70,E226&lt;60),"DEPENDENCY GAP",IF(AND(D226&gt;=70,G226&lt;F226),"REQUIRED MATURITY GAP","OK")))</f>
        <v/>
      </c>
      <c r="J226" s="18" t="inlineStr">
        <is>
          <t>Employability evidence review</t>
        </is>
      </c>
    </row>
    <row r="227">
      <c r="A227" s="18" t="inlineStr">
        <is>
          <t>CD13</t>
        </is>
      </c>
      <c r="B227" s="18" t="inlineStr">
        <is>
          <t>D06-I04</t>
        </is>
      </c>
      <c r="C227" s="18" t="inlineStr">
        <is>
          <t>D09-I09</t>
        </is>
      </c>
      <c r="D227" s="18">
        <f>'P0-3_Scorecard'!L70</f>
        <v/>
      </c>
      <c r="E227" s="18">
        <f>'P0-3_Scorecard'!L113</f>
        <v/>
      </c>
      <c r="F227" s="18">
        <f>'P0-3_Scorecard'!M113</f>
        <v/>
      </c>
      <c r="G227" s="18">
        <f>'P0-3_Scorecard'!E113</f>
        <v/>
      </c>
      <c r="H227" s="18">
        <f>'P0-3_Scorecard'!H113</f>
        <v/>
      </c>
      <c r="I227" s="18">
        <f>IF(OR(D227="",E227=""),"INCOMPLETE",IF(AND(D227&gt;=70,E227&lt;60),"DEPENDENCY GAP",IF(AND(D227&gt;=70,G227&lt;F227),"REQUIRED MATURITY GAP","OK")))</f>
        <v/>
      </c>
      <c r="J227" s="18" t="inlineStr">
        <is>
          <t>Employability evidence review</t>
        </is>
      </c>
    </row>
    <row r="228">
      <c r="A228" s="18" t="inlineStr">
        <is>
          <t>CD13</t>
        </is>
      </c>
      <c r="B228" s="18" t="inlineStr">
        <is>
          <t>D06-I07</t>
        </is>
      </c>
      <c r="C228" s="18" t="inlineStr">
        <is>
          <t>D09-I05</t>
        </is>
      </c>
      <c r="D228" s="18">
        <f>'P0-3_Scorecard'!L73</f>
        <v/>
      </c>
      <c r="E228" s="18">
        <f>'P0-3_Scorecard'!L109</f>
        <v/>
      </c>
      <c r="F228" s="18">
        <f>'P0-3_Scorecard'!M109</f>
        <v/>
      </c>
      <c r="G228" s="18">
        <f>'P0-3_Scorecard'!E109</f>
        <v/>
      </c>
      <c r="H228" s="18">
        <f>'P0-3_Scorecard'!H109</f>
        <v/>
      </c>
      <c r="I228" s="18">
        <f>IF(OR(D228="",E228=""),"INCOMPLETE",IF(AND(D228&gt;=70,E228&lt;60),"DEPENDENCY GAP",IF(AND(D228&gt;=70,G228&lt;F228),"REQUIRED MATURITY GAP","OK")))</f>
        <v/>
      </c>
      <c r="J228" s="18" t="inlineStr">
        <is>
          <t>Employability evidence review</t>
        </is>
      </c>
    </row>
    <row r="229">
      <c r="A229" s="18" t="inlineStr">
        <is>
          <t>CD13</t>
        </is>
      </c>
      <c r="B229" s="18" t="inlineStr">
        <is>
          <t>D06-I07</t>
        </is>
      </c>
      <c r="C229" s="18" t="inlineStr">
        <is>
          <t>D09-I06</t>
        </is>
      </c>
      <c r="D229" s="18">
        <f>'P0-3_Scorecard'!L73</f>
        <v/>
      </c>
      <c r="E229" s="18">
        <f>'P0-3_Scorecard'!L110</f>
        <v/>
      </c>
      <c r="F229" s="18">
        <f>'P0-3_Scorecard'!M110</f>
        <v/>
      </c>
      <c r="G229" s="18">
        <f>'P0-3_Scorecard'!E110</f>
        <v/>
      </c>
      <c r="H229" s="18">
        <f>'P0-3_Scorecard'!H110</f>
        <v/>
      </c>
      <c r="I229" s="18">
        <f>IF(OR(D229="",E229=""),"INCOMPLETE",IF(AND(D229&gt;=70,E229&lt;60),"DEPENDENCY GAP",IF(AND(D229&gt;=70,G229&lt;F229),"REQUIRED MATURITY GAP","OK")))</f>
        <v/>
      </c>
      <c r="J229" s="18" t="inlineStr">
        <is>
          <t>Employability evidence review</t>
        </is>
      </c>
    </row>
    <row r="230">
      <c r="A230" s="18" t="inlineStr">
        <is>
          <t>CD13</t>
        </is>
      </c>
      <c r="B230" s="18" t="inlineStr">
        <is>
          <t>D06-I07</t>
        </is>
      </c>
      <c r="C230" s="18" t="inlineStr">
        <is>
          <t>D09-I07</t>
        </is>
      </c>
      <c r="D230" s="18">
        <f>'P0-3_Scorecard'!L73</f>
        <v/>
      </c>
      <c r="E230" s="18">
        <f>'P0-3_Scorecard'!L111</f>
        <v/>
      </c>
      <c r="F230" s="18">
        <f>'P0-3_Scorecard'!M111</f>
        <v/>
      </c>
      <c r="G230" s="18">
        <f>'P0-3_Scorecard'!E111</f>
        <v/>
      </c>
      <c r="H230" s="18">
        <f>'P0-3_Scorecard'!H111</f>
        <v/>
      </c>
      <c r="I230" s="18">
        <f>IF(OR(D230="",E230=""),"INCOMPLETE",IF(AND(D230&gt;=70,E230&lt;60),"DEPENDENCY GAP",IF(AND(D230&gt;=70,G230&lt;F230),"REQUIRED MATURITY GAP","OK")))</f>
        <v/>
      </c>
      <c r="J230" s="18" t="inlineStr">
        <is>
          <t>Employability evidence review</t>
        </is>
      </c>
    </row>
    <row r="231">
      <c r="A231" s="18" t="inlineStr">
        <is>
          <t>CD13</t>
        </is>
      </c>
      <c r="B231" s="18" t="inlineStr">
        <is>
          <t>D06-I07</t>
        </is>
      </c>
      <c r="C231" s="18" t="inlineStr">
        <is>
          <t>D09-I08</t>
        </is>
      </c>
      <c r="D231" s="18">
        <f>'P0-3_Scorecard'!L73</f>
        <v/>
      </c>
      <c r="E231" s="18">
        <f>'P0-3_Scorecard'!L112</f>
        <v/>
      </c>
      <c r="F231" s="18">
        <f>'P0-3_Scorecard'!M112</f>
        <v/>
      </c>
      <c r="G231" s="18">
        <f>'P0-3_Scorecard'!E112</f>
        <v/>
      </c>
      <c r="H231" s="18">
        <f>'P0-3_Scorecard'!H112</f>
        <v/>
      </c>
      <c r="I231" s="18">
        <f>IF(OR(D231="",E231=""),"INCOMPLETE",IF(AND(D231&gt;=70,E231&lt;60),"DEPENDENCY GAP",IF(AND(D231&gt;=70,G231&lt;F231),"REQUIRED MATURITY GAP","OK")))</f>
        <v/>
      </c>
      <c r="J231" s="18" t="inlineStr">
        <is>
          <t>Employability evidence review</t>
        </is>
      </c>
    </row>
    <row r="232">
      <c r="A232" s="18" t="inlineStr">
        <is>
          <t>CD13</t>
        </is>
      </c>
      <c r="B232" s="18" t="inlineStr">
        <is>
          <t>D06-I07</t>
        </is>
      </c>
      <c r="C232" s="18" t="inlineStr">
        <is>
          <t>D09-I09</t>
        </is>
      </c>
      <c r="D232" s="18">
        <f>'P0-3_Scorecard'!L73</f>
        <v/>
      </c>
      <c r="E232" s="18">
        <f>'P0-3_Scorecard'!L113</f>
        <v/>
      </c>
      <c r="F232" s="18">
        <f>'P0-3_Scorecard'!M113</f>
        <v/>
      </c>
      <c r="G232" s="18">
        <f>'P0-3_Scorecard'!E113</f>
        <v/>
      </c>
      <c r="H232" s="18">
        <f>'P0-3_Scorecard'!H113</f>
        <v/>
      </c>
      <c r="I232" s="18">
        <f>IF(OR(D232="",E232=""),"INCOMPLETE",IF(AND(D232&gt;=70,E232&lt;60),"DEPENDENCY GAP",IF(AND(D232&gt;=70,G232&lt;F232),"REQUIRED MATURITY GAP","OK")))</f>
        <v/>
      </c>
      <c r="J232" s="18" t="inlineStr">
        <is>
          <t>Employability evidence review</t>
        </is>
      </c>
    </row>
    <row r="233">
      <c r="A233" s="18" t="inlineStr">
        <is>
          <t>CD13</t>
        </is>
      </c>
      <c r="B233" s="18" t="inlineStr">
        <is>
          <t>D06-I08</t>
        </is>
      </c>
      <c r="C233" s="18" t="inlineStr">
        <is>
          <t>D09-I05</t>
        </is>
      </c>
      <c r="D233" s="18">
        <f>'P0-3_Scorecard'!L74</f>
        <v/>
      </c>
      <c r="E233" s="18">
        <f>'P0-3_Scorecard'!L109</f>
        <v/>
      </c>
      <c r="F233" s="18">
        <f>'P0-3_Scorecard'!M109</f>
        <v/>
      </c>
      <c r="G233" s="18">
        <f>'P0-3_Scorecard'!E109</f>
        <v/>
      </c>
      <c r="H233" s="18">
        <f>'P0-3_Scorecard'!H109</f>
        <v/>
      </c>
      <c r="I233" s="18">
        <f>IF(OR(D233="",E233=""),"INCOMPLETE",IF(AND(D233&gt;=70,E233&lt;60),"DEPENDENCY GAP",IF(AND(D233&gt;=70,G233&lt;F233),"REQUIRED MATURITY GAP","OK")))</f>
        <v/>
      </c>
      <c r="J233" s="18" t="inlineStr">
        <is>
          <t>Employability evidence review</t>
        </is>
      </c>
    </row>
    <row r="234">
      <c r="A234" s="18" t="inlineStr">
        <is>
          <t>CD13</t>
        </is>
      </c>
      <c r="B234" s="18" t="inlineStr">
        <is>
          <t>D06-I08</t>
        </is>
      </c>
      <c r="C234" s="18" t="inlineStr">
        <is>
          <t>D09-I06</t>
        </is>
      </c>
      <c r="D234" s="18">
        <f>'P0-3_Scorecard'!L74</f>
        <v/>
      </c>
      <c r="E234" s="18">
        <f>'P0-3_Scorecard'!L110</f>
        <v/>
      </c>
      <c r="F234" s="18">
        <f>'P0-3_Scorecard'!M110</f>
        <v/>
      </c>
      <c r="G234" s="18">
        <f>'P0-3_Scorecard'!E110</f>
        <v/>
      </c>
      <c r="H234" s="18">
        <f>'P0-3_Scorecard'!H110</f>
        <v/>
      </c>
      <c r="I234" s="18">
        <f>IF(OR(D234="",E234=""),"INCOMPLETE",IF(AND(D234&gt;=70,E234&lt;60),"DEPENDENCY GAP",IF(AND(D234&gt;=70,G234&lt;F234),"REQUIRED MATURITY GAP","OK")))</f>
        <v/>
      </c>
      <c r="J234" s="18" t="inlineStr">
        <is>
          <t>Employability evidence review</t>
        </is>
      </c>
    </row>
    <row r="235">
      <c r="A235" s="18" t="inlineStr">
        <is>
          <t>CD13</t>
        </is>
      </c>
      <c r="B235" s="18" t="inlineStr">
        <is>
          <t>D06-I08</t>
        </is>
      </c>
      <c r="C235" s="18" t="inlineStr">
        <is>
          <t>D09-I07</t>
        </is>
      </c>
      <c r="D235" s="18">
        <f>'P0-3_Scorecard'!L74</f>
        <v/>
      </c>
      <c r="E235" s="18">
        <f>'P0-3_Scorecard'!L111</f>
        <v/>
      </c>
      <c r="F235" s="18">
        <f>'P0-3_Scorecard'!M111</f>
        <v/>
      </c>
      <c r="G235" s="18">
        <f>'P0-3_Scorecard'!E111</f>
        <v/>
      </c>
      <c r="H235" s="18">
        <f>'P0-3_Scorecard'!H111</f>
        <v/>
      </c>
      <c r="I235" s="18">
        <f>IF(OR(D235="",E235=""),"INCOMPLETE",IF(AND(D235&gt;=70,E235&lt;60),"DEPENDENCY GAP",IF(AND(D235&gt;=70,G235&lt;F235),"REQUIRED MATURITY GAP","OK")))</f>
        <v/>
      </c>
      <c r="J235" s="18" t="inlineStr">
        <is>
          <t>Employability evidence review</t>
        </is>
      </c>
    </row>
    <row r="236">
      <c r="A236" s="18" t="inlineStr">
        <is>
          <t>CD13</t>
        </is>
      </c>
      <c r="B236" s="18" t="inlineStr">
        <is>
          <t>D06-I08</t>
        </is>
      </c>
      <c r="C236" s="18" t="inlineStr">
        <is>
          <t>D09-I08</t>
        </is>
      </c>
      <c r="D236" s="18">
        <f>'P0-3_Scorecard'!L74</f>
        <v/>
      </c>
      <c r="E236" s="18">
        <f>'P0-3_Scorecard'!L112</f>
        <v/>
      </c>
      <c r="F236" s="18">
        <f>'P0-3_Scorecard'!M112</f>
        <v/>
      </c>
      <c r="G236" s="18">
        <f>'P0-3_Scorecard'!E112</f>
        <v/>
      </c>
      <c r="H236" s="18">
        <f>'P0-3_Scorecard'!H112</f>
        <v/>
      </c>
      <c r="I236" s="18">
        <f>IF(OR(D236="",E236=""),"INCOMPLETE",IF(AND(D236&gt;=70,E236&lt;60),"DEPENDENCY GAP",IF(AND(D236&gt;=70,G236&lt;F236),"REQUIRED MATURITY GAP","OK")))</f>
        <v/>
      </c>
      <c r="J236" s="18" t="inlineStr">
        <is>
          <t>Employability evidence review</t>
        </is>
      </c>
    </row>
    <row r="237">
      <c r="A237" s="18" t="inlineStr">
        <is>
          <t>CD13</t>
        </is>
      </c>
      <c r="B237" s="18" t="inlineStr">
        <is>
          <t>D06-I08</t>
        </is>
      </c>
      <c r="C237" s="18" t="inlineStr">
        <is>
          <t>D09-I09</t>
        </is>
      </c>
      <c r="D237" s="18">
        <f>'P0-3_Scorecard'!L74</f>
        <v/>
      </c>
      <c r="E237" s="18">
        <f>'P0-3_Scorecard'!L113</f>
        <v/>
      </c>
      <c r="F237" s="18">
        <f>'P0-3_Scorecard'!M113</f>
        <v/>
      </c>
      <c r="G237" s="18">
        <f>'P0-3_Scorecard'!E113</f>
        <v/>
      </c>
      <c r="H237" s="18">
        <f>'P0-3_Scorecard'!H113</f>
        <v/>
      </c>
      <c r="I237" s="18">
        <f>IF(OR(D237="",E237=""),"INCOMPLETE",IF(AND(D237&gt;=70,E237&lt;60),"DEPENDENCY GAP",IF(AND(D237&gt;=70,G237&lt;F237),"REQUIRED MATURITY GAP","OK")))</f>
        <v/>
      </c>
      <c r="J237" s="18" t="inlineStr">
        <is>
          <t>Employability evidence review</t>
        </is>
      </c>
    </row>
    <row r="238">
      <c r="A238" s="18" t="inlineStr">
        <is>
          <t>CD13</t>
        </is>
      </c>
      <c r="B238" s="18" t="inlineStr">
        <is>
          <t>D06-I09</t>
        </is>
      </c>
      <c r="C238" s="18" t="inlineStr">
        <is>
          <t>D09-I05</t>
        </is>
      </c>
      <c r="D238" s="18">
        <f>'P0-3_Scorecard'!L75</f>
        <v/>
      </c>
      <c r="E238" s="18">
        <f>'P0-3_Scorecard'!L109</f>
        <v/>
      </c>
      <c r="F238" s="18">
        <f>'P0-3_Scorecard'!M109</f>
        <v/>
      </c>
      <c r="G238" s="18">
        <f>'P0-3_Scorecard'!E109</f>
        <v/>
      </c>
      <c r="H238" s="18">
        <f>'P0-3_Scorecard'!H109</f>
        <v/>
      </c>
      <c r="I238" s="18">
        <f>IF(OR(D238="",E238=""),"INCOMPLETE",IF(AND(D238&gt;=70,E238&lt;60),"DEPENDENCY GAP",IF(AND(D238&gt;=70,G238&lt;F238),"REQUIRED MATURITY GAP","OK")))</f>
        <v/>
      </c>
      <c r="J238" s="18" t="inlineStr">
        <is>
          <t>Employability evidence review</t>
        </is>
      </c>
    </row>
    <row r="239">
      <c r="A239" s="18" t="inlineStr">
        <is>
          <t>CD13</t>
        </is>
      </c>
      <c r="B239" s="18" t="inlineStr">
        <is>
          <t>D06-I09</t>
        </is>
      </c>
      <c r="C239" s="18" t="inlineStr">
        <is>
          <t>D09-I06</t>
        </is>
      </c>
      <c r="D239" s="18">
        <f>'P0-3_Scorecard'!L75</f>
        <v/>
      </c>
      <c r="E239" s="18">
        <f>'P0-3_Scorecard'!L110</f>
        <v/>
      </c>
      <c r="F239" s="18">
        <f>'P0-3_Scorecard'!M110</f>
        <v/>
      </c>
      <c r="G239" s="18">
        <f>'P0-3_Scorecard'!E110</f>
        <v/>
      </c>
      <c r="H239" s="18">
        <f>'P0-3_Scorecard'!H110</f>
        <v/>
      </c>
      <c r="I239" s="18">
        <f>IF(OR(D239="",E239=""),"INCOMPLETE",IF(AND(D239&gt;=70,E239&lt;60),"DEPENDENCY GAP",IF(AND(D239&gt;=70,G239&lt;F239),"REQUIRED MATURITY GAP","OK")))</f>
        <v/>
      </c>
      <c r="J239" s="18" t="inlineStr">
        <is>
          <t>Employability evidence review</t>
        </is>
      </c>
    </row>
    <row r="240">
      <c r="A240" s="18" t="inlineStr">
        <is>
          <t>CD13</t>
        </is>
      </c>
      <c r="B240" s="18" t="inlineStr">
        <is>
          <t>D06-I09</t>
        </is>
      </c>
      <c r="C240" s="18" t="inlineStr">
        <is>
          <t>D09-I07</t>
        </is>
      </c>
      <c r="D240" s="18">
        <f>'P0-3_Scorecard'!L75</f>
        <v/>
      </c>
      <c r="E240" s="18">
        <f>'P0-3_Scorecard'!L111</f>
        <v/>
      </c>
      <c r="F240" s="18">
        <f>'P0-3_Scorecard'!M111</f>
        <v/>
      </c>
      <c r="G240" s="18">
        <f>'P0-3_Scorecard'!E111</f>
        <v/>
      </c>
      <c r="H240" s="18">
        <f>'P0-3_Scorecard'!H111</f>
        <v/>
      </c>
      <c r="I240" s="18">
        <f>IF(OR(D240="",E240=""),"INCOMPLETE",IF(AND(D240&gt;=70,E240&lt;60),"DEPENDENCY GAP",IF(AND(D240&gt;=70,G240&lt;F240),"REQUIRED MATURITY GAP","OK")))</f>
        <v/>
      </c>
      <c r="J240" s="18" t="inlineStr">
        <is>
          <t>Employability evidence review</t>
        </is>
      </c>
    </row>
    <row r="241">
      <c r="A241" s="18" t="inlineStr">
        <is>
          <t>CD13</t>
        </is>
      </c>
      <c r="B241" s="18" t="inlineStr">
        <is>
          <t>D06-I09</t>
        </is>
      </c>
      <c r="C241" s="18" t="inlineStr">
        <is>
          <t>D09-I08</t>
        </is>
      </c>
      <c r="D241" s="18">
        <f>'P0-3_Scorecard'!L75</f>
        <v/>
      </c>
      <c r="E241" s="18">
        <f>'P0-3_Scorecard'!L112</f>
        <v/>
      </c>
      <c r="F241" s="18">
        <f>'P0-3_Scorecard'!M112</f>
        <v/>
      </c>
      <c r="G241" s="18">
        <f>'P0-3_Scorecard'!E112</f>
        <v/>
      </c>
      <c r="H241" s="18">
        <f>'P0-3_Scorecard'!H112</f>
        <v/>
      </c>
      <c r="I241" s="18">
        <f>IF(OR(D241="",E241=""),"INCOMPLETE",IF(AND(D241&gt;=70,E241&lt;60),"DEPENDENCY GAP",IF(AND(D241&gt;=70,G241&lt;F241),"REQUIRED MATURITY GAP","OK")))</f>
        <v/>
      </c>
      <c r="J241" s="18" t="inlineStr">
        <is>
          <t>Employability evidence review</t>
        </is>
      </c>
    </row>
    <row r="242">
      <c r="A242" s="18" t="inlineStr">
        <is>
          <t>CD13</t>
        </is>
      </c>
      <c r="B242" s="18" t="inlineStr">
        <is>
          <t>D06-I09</t>
        </is>
      </c>
      <c r="C242" s="18" t="inlineStr">
        <is>
          <t>D09-I09</t>
        </is>
      </c>
      <c r="D242" s="18">
        <f>'P0-3_Scorecard'!L75</f>
        <v/>
      </c>
      <c r="E242" s="18">
        <f>'P0-3_Scorecard'!L113</f>
        <v/>
      </c>
      <c r="F242" s="18">
        <f>'P0-3_Scorecard'!M113</f>
        <v/>
      </c>
      <c r="G242" s="18">
        <f>'P0-3_Scorecard'!E113</f>
        <v/>
      </c>
      <c r="H242" s="18">
        <f>'P0-3_Scorecard'!H113</f>
        <v/>
      </c>
      <c r="I242" s="18">
        <f>IF(OR(D242="",E242=""),"INCOMPLETE",IF(AND(D242&gt;=70,E242&lt;60),"DEPENDENCY GAP",IF(AND(D242&gt;=70,G242&lt;F242),"REQUIRED MATURITY GAP","OK")))</f>
        <v/>
      </c>
      <c r="J242" s="18" t="inlineStr">
        <is>
          <t>Employability evidence review</t>
        </is>
      </c>
    </row>
    <row r="243">
      <c r="A243" s="18" t="inlineStr">
        <is>
          <t>CD13</t>
        </is>
      </c>
      <c r="B243" s="18" t="inlineStr">
        <is>
          <t>D06-I10</t>
        </is>
      </c>
      <c r="C243" s="18" t="inlineStr">
        <is>
          <t>D09-I05</t>
        </is>
      </c>
      <c r="D243" s="18">
        <f>'P0-3_Scorecard'!L76</f>
        <v/>
      </c>
      <c r="E243" s="18">
        <f>'P0-3_Scorecard'!L109</f>
        <v/>
      </c>
      <c r="F243" s="18">
        <f>'P0-3_Scorecard'!M109</f>
        <v/>
      </c>
      <c r="G243" s="18">
        <f>'P0-3_Scorecard'!E109</f>
        <v/>
      </c>
      <c r="H243" s="18">
        <f>'P0-3_Scorecard'!H109</f>
        <v/>
      </c>
      <c r="I243" s="18">
        <f>IF(OR(D243="",E243=""),"INCOMPLETE",IF(AND(D243&gt;=70,E243&lt;60),"DEPENDENCY GAP",IF(AND(D243&gt;=70,G243&lt;F243),"REQUIRED MATURITY GAP","OK")))</f>
        <v/>
      </c>
      <c r="J243" s="18" t="inlineStr">
        <is>
          <t>Employability evidence review</t>
        </is>
      </c>
    </row>
    <row r="244">
      <c r="A244" s="18" t="inlineStr">
        <is>
          <t>CD13</t>
        </is>
      </c>
      <c r="B244" s="18" t="inlineStr">
        <is>
          <t>D06-I10</t>
        </is>
      </c>
      <c r="C244" s="18" t="inlineStr">
        <is>
          <t>D09-I06</t>
        </is>
      </c>
      <c r="D244" s="18">
        <f>'P0-3_Scorecard'!L76</f>
        <v/>
      </c>
      <c r="E244" s="18">
        <f>'P0-3_Scorecard'!L110</f>
        <v/>
      </c>
      <c r="F244" s="18">
        <f>'P0-3_Scorecard'!M110</f>
        <v/>
      </c>
      <c r="G244" s="18">
        <f>'P0-3_Scorecard'!E110</f>
        <v/>
      </c>
      <c r="H244" s="18">
        <f>'P0-3_Scorecard'!H110</f>
        <v/>
      </c>
      <c r="I244" s="18">
        <f>IF(OR(D244="",E244=""),"INCOMPLETE",IF(AND(D244&gt;=70,E244&lt;60),"DEPENDENCY GAP",IF(AND(D244&gt;=70,G244&lt;F244),"REQUIRED MATURITY GAP","OK")))</f>
        <v/>
      </c>
      <c r="J244" s="18" t="inlineStr">
        <is>
          <t>Employability evidence review</t>
        </is>
      </c>
    </row>
    <row r="245">
      <c r="A245" s="18" t="inlineStr">
        <is>
          <t>CD13</t>
        </is>
      </c>
      <c r="B245" s="18" t="inlineStr">
        <is>
          <t>D06-I10</t>
        </is>
      </c>
      <c r="C245" s="18" t="inlineStr">
        <is>
          <t>D09-I07</t>
        </is>
      </c>
      <c r="D245" s="18">
        <f>'P0-3_Scorecard'!L76</f>
        <v/>
      </c>
      <c r="E245" s="18">
        <f>'P0-3_Scorecard'!L111</f>
        <v/>
      </c>
      <c r="F245" s="18">
        <f>'P0-3_Scorecard'!M111</f>
        <v/>
      </c>
      <c r="G245" s="18">
        <f>'P0-3_Scorecard'!E111</f>
        <v/>
      </c>
      <c r="H245" s="18">
        <f>'P0-3_Scorecard'!H111</f>
        <v/>
      </c>
      <c r="I245" s="18">
        <f>IF(OR(D245="",E245=""),"INCOMPLETE",IF(AND(D245&gt;=70,E245&lt;60),"DEPENDENCY GAP",IF(AND(D245&gt;=70,G245&lt;F245),"REQUIRED MATURITY GAP","OK")))</f>
        <v/>
      </c>
      <c r="J245" s="18" t="inlineStr">
        <is>
          <t>Employability evidence review</t>
        </is>
      </c>
    </row>
    <row r="246">
      <c r="A246" s="18" t="inlineStr">
        <is>
          <t>CD13</t>
        </is>
      </c>
      <c r="B246" s="18" t="inlineStr">
        <is>
          <t>D06-I10</t>
        </is>
      </c>
      <c r="C246" s="18" t="inlineStr">
        <is>
          <t>D09-I08</t>
        </is>
      </c>
      <c r="D246" s="18">
        <f>'P0-3_Scorecard'!L76</f>
        <v/>
      </c>
      <c r="E246" s="18">
        <f>'P0-3_Scorecard'!L112</f>
        <v/>
      </c>
      <c r="F246" s="18">
        <f>'P0-3_Scorecard'!M112</f>
        <v/>
      </c>
      <c r="G246" s="18">
        <f>'P0-3_Scorecard'!E112</f>
        <v/>
      </c>
      <c r="H246" s="18">
        <f>'P0-3_Scorecard'!H112</f>
        <v/>
      </c>
      <c r="I246" s="18">
        <f>IF(OR(D246="",E246=""),"INCOMPLETE",IF(AND(D246&gt;=70,E246&lt;60),"DEPENDENCY GAP",IF(AND(D246&gt;=70,G246&lt;F246),"REQUIRED MATURITY GAP","OK")))</f>
        <v/>
      </c>
      <c r="J246" s="18" t="inlineStr">
        <is>
          <t>Employability evidence review</t>
        </is>
      </c>
    </row>
    <row r="247">
      <c r="A247" s="18" t="inlineStr">
        <is>
          <t>CD13</t>
        </is>
      </c>
      <c r="B247" s="18" t="inlineStr">
        <is>
          <t>D06-I10</t>
        </is>
      </c>
      <c r="C247" s="18" t="inlineStr">
        <is>
          <t>D09-I09</t>
        </is>
      </c>
      <c r="D247" s="18">
        <f>'P0-3_Scorecard'!L76</f>
        <v/>
      </c>
      <c r="E247" s="18">
        <f>'P0-3_Scorecard'!L113</f>
        <v/>
      </c>
      <c r="F247" s="18">
        <f>'P0-3_Scorecard'!M113</f>
        <v/>
      </c>
      <c r="G247" s="18">
        <f>'P0-3_Scorecard'!E113</f>
        <v/>
      </c>
      <c r="H247" s="18">
        <f>'P0-3_Scorecard'!H113</f>
        <v/>
      </c>
      <c r="I247" s="18">
        <f>IF(OR(D247="",E247=""),"INCOMPLETE",IF(AND(D247&gt;=70,E247&lt;60),"DEPENDENCY GAP",IF(AND(D247&gt;=70,G247&lt;F247),"REQUIRED MATURITY GAP","OK")))</f>
        <v/>
      </c>
      <c r="J247" s="18" t="inlineStr">
        <is>
          <t>Employability evidence review</t>
        </is>
      </c>
    </row>
    <row r="248">
      <c r="A248" s="18" t="inlineStr">
        <is>
          <t>CD13</t>
        </is>
      </c>
      <c r="B248" s="18" t="inlineStr">
        <is>
          <t>D06-I11</t>
        </is>
      </c>
      <c r="C248" s="18" t="inlineStr">
        <is>
          <t>D09-I05</t>
        </is>
      </c>
      <c r="D248" s="18">
        <f>'P0-3_Scorecard'!L77</f>
        <v/>
      </c>
      <c r="E248" s="18">
        <f>'P0-3_Scorecard'!L109</f>
        <v/>
      </c>
      <c r="F248" s="18">
        <f>'P0-3_Scorecard'!M109</f>
        <v/>
      </c>
      <c r="G248" s="18">
        <f>'P0-3_Scorecard'!E109</f>
        <v/>
      </c>
      <c r="H248" s="18">
        <f>'P0-3_Scorecard'!H109</f>
        <v/>
      </c>
      <c r="I248" s="18">
        <f>IF(OR(D248="",E248=""),"INCOMPLETE",IF(AND(D248&gt;=70,E248&lt;60),"DEPENDENCY GAP",IF(AND(D248&gt;=70,G248&lt;F248),"REQUIRED MATURITY GAP","OK")))</f>
        <v/>
      </c>
      <c r="J248" s="18" t="inlineStr">
        <is>
          <t>Employability evidence review</t>
        </is>
      </c>
    </row>
    <row r="249">
      <c r="A249" s="18" t="inlineStr">
        <is>
          <t>CD13</t>
        </is>
      </c>
      <c r="B249" s="18" t="inlineStr">
        <is>
          <t>D06-I11</t>
        </is>
      </c>
      <c r="C249" s="18" t="inlineStr">
        <is>
          <t>D09-I06</t>
        </is>
      </c>
      <c r="D249" s="18">
        <f>'P0-3_Scorecard'!L77</f>
        <v/>
      </c>
      <c r="E249" s="18">
        <f>'P0-3_Scorecard'!L110</f>
        <v/>
      </c>
      <c r="F249" s="18">
        <f>'P0-3_Scorecard'!M110</f>
        <v/>
      </c>
      <c r="G249" s="18">
        <f>'P0-3_Scorecard'!E110</f>
        <v/>
      </c>
      <c r="H249" s="18">
        <f>'P0-3_Scorecard'!H110</f>
        <v/>
      </c>
      <c r="I249" s="18">
        <f>IF(OR(D249="",E249=""),"INCOMPLETE",IF(AND(D249&gt;=70,E249&lt;60),"DEPENDENCY GAP",IF(AND(D249&gt;=70,G249&lt;F249),"REQUIRED MATURITY GAP","OK")))</f>
        <v/>
      </c>
      <c r="J249" s="18" t="inlineStr">
        <is>
          <t>Employability evidence review</t>
        </is>
      </c>
    </row>
    <row r="250">
      <c r="A250" s="18" t="inlineStr">
        <is>
          <t>CD13</t>
        </is>
      </c>
      <c r="B250" s="18" t="inlineStr">
        <is>
          <t>D06-I11</t>
        </is>
      </c>
      <c r="C250" s="18" t="inlineStr">
        <is>
          <t>D09-I07</t>
        </is>
      </c>
      <c r="D250" s="18">
        <f>'P0-3_Scorecard'!L77</f>
        <v/>
      </c>
      <c r="E250" s="18">
        <f>'P0-3_Scorecard'!L111</f>
        <v/>
      </c>
      <c r="F250" s="18">
        <f>'P0-3_Scorecard'!M111</f>
        <v/>
      </c>
      <c r="G250" s="18">
        <f>'P0-3_Scorecard'!E111</f>
        <v/>
      </c>
      <c r="H250" s="18">
        <f>'P0-3_Scorecard'!H111</f>
        <v/>
      </c>
      <c r="I250" s="18">
        <f>IF(OR(D250="",E250=""),"INCOMPLETE",IF(AND(D250&gt;=70,E250&lt;60),"DEPENDENCY GAP",IF(AND(D250&gt;=70,G250&lt;F250),"REQUIRED MATURITY GAP","OK")))</f>
        <v/>
      </c>
      <c r="J250" s="18" t="inlineStr">
        <is>
          <t>Employability evidence review</t>
        </is>
      </c>
    </row>
    <row r="251">
      <c r="A251" s="18" t="inlineStr">
        <is>
          <t>CD13</t>
        </is>
      </c>
      <c r="B251" s="18" t="inlineStr">
        <is>
          <t>D06-I11</t>
        </is>
      </c>
      <c r="C251" s="18" t="inlineStr">
        <is>
          <t>D09-I08</t>
        </is>
      </c>
      <c r="D251" s="18">
        <f>'P0-3_Scorecard'!L77</f>
        <v/>
      </c>
      <c r="E251" s="18">
        <f>'P0-3_Scorecard'!L112</f>
        <v/>
      </c>
      <c r="F251" s="18">
        <f>'P0-3_Scorecard'!M112</f>
        <v/>
      </c>
      <c r="G251" s="18">
        <f>'P0-3_Scorecard'!E112</f>
        <v/>
      </c>
      <c r="H251" s="18">
        <f>'P0-3_Scorecard'!H112</f>
        <v/>
      </c>
      <c r="I251" s="18">
        <f>IF(OR(D251="",E251=""),"INCOMPLETE",IF(AND(D251&gt;=70,E251&lt;60),"DEPENDENCY GAP",IF(AND(D251&gt;=70,G251&lt;F251),"REQUIRED MATURITY GAP","OK")))</f>
        <v/>
      </c>
      <c r="J251" s="18" t="inlineStr">
        <is>
          <t>Employability evidence review</t>
        </is>
      </c>
    </row>
    <row r="252">
      <c r="A252" s="18" t="inlineStr">
        <is>
          <t>CD13</t>
        </is>
      </c>
      <c r="B252" s="18" t="inlineStr">
        <is>
          <t>D06-I11</t>
        </is>
      </c>
      <c r="C252" s="18" t="inlineStr">
        <is>
          <t>D09-I09</t>
        </is>
      </c>
      <c r="D252" s="18">
        <f>'P0-3_Scorecard'!L77</f>
        <v/>
      </c>
      <c r="E252" s="18">
        <f>'P0-3_Scorecard'!L113</f>
        <v/>
      </c>
      <c r="F252" s="18">
        <f>'P0-3_Scorecard'!M113</f>
        <v/>
      </c>
      <c r="G252" s="18">
        <f>'P0-3_Scorecard'!E113</f>
        <v/>
      </c>
      <c r="H252" s="18">
        <f>'P0-3_Scorecard'!H113</f>
        <v/>
      </c>
      <c r="I252" s="18">
        <f>IF(OR(D252="",E252=""),"INCOMPLETE",IF(AND(D252&gt;=70,E252&lt;60),"DEPENDENCY GAP",IF(AND(D252&gt;=70,G252&lt;F252),"REQUIRED MATURITY GAP","OK")))</f>
        <v/>
      </c>
      <c r="J252" s="18" t="inlineStr">
        <is>
          <t>Employability evidence review</t>
        </is>
      </c>
    </row>
    <row r="253">
      <c r="A253" s="18" t="inlineStr">
        <is>
          <t>CD14</t>
        </is>
      </c>
      <c r="B253" s="18" t="inlineStr">
        <is>
          <t>D07-I07</t>
        </is>
      </c>
      <c r="C253" s="18" t="inlineStr">
        <is>
          <t>D08-I02</t>
        </is>
      </c>
      <c r="D253" s="18">
        <f>'P0-3_Scorecard'!L87</f>
        <v/>
      </c>
      <c r="E253" s="18">
        <f>'P0-3_Scorecard'!L94</f>
        <v/>
      </c>
      <c r="F253" s="18">
        <f>'P0-3_Scorecard'!M94</f>
        <v/>
      </c>
      <c r="G253" s="18">
        <f>'P0-3_Scorecard'!E94</f>
        <v/>
      </c>
      <c r="H253" s="18">
        <f>'P0-3_Scorecard'!H94</f>
        <v/>
      </c>
      <c r="I253" s="18">
        <f>IF(OR(D253="",E253=""),"INCOMPLETE",IF(AND(D253&gt;=70,E253&lt;60),"DEPENDENCY GAP",IF(AND(D253&gt;=70,G253&lt;F253),"REQUIRED MATURITY GAP","OK")))</f>
        <v/>
      </c>
      <c r="J253" s="18" t="inlineStr">
        <is>
          <t>Data/evidence architecture review</t>
        </is>
      </c>
    </row>
    <row r="254">
      <c r="A254" s="18" t="inlineStr">
        <is>
          <t>CD14</t>
        </is>
      </c>
      <c r="B254" s="18" t="inlineStr">
        <is>
          <t>D07-I07</t>
        </is>
      </c>
      <c r="C254" s="18" t="inlineStr">
        <is>
          <t>D08-I03</t>
        </is>
      </c>
      <c r="D254" s="18">
        <f>'P0-3_Scorecard'!L87</f>
        <v/>
      </c>
      <c r="E254" s="18">
        <f>'P0-3_Scorecard'!L95</f>
        <v/>
      </c>
      <c r="F254" s="18">
        <f>'P0-3_Scorecard'!M95</f>
        <v/>
      </c>
      <c r="G254" s="18">
        <f>'P0-3_Scorecard'!E95</f>
        <v/>
      </c>
      <c r="H254" s="18">
        <f>'P0-3_Scorecard'!H95</f>
        <v/>
      </c>
      <c r="I254" s="18">
        <f>IF(OR(D254="",E254=""),"INCOMPLETE",IF(AND(D254&gt;=70,E254&lt;60),"DEPENDENCY GAP",IF(AND(D254&gt;=70,G254&lt;F254),"REQUIRED MATURITY GAP","OK")))</f>
        <v/>
      </c>
      <c r="J254" s="18" t="inlineStr">
        <is>
          <t>Data/evidence architecture review</t>
        </is>
      </c>
    </row>
    <row r="255">
      <c r="A255" s="18" t="inlineStr">
        <is>
          <t>CD14</t>
        </is>
      </c>
      <c r="B255" s="18" t="inlineStr">
        <is>
          <t>D07-I07</t>
        </is>
      </c>
      <c r="C255" s="18" t="inlineStr">
        <is>
          <t>D08-I04</t>
        </is>
      </c>
      <c r="D255" s="18">
        <f>'P0-3_Scorecard'!L87</f>
        <v/>
      </c>
      <c r="E255" s="18">
        <f>'P0-3_Scorecard'!L96</f>
        <v/>
      </c>
      <c r="F255" s="18">
        <f>'P0-3_Scorecard'!M96</f>
        <v/>
      </c>
      <c r="G255" s="18">
        <f>'P0-3_Scorecard'!E96</f>
        <v/>
      </c>
      <c r="H255" s="18">
        <f>'P0-3_Scorecard'!H96</f>
        <v/>
      </c>
      <c r="I255" s="18">
        <f>IF(OR(D255="",E255=""),"INCOMPLETE",IF(AND(D255&gt;=70,E255&lt;60),"DEPENDENCY GAP",IF(AND(D255&gt;=70,G255&lt;F255),"REQUIRED MATURITY GAP","OK")))</f>
        <v/>
      </c>
      <c r="J255" s="18" t="inlineStr">
        <is>
          <t>Data/evidence architecture review</t>
        </is>
      </c>
    </row>
    <row r="256">
      <c r="A256" s="18" t="inlineStr">
        <is>
          <t>CD14</t>
        </is>
      </c>
      <c r="B256" s="18" t="inlineStr">
        <is>
          <t>D07-I07</t>
        </is>
      </c>
      <c r="C256" s="18" t="inlineStr">
        <is>
          <t>D08-I05</t>
        </is>
      </c>
      <c r="D256" s="18">
        <f>'P0-3_Scorecard'!L87</f>
        <v/>
      </c>
      <c r="E256" s="18">
        <f>'P0-3_Scorecard'!L97</f>
        <v/>
      </c>
      <c r="F256" s="18">
        <f>'P0-3_Scorecard'!M97</f>
        <v/>
      </c>
      <c r="G256" s="18">
        <f>'P0-3_Scorecard'!E97</f>
        <v/>
      </c>
      <c r="H256" s="18">
        <f>'P0-3_Scorecard'!H97</f>
        <v/>
      </c>
      <c r="I256" s="18">
        <f>IF(OR(D256="",E256=""),"INCOMPLETE",IF(AND(D256&gt;=70,E256&lt;60),"DEPENDENCY GAP",IF(AND(D256&gt;=70,G256&lt;F256),"REQUIRED MATURITY GAP","OK")))</f>
        <v/>
      </c>
      <c r="J256" s="18" t="inlineStr">
        <is>
          <t>Data/evidence architecture review</t>
        </is>
      </c>
    </row>
    <row r="257">
      <c r="A257" s="18" t="inlineStr">
        <is>
          <t>CD14</t>
        </is>
      </c>
      <c r="B257" s="18" t="inlineStr">
        <is>
          <t>D07-I07</t>
        </is>
      </c>
      <c r="C257" s="18" t="inlineStr">
        <is>
          <t>D08-I12</t>
        </is>
      </c>
      <c r="D257" s="18">
        <f>'P0-3_Scorecard'!L87</f>
        <v/>
      </c>
      <c r="E257" s="18">
        <f>'P0-3_Scorecard'!L104</f>
        <v/>
      </c>
      <c r="F257" s="18">
        <f>'P0-3_Scorecard'!M104</f>
        <v/>
      </c>
      <c r="G257" s="18">
        <f>'P0-3_Scorecard'!E104</f>
        <v/>
      </c>
      <c r="H257" s="18">
        <f>'P0-3_Scorecard'!H104</f>
        <v/>
      </c>
      <c r="I257" s="18">
        <f>IF(OR(D257="",E257=""),"INCOMPLETE",IF(AND(D257&gt;=70,E257&lt;60),"DEPENDENCY GAP",IF(AND(D257&gt;=70,G257&lt;F257),"REQUIRED MATURITY GAP","OK")))</f>
        <v/>
      </c>
      <c r="J257" s="18" t="inlineStr">
        <is>
          <t>Data/evidence architecture review</t>
        </is>
      </c>
    </row>
    <row r="258">
      <c r="A258" s="18" t="inlineStr">
        <is>
          <t>CD14</t>
        </is>
      </c>
      <c r="B258" s="18" t="inlineStr">
        <is>
          <t>D07-I08</t>
        </is>
      </c>
      <c r="C258" s="18" t="inlineStr">
        <is>
          <t>D08-I02</t>
        </is>
      </c>
      <c r="D258" s="18">
        <f>'P0-3_Scorecard'!L88</f>
        <v/>
      </c>
      <c r="E258" s="18">
        <f>'P0-3_Scorecard'!L94</f>
        <v/>
      </c>
      <c r="F258" s="18">
        <f>'P0-3_Scorecard'!M94</f>
        <v/>
      </c>
      <c r="G258" s="18">
        <f>'P0-3_Scorecard'!E94</f>
        <v/>
      </c>
      <c r="H258" s="18">
        <f>'P0-3_Scorecard'!H94</f>
        <v/>
      </c>
      <c r="I258" s="18">
        <f>IF(OR(D258="",E258=""),"INCOMPLETE",IF(AND(D258&gt;=70,E258&lt;60),"DEPENDENCY GAP",IF(AND(D258&gt;=70,G258&lt;F258),"REQUIRED MATURITY GAP","OK")))</f>
        <v/>
      </c>
      <c r="J258" s="18" t="inlineStr">
        <is>
          <t>Data/evidence architecture review</t>
        </is>
      </c>
    </row>
    <row r="259">
      <c r="A259" s="18" t="inlineStr">
        <is>
          <t>CD14</t>
        </is>
      </c>
      <c r="B259" s="18" t="inlineStr">
        <is>
          <t>D07-I08</t>
        </is>
      </c>
      <c r="C259" s="18" t="inlineStr">
        <is>
          <t>D08-I03</t>
        </is>
      </c>
      <c r="D259" s="18">
        <f>'P0-3_Scorecard'!L88</f>
        <v/>
      </c>
      <c r="E259" s="18">
        <f>'P0-3_Scorecard'!L95</f>
        <v/>
      </c>
      <c r="F259" s="18">
        <f>'P0-3_Scorecard'!M95</f>
        <v/>
      </c>
      <c r="G259" s="18">
        <f>'P0-3_Scorecard'!E95</f>
        <v/>
      </c>
      <c r="H259" s="18">
        <f>'P0-3_Scorecard'!H95</f>
        <v/>
      </c>
      <c r="I259" s="18">
        <f>IF(OR(D259="",E259=""),"INCOMPLETE",IF(AND(D259&gt;=70,E259&lt;60),"DEPENDENCY GAP",IF(AND(D259&gt;=70,G259&lt;F259),"REQUIRED MATURITY GAP","OK")))</f>
        <v/>
      </c>
      <c r="J259" s="18" t="inlineStr">
        <is>
          <t>Data/evidence architecture review</t>
        </is>
      </c>
    </row>
    <row r="260">
      <c r="A260" s="18" t="inlineStr">
        <is>
          <t>CD14</t>
        </is>
      </c>
      <c r="B260" s="18" t="inlineStr">
        <is>
          <t>D07-I08</t>
        </is>
      </c>
      <c r="C260" s="18" t="inlineStr">
        <is>
          <t>D08-I04</t>
        </is>
      </c>
      <c r="D260" s="18">
        <f>'P0-3_Scorecard'!L88</f>
        <v/>
      </c>
      <c r="E260" s="18">
        <f>'P0-3_Scorecard'!L96</f>
        <v/>
      </c>
      <c r="F260" s="18">
        <f>'P0-3_Scorecard'!M96</f>
        <v/>
      </c>
      <c r="G260" s="18">
        <f>'P0-3_Scorecard'!E96</f>
        <v/>
      </c>
      <c r="H260" s="18">
        <f>'P0-3_Scorecard'!H96</f>
        <v/>
      </c>
      <c r="I260" s="18">
        <f>IF(OR(D260="",E260=""),"INCOMPLETE",IF(AND(D260&gt;=70,E260&lt;60),"DEPENDENCY GAP",IF(AND(D260&gt;=70,G260&lt;F260),"REQUIRED MATURITY GAP","OK")))</f>
        <v/>
      </c>
      <c r="J260" s="18" t="inlineStr">
        <is>
          <t>Data/evidence architecture review</t>
        </is>
      </c>
    </row>
    <row r="261">
      <c r="A261" s="18" t="inlineStr">
        <is>
          <t>CD14</t>
        </is>
      </c>
      <c r="B261" s="18" t="inlineStr">
        <is>
          <t>D07-I08</t>
        </is>
      </c>
      <c r="C261" s="18" t="inlineStr">
        <is>
          <t>D08-I05</t>
        </is>
      </c>
      <c r="D261" s="18">
        <f>'P0-3_Scorecard'!L88</f>
        <v/>
      </c>
      <c r="E261" s="18">
        <f>'P0-3_Scorecard'!L97</f>
        <v/>
      </c>
      <c r="F261" s="18">
        <f>'P0-3_Scorecard'!M97</f>
        <v/>
      </c>
      <c r="G261" s="18">
        <f>'P0-3_Scorecard'!E97</f>
        <v/>
      </c>
      <c r="H261" s="18">
        <f>'P0-3_Scorecard'!H97</f>
        <v/>
      </c>
      <c r="I261" s="18">
        <f>IF(OR(D261="",E261=""),"INCOMPLETE",IF(AND(D261&gt;=70,E261&lt;60),"DEPENDENCY GAP",IF(AND(D261&gt;=70,G261&lt;F261),"REQUIRED MATURITY GAP","OK")))</f>
        <v/>
      </c>
      <c r="J261" s="18" t="inlineStr">
        <is>
          <t>Data/evidence architecture review</t>
        </is>
      </c>
    </row>
    <row r="262">
      <c r="A262" s="18" t="inlineStr">
        <is>
          <t>CD14</t>
        </is>
      </c>
      <c r="B262" s="18" t="inlineStr">
        <is>
          <t>D07-I08</t>
        </is>
      </c>
      <c r="C262" s="18" t="inlineStr">
        <is>
          <t>D08-I12</t>
        </is>
      </c>
      <c r="D262" s="18">
        <f>'P0-3_Scorecard'!L88</f>
        <v/>
      </c>
      <c r="E262" s="18">
        <f>'P0-3_Scorecard'!L104</f>
        <v/>
      </c>
      <c r="F262" s="18">
        <f>'P0-3_Scorecard'!M104</f>
        <v/>
      </c>
      <c r="G262" s="18">
        <f>'P0-3_Scorecard'!E104</f>
        <v/>
      </c>
      <c r="H262" s="18">
        <f>'P0-3_Scorecard'!H104</f>
        <v/>
      </c>
      <c r="I262" s="18">
        <f>IF(OR(D262="",E262=""),"INCOMPLETE",IF(AND(D262&gt;=70,E262&lt;60),"DEPENDENCY GAP",IF(AND(D262&gt;=70,G262&lt;F262),"REQUIRED MATURITY GAP","OK")))</f>
        <v/>
      </c>
      <c r="J262" s="18" t="inlineStr">
        <is>
          <t>Data/evidence architecture review</t>
        </is>
      </c>
    </row>
    <row r="263">
      <c r="A263" s="18" t="inlineStr">
        <is>
          <t>CD14</t>
        </is>
      </c>
      <c r="B263" s="18" t="inlineStr">
        <is>
          <t>D07-I12</t>
        </is>
      </c>
      <c r="C263" s="18" t="inlineStr">
        <is>
          <t>D08-I02</t>
        </is>
      </c>
      <c r="D263" s="18">
        <f>'P0-3_Scorecard'!L92</f>
        <v/>
      </c>
      <c r="E263" s="18">
        <f>'P0-3_Scorecard'!L94</f>
        <v/>
      </c>
      <c r="F263" s="18">
        <f>'P0-3_Scorecard'!M94</f>
        <v/>
      </c>
      <c r="G263" s="18">
        <f>'P0-3_Scorecard'!E94</f>
        <v/>
      </c>
      <c r="H263" s="18">
        <f>'P0-3_Scorecard'!H94</f>
        <v/>
      </c>
      <c r="I263" s="18">
        <f>IF(OR(D263="",E263=""),"INCOMPLETE",IF(AND(D263&gt;=70,E263&lt;60),"DEPENDENCY GAP",IF(AND(D263&gt;=70,G263&lt;F263),"REQUIRED MATURITY GAP","OK")))</f>
        <v/>
      </c>
      <c r="J263" s="18" t="inlineStr">
        <is>
          <t>Data/evidence architecture review</t>
        </is>
      </c>
    </row>
    <row r="264">
      <c r="A264" s="18" t="inlineStr">
        <is>
          <t>CD14</t>
        </is>
      </c>
      <c r="B264" s="18" t="inlineStr">
        <is>
          <t>D07-I12</t>
        </is>
      </c>
      <c r="C264" s="18" t="inlineStr">
        <is>
          <t>D08-I03</t>
        </is>
      </c>
      <c r="D264" s="18">
        <f>'P0-3_Scorecard'!L92</f>
        <v/>
      </c>
      <c r="E264" s="18">
        <f>'P0-3_Scorecard'!L95</f>
        <v/>
      </c>
      <c r="F264" s="18">
        <f>'P0-3_Scorecard'!M95</f>
        <v/>
      </c>
      <c r="G264" s="18">
        <f>'P0-3_Scorecard'!E95</f>
        <v/>
      </c>
      <c r="H264" s="18">
        <f>'P0-3_Scorecard'!H95</f>
        <v/>
      </c>
      <c r="I264" s="18">
        <f>IF(OR(D264="",E264=""),"INCOMPLETE",IF(AND(D264&gt;=70,E264&lt;60),"DEPENDENCY GAP",IF(AND(D264&gt;=70,G264&lt;F264),"REQUIRED MATURITY GAP","OK")))</f>
        <v/>
      </c>
      <c r="J264" s="18" t="inlineStr">
        <is>
          <t>Data/evidence architecture review</t>
        </is>
      </c>
    </row>
    <row r="265">
      <c r="A265" s="18" t="inlineStr">
        <is>
          <t>CD14</t>
        </is>
      </c>
      <c r="B265" s="18" t="inlineStr">
        <is>
          <t>D07-I12</t>
        </is>
      </c>
      <c r="C265" s="18" t="inlineStr">
        <is>
          <t>D08-I04</t>
        </is>
      </c>
      <c r="D265" s="18">
        <f>'P0-3_Scorecard'!L92</f>
        <v/>
      </c>
      <c r="E265" s="18">
        <f>'P0-3_Scorecard'!L96</f>
        <v/>
      </c>
      <c r="F265" s="18">
        <f>'P0-3_Scorecard'!M96</f>
        <v/>
      </c>
      <c r="G265" s="18">
        <f>'P0-3_Scorecard'!E96</f>
        <v/>
      </c>
      <c r="H265" s="18">
        <f>'P0-3_Scorecard'!H96</f>
        <v/>
      </c>
      <c r="I265" s="18">
        <f>IF(OR(D265="",E265=""),"INCOMPLETE",IF(AND(D265&gt;=70,E265&lt;60),"DEPENDENCY GAP",IF(AND(D265&gt;=70,G265&lt;F265),"REQUIRED MATURITY GAP","OK")))</f>
        <v/>
      </c>
      <c r="J265" s="18" t="inlineStr">
        <is>
          <t>Data/evidence architecture review</t>
        </is>
      </c>
    </row>
    <row r="266">
      <c r="A266" s="18" t="inlineStr">
        <is>
          <t>CD14</t>
        </is>
      </c>
      <c r="B266" s="18" t="inlineStr">
        <is>
          <t>D07-I12</t>
        </is>
      </c>
      <c r="C266" s="18" t="inlineStr">
        <is>
          <t>D08-I05</t>
        </is>
      </c>
      <c r="D266" s="18">
        <f>'P0-3_Scorecard'!L92</f>
        <v/>
      </c>
      <c r="E266" s="18">
        <f>'P0-3_Scorecard'!L97</f>
        <v/>
      </c>
      <c r="F266" s="18">
        <f>'P0-3_Scorecard'!M97</f>
        <v/>
      </c>
      <c r="G266" s="18">
        <f>'P0-3_Scorecard'!E97</f>
        <v/>
      </c>
      <c r="H266" s="18">
        <f>'P0-3_Scorecard'!H97</f>
        <v/>
      </c>
      <c r="I266" s="18">
        <f>IF(OR(D266="",E266=""),"INCOMPLETE",IF(AND(D266&gt;=70,E266&lt;60),"DEPENDENCY GAP",IF(AND(D266&gt;=70,G266&lt;F266),"REQUIRED MATURITY GAP","OK")))</f>
        <v/>
      </c>
      <c r="J266" s="18" t="inlineStr">
        <is>
          <t>Data/evidence architecture review</t>
        </is>
      </c>
    </row>
    <row r="267">
      <c r="A267" s="18" t="inlineStr">
        <is>
          <t>CD14</t>
        </is>
      </c>
      <c r="B267" s="18" t="inlineStr">
        <is>
          <t>D07-I12</t>
        </is>
      </c>
      <c r="C267" s="18" t="inlineStr">
        <is>
          <t>D08-I12</t>
        </is>
      </c>
      <c r="D267" s="18">
        <f>'P0-3_Scorecard'!L92</f>
        <v/>
      </c>
      <c r="E267" s="18">
        <f>'P0-3_Scorecard'!L104</f>
        <v/>
      </c>
      <c r="F267" s="18">
        <f>'P0-3_Scorecard'!M104</f>
        <v/>
      </c>
      <c r="G267" s="18">
        <f>'P0-3_Scorecard'!E104</f>
        <v/>
      </c>
      <c r="H267" s="18">
        <f>'P0-3_Scorecard'!H104</f>
        <v/>
      </c>
      <c r="I267" s="18">
        <f>IF(OR(D267="",E267=""),"INCOMPLETE",IF(AND(D267&gt;=70,E267&lt;60),"DEPENDENCY GAP",IF(AND(D267&gt;=70,G267&lt;F267),"REQUIRED MATURITY GAP","OK")))</f>
        <v/>
      </c>
      <c r="J267" s="18" t="inlineStr">
        <is>
          <t>Data/evidence architecture review</t>
        </is>
      </c>
    </row>
    <row r="268">
      <c r="A268" s="18" t="inlineStr">
        <is>
          <t>CD15</t>
        </is>
      </c>
      <c r="B268" s="18" t="inlineStr">
        <is>
          <t>D08-I05</t>
        </is>
      </c>
      <c r="C268" s="18" t="inlineStr">
        <is>
          <t>D09-I01</t>
        </is>
      </c>
      <c r="D268" s="18">
        <f>'P0-3_Scorecard'!L97</f>
        <v/>
      </c>
      <c r="E268" s="18">
        <f>'P0-3_Scorecard'!L105</f>
        <v/>
      </c>
      <c r="F268" s="18">
        <f>'P0-3_Scorecard'!M105</f>
        <v/>
      </c>
      <c r="G268" s="18">
        <f>'P0-3_Scorecard'!E105</f>
        <v/>
      </c>
      <c r="H268" s="18">
        <f>'P0-3_Scorecard'!H105</f>
        <v/>
      </c>
      <c r="I268" s="18">
        <f>IF(OR(D268="",E268=""),"INCOMPLETE",IF(AND(D268&gt;=70,E268&lt;60),"DEPENDENCY GAP",IF(AND(D268&gt;=70,G268&lt;F268),"REQUIRED MATURITY GAP","OK")))</f>
        <v/>
      </c>
      <c r="J268" s="18" t="inlineStr">
        <is>
          <t>Labour-market intelligence review</t>
        </is>
      </c>
    </row>
    <row r="269">
      <c r="A269" s="18" t="inlineStr">
        <is>
          <t>CD15</t>
        </is>
      </c>
      <c r="B269" s="18" t="inlineStr">
        <is>
          <t>D08-I05</t>
        </is>
      </c>
      <c r="C269" s="18" t="inlineStr">
        <is>
          <t>D09-I02</t>
        </is>
      </c>
      <c r="D269" s="18">
        <f>'P0-3_Scorecard'!L97</f>
        <v/>
      </c>
      <c r="E269" s="18">
        <f>'P0-3_Scorecard'!L106</f>
        <v/>
      </c>
      <c r="F269" s="18">
        <f>'P0-3_Scorecard'!M106</f>
        <v/>
      </c>
      <c r="G269" s="18">
        <f>'P0-3_Scorecard'!E106</f>
        <v/>
      </c>
      <c r="H269" s="18">
        <f>'P0-3_Scorecard'!H106</f>
        <v/>
      </c>
      <c r="I269" s="18">
        <f>IF(OR(D269="",E269=""),"INCOMPLETE",IF(AND(D269&gt;=70,E269&lt;60),"DEPENDENCY GAP",IF(AND(D269&gt;=70,G269&lt;F269),"REQUIRED MATURITY GAP","OK")))</f>
        <v/>
      </c>
      <c r="J269" s="18" t="inlineStr">
        <is>
          <t>Labour-market intelligence review</t>
        </is>
      </c>
    </row>
    <row r="270">
      <c r="A270" s="18" t="inlineStr">
        <is>
          <t>CD15</t>
        </is>
      </c>
      <c r="B270" s="18" t="inlineStr">
        <is>
          <t>D08-I05</t>
        </is>
      </c>
      <c r="C270" s="18" t="inlineStr">
        <is>
          <t>D09-I03</t>
        </is>
      </c>
      <c r="D270" s="18">
        <f>'P0-3_Scorecard'!L97</f>
        <v/>
      </c>
      <c r="E270" s="18">
        <f>'P0-3_Scorecard'!L107</f>
        <v/>
      </c>
      <c r="F270" s="18">
        <f>'P0-3_Scorecard'!M107</f>
        <v/>
      </c>
      <c r="G270" s="18">
        <f>'P0-3_Scorecard'!E107</f>
        <v/>
      </c>
      <c r="H270" s="18">
        <f>'P0-3_Scorecard'!H107</f>
        <v/>
      </c>
      <c r="I270" s="18">
        <f>IF(OR(D270="",E270=""),"INCOMPLETE",IF(AND(D270&gt;=70,E270&lt;60),"DEPENDENCY GAP",IF(AND(D270&gt;=70,G270&lt;F270),"REQUIRED MATURITY GAP","OK")))</f>
        <v/>
      </c>
      <c r="J270" s="18" t="inlineStr">
        <is>
          <t>Labour-market intelligence review</t>
        </is>
      </c>
    </row>
    <row r="271">
      <c r="A271" s="18" t="inlineStr">
        <is>
          <t>CD15</t>
        </is>
      </c>
      <c r="B271" s="18" t="inlineStr">
        <is>
          <t>D08-I05</t>
        </is>
      </c>
      <c r="C271" s="18" t="inlineStr">
        <is>
          <t>D09-I12</t>
        </is>
      </c>
      <c r="D271" s="18">
        <f>'P0-3_Scorecard'!L97</f>
        <v/>
      </c>
      <c r="E271" s="18">
        <f>'P0-3_Scorecard'!L116</f>
        <v/>
      </c>
      <c r="F271" s="18">
        <f>'P0-3_Scorecard'!M116</f>
        <v/>
      </c>
      <c r="G271" s="18">
        <f>'P0-3_Scorecard'!E116</f>
        <v/>
      </c>
      <c r="H271" s="18">
        <f>'P0-3_Scorecard'!H116</f>
        <v/>
      </c>
      <c r="I271" s="18">
        <f>IF(OR(D271="",E271=""),"INCOMPLETE",IF(AND(D271&gt;=70,E271&lt;60),"DEPENDENCY GAP",IF(AND(D271&gt;=70,G271&lt;F271),"REQUIRED MATURITY GAP","OK")))</f>
        <v/>
      </c>
      <c r="J271" s="18" t="inlineStr">
        <is>
          <t>Labour-market intelligence review</t>
        </is>
      </c>
    </row>
    <row r="272">
      <c r="A272" s="18" t="inlineStr">
        <is>
          <t>CD15</t>
        </is>
      </c>
      <c r="B272" s="18" t="inlineStr">
        <is>
          <t>D08-I12</t>
        </is>
      </c>
      <c r="C272" s="18" t="inlineStr">
        <is>
          <t>D09-I01</t>
        </is>
      </c>
      <c r="D272" s="18">
        <f>'P0-3_Scorecard'!L104</f>
        <v/>
      </c>
      <c r="E272" s="18">
        <f>'P0-3_Scorecard'!L105</f>
        <v/>
      </c>
      <c r="F272" s="18">
        <f>'P0-3_Scorecard'!M105</f>
        <v/>
      </c>
      <c r="G272" s="18">
        <f>'P0-3_Scorecard'!E105</f>
        <v/>
      </c>
      <c r="H272" s="18">
        <f>'P0-3_Scorecard'!H105</f>
        <v/>
      </c>
      <c r="I272" s="18">
        <f>IF(OR(D272="",E272=""),"INCOMPLETE",IF(AND(D272&gt;=70,E272&lt;60),"DEPENDENCY GAP",IF(AND(D272&gt;=70,G272&lt;F272),"REQUIRED MATURITY GAP","OK")))</f>
        <v/>
      </c>
      <c r="J272" s="18" t="inlineStr">
        <is>
          <t>Labour-market intelligence review</t>
        </is>
      </c>
    </row>
    <row r="273">
      <c r="A273" s="18" t="inlineStr">
        <is>
          <t>CD15</t>
        </is>
      </c>
      <c r="B273" s="18" t="inlineStr">
        <is>
          <t>D08-I12</t>
        </is>
      </c>
      <c r="C273" s="18" t="inlineStr">
        <is>
          <t>D09-I02</t>
        </is>
      </c>
      <c r="D273" s="18">
        <f>'P0-3_Scorecard'!L104</f>
        <v/>
      </c>
      <c r="E273" s="18">
        <f>'P0-3_Scorecard'!L106</f>
        <v/>
      </c>
      <c r="F273" s="18">
        <f>'P0-3_Scorecard'!M106</f>
        <v/>
      </c>
      <c r="G273" s="18">
        <f>'P0-3_Scorecard'!E106</f>
        <v/>
      </c>
      <c r="H273" s="18">
        <f>'P0-3_Scorecard'!H106</f>
        <v/>
      </c>
      <c r="I273" s="18">
        <f>IF(OR(D273="",E273=""),"INCOMPLETE",IF(AND(D273&gt;=70,E273&lt;60),"DEPENDENCY GAP",IF(AND(D273&gt;=70,G273&lt;F273),"REQUIRED MATURITY GAP","OK")))</f>
        <v/>
      </c>
      <c r="J273" s="18" t="inlineStr">
        <is>
          <t>Labour-market intelligence review</t>
        </is>
      </c>
    </row>
    <row r="274">
      <c r="A274" s="18" t="inlineStr">
        <is>
          <t>CD15</t>
        </is>
      </c>
      <c r="B274" s="18" t="inlineStr">
        <is>
          <t>D08-I12</t>
        </is>
      </c>
      <c r="C274" s="18" t="inlineStr">
        <is>
          <t>D09-I03</t>
        </is>
      </c>
      <c r="D274" s="18">
        <f>'P0-3_Scorecard'!L104</f>
        <v/>
      </c>
      <c r="E274" s="18">
        <f>'P0-3_Scorecard'!L107</f>
        <v/>
      </c>
      <c r="F274" s="18">
        <f>'P0-3_Scorecard'!M107</f>
        <v/>
      </c>
      <c r="G274" s="18">
        <f>'P0-3_Scorecard'!E107</f>
        <v/>
      </c>
      <c r="H274" s="18">
        <f>'P0-3_Scorecard'!H107</f>
        <v/>
      </c>
      <c r="I274" s="18">
        <f>IF(OR(D274="",E274=""),"INCOMPLETE",IF(AND(D274&gt;=70,E274&lt;60),"DEPENDENCY GAP",IF(AND(D274&gt;=70,G274&lt;F274),"REQUIRED MATURITY GAP","OK")))</f>
        <v/>
      </c>
      <c r="J274" s="18" t="inlineStr">
        <is>
          <t>Labour-market intelligence review</t>
        </is>
      </c>
    </row>
    <row r="275">
      <c r="A275" s="18" t="inlineStr">
        <is>
          <t>CD15</t>
        </is>
      </c>
      <c r="B275" s="18" t="inlineStr">
        <is>
          <t>D08-I12</t>
        </is>
      </c>
      <c r="C275" s="18" t="inlineStr">
        <is>
          <t>D09-I12</t>
        </is>
      </c>
      <c r="D275" s="18">
        <f>'P0-3_Scorecard'!L104</f>
        <v/>
      </c>
      <c r="E275" s="18">
        <f>'P0-3_Scorecard'!L116</f>
        <v/>
      </c>
      <c r="F275" s="18">
        <f>'P0-3_Scorecard'!M116</f>
        <v/>
      </c>
      <c r="G275" s="18">
        <f>'P0-3_Scorecard'!E116</f>
        <v/>
      </c>
      <c r="H275" s="18">
        <f>'P0-3_Scorecard'!H116</f>
        <v/>
      </c>
      <c r="I275" s="18">
        <f>IF(OR(D275="",E275=""),"INCOMPLETE",IF(AND(D275&gt;=70,E275&lt;60),"DEPENDENCY GAP",IF(AND(D275&gt;=70,G275&lt;F275),"REQUIRED MATURITY GAP","OK")))</f>
        <v/>
      </c>
      <c r="J275" s="18" t="inlineStr">
        <is>
          <t>Labour-market intelligence review</t>
        </is>
      </c>
    </row>
    <row r="276">
      <c r="A276" s="18" t="inlineStr">
        <is>
          <t>CD16</t>
        </is>
      </c>
      <c r="B276" s="18" t="inlineStr">
        <is>
          <t>D09-I01</t>
        </is>
      </c>
      <c r="C276" s="18" t="inlineStr">
        <is>
          <t>D04-I01</t>
        </is>
      </c>
      <c r="D276" s="18">
        <f>'P0-3_Scorecard'!L105</f>
        <v/>
      </c>
      <c r="E276" s="18">
        <f>'P0-3_Scorecard'!L43</f>
        <v/>
      </c>
      <c r="F276" s="18">
        <f>'P0-3_Scorecard'!M43</f>
        <v/>
      </c>
      <c r="G276" s="18">
        <f>'P0-3_Scorecard'!E43</f>
        <v/>
      </c>
      <c r="H276" s="18">
        <f>'P0-3_Scorecard'!H43</f>
        <v/>
      </c>
      <c r="I276" s="18">
        <f>IF(OR(D276="",E276=""),"INCOMPLETE",IF(AND(D276&gt;=70,E276&lt;60),"DEPENDENCY GAP",IF(AND(D276&gt;=70,G276&lt;F276),"REQUIRED MATURITY GAP","OK")))</f>
        <v/>
      </c>
      <c r="J276" s="18" t="inlineStr">
        <is>
          <t>Programme portfolio review</t>
        </is>
      </c>
    </row>
    <row r="277">
      <c r="A277" s="18" t="inlineStr">
        <is>
          <t>CD16</t>
        </is>
      </c>
      <c r="B277" s="18" t="inlineStr">
        <is>
          <t>D09-I01</t>
        </is>
      </c>
      <c r="C277" s="18" t="inlineStr">
        <is>
          <t>D04-I03</t>
        </is>
      </c>
      <c r="D277" s="18">
        <f>'P0-3_Scorecard'!L105</f>
        <v/>
      </c>
      <c r="E277" s="18">
        <f>'P0-3_Scorecard'!L45</f>
        <v/>
      </c>
      <c r="F277" s="18">
        <f>'P0-3_Scorecard'!M45</f>
        <v/>
      </c>
      <c r="G277" s="18">
        <f>'P0-3_Scorecard'!E45</f>
        <v/>
      </c>
      <c r="H277" s="18">
        <f>'P0-3_Scorecard'!H45</f>
        <v/>
      </c>
      <c r="I277" s="18">
        <f>IF(OR(D277="",E277=""),"INCOMPLETE",IF(AND(D277&gt;=70,E277&lt;60),"DEPENDENCY GAP",IF(AND(D277&gt;=70,G277&lt;F277),"REQUIRED MATURITY GAP","OK")))</f>
        <v/>
      </c>
      <c r="J277" s="18" t="inlineStr">
        <is>
          <t>Programme portfolio review</t>
        </is>
      </c>
    </row>
    <row r="278">
      <c r="A278" s="18" t="inlineStr">
        <is>
          <t>CD16</t>
        </is>
      </c>
      <c r="B278" s="18" t="inlineStr">
        <is>
          <t>D09-I01</t>
        </is>
      </c>
      <c r="C278" s="18" t="inlineStr">
        <is>
          <t>D04-I08</t>
        </is>
      </c>
      <c r="D278" s="18">
        <f>'P0-3_Scorecard'!L105</f>
        <v/>
      </c>
      <c r="E278" s="18">
        <f>'P0-3_Scorecard'!L50</f>
        <v/>
      </c>
      <c r="F278" s="18">
        <f>'P0-3_Scorecard'!M50</f>
        <v/>
      </c>
      <c r="G278" s="18">
        <f>'P0-3_Scorecard'!E50</f>
        <v/>
      </c>
      <c r="H278" s="18">
        <f>'P0-3_Scorecard'!H50</f>
        <v/>
      </c>
      <c r="I278" s="18">
        <f>IF(OR(D278="",E278=""),"INCOMPLETE",IF(AND(D278&gt;=70,E278&lt;60),"DEPENDENCY GAP",IF(AND(D278&gt;=70,G278&lt;F278),"REQUIRED MATURITY GAP","OK")))</f>
        <v/>
      </c>
      <c r="J278" s="18" t="inlineStr">
        <is>
          <t>Programme portfolio review</t>
        </is>
      </c>
    </row>
    <row r="279">
      <c r="A279" s="18" t="inlineStr">
        <is>
          <t>CD16</t>
        </is>
      </c>
      <c r="B279" s="18" t="inlineStr">
        <is>
          <t>D09-I01</t>
        </is>
      </c>
      <c r="C279" s="18" t="inlineStr">
        <is>
          <t>D04-I12</t>
        </is>
      </c>
      <c r="D279" s="18">
        <f>'P0-3_Scorecard'!L105</f>
        <v/>
      </c>
      <c r="E279" s="18">
        <f>'P0-3_Scorecard'!L54</f>
        <v/>
      </c>
      <c r="F279" s="18">
        <f>'P0-3_Scorecard'!M54</f>
        <v/>
      </c>
      <c r="G279" s="18">
        <f>'P0-3_Scorecard'!E54</f>
        <v/>
      </c>
      <c r="H279" s="18">
        <f>'P0-3_Scorecard'!H54</f>
        <v/>
      </c>
      <c r="I279" s="18">
        <f>IF(OR(D279="",E279=""),"INCOMPLETE",IF(AND(D279&gt;=70,E279&lt;60),"DEPENDENCY GAP",IF(AND(D279&gt;=70,G279&lt;F279),"REQUIRED MATURITY GAP","OK")))</f>
        <v/>
      </c>
      <c r="J279" s="18" t="inlineStr">
        <is>
          <t>Programme portfolio review</t>
        </is>
      </c>
    </row>
    <row r="280">
      <c r="A280" s="18" t="inlineStr">
        <is>
          <t>CD16</t>
        </is>
      </c>
      <c r="B280" s="18" t="inlineStr">
        <is>
          <t>D09-I03</t>
        </is>
      </c>
      <c r="C280" s="18" t="inlineStr">
        <is>
          <t>D04-I01</t>
        </is>
      </c>
      <c r="D280" s="18">
        <f>'P0-3_Scorecard'!L107</f>
        <v/>
      </c>
      <c r="E280" s="18">
        <f>'P0-3_Scorecard'!L43</f>
        <v/>
      </c>
      <c r="F280" s="18">
        <f>'P0-3_Scorecard'!M43</f>
        <v/>
      </c>
      <c r="G280" s="18">
        <f>'P0-3_Scorecard'!E43</f>
        <v/>
      </c>
      <c r="H280" s="18">
        <f>'P0-3_Scorecard'!H43</f>
        <v/>
      </c>
      <c r="I280" s="18">
        <f>IF(OR(D280="",E280=""),"INCOMPLETE",IF(AND(D280&gt;=70,E280&lt;60),"DEPENDENCY GAP",IF(AND(D280&gt;=70,G280&lt;F280),"REQUIRED MATURITY GAP","OK")))</f>
        <v/>
      </c>
      <c r="J280" s="18" t="inlineStr">
        <is>
          <t>Programme portfolio review</t>
        </is>
      </c>
    </row>
    <row r="281">
      <c r="A281" s="18" t="inlineStr">
        <is>
          <t>CD16</t>
        </is>
      </c>
      <c r="B281" s="18" t="inlineStr">
        <is>
          <t>D09-I03</t>
        </is>
      </c>
      <c r="C281" s="18" t="inlineStr">
        <is>
          <t>D04-I03</t>
        </is>
      </c>
      <c r="D281" s="18">
        <f>'P0-3_Scorecard'!L107</f>
        <v/>
      </c>
      <c r="E281" s="18">
        <f>'P0-3_Scorecard'!L45</f>
        <v/>
      </c>
      <c r="F281" s="18">
        <f>'P0-3_Scorecard'!M45</f>
        <v/>
      </c>
      <c r="G281" s="18">
        <f>'P0-3_Scorecard'!E45</f>
        <v/>
      </c>
      <c r="H281" s="18">
        <f>'P0-3_Scorecard'!H45</f>
        <v/>
      </c>
      <c r="I281" s="18">
        <f>IF(OR(D281="",E281=""),"INCOMPLETE",IF(AND(D281&gt;=70,E281&lt;60),"DEPENDENCY GAP",IF(AND(D281&gt;=70,G281&lt;F281),"REQUIRED MATURITY GAP","OK")))</f>
        <v/>
      </c>
      <c r="J281" s="18" t="inlineStr">
        <is>
          <t>Programme portfolio review</t>
        </is>
      </c>
    </row>
    <row r="282">
      <c r="A282" s="18" t="inlineStr">
        <is>
          <t>CD16</t>
        </is>
      </c>
      <c r="B282" s="18" t="inlineStr">
        <is>
          <t>D09-I03</t>
        </is>
      </c>
      <c r="C282" s="18" t="inlineStr">
        <is>
          <t>D04-I08</t>
        </is>
      </c>
      <c r="D282" s="18">
        <f>'P0-3_Scorecard'!L107</f>
        <v/>
      </c>
      <c r="E282" s="18">
        <f>'P0-3_Scorecard'!L50</f>
        <v/>
      </c>
      <c r="F282" s="18">
        <f>'P0-3_Scorecard'!M50</f>
        <v/>
      </c>
      <c r="G282" s="18">
        <f>'P0-3_Scorecard'!E50</f>
        <v/>
      </c>
      <c r="H282" s="18">
        <f>'P0-3_Scorecard'!H50</f>
        <v/>
      </c>
      <c r="I282" s="18">
        <f>IF(OR(D282="",E282=""),"INCOMPLETE",IF(AND(D282&gt;=70,E282&lt;60),"DEPENDENCY GAP",IF(AND(D282&gt;=70,G282&lt;F282),"REQUIRED MATURITY GAP","OK")))</f>
        <v/>
      </c>
      <c r="J282" s="18" t="inlineStr">
        <is>
          <t>Programme portfolio review</t>
        </is>
      </c>
    </row>
    <row r="283">
      <c r="A283" s="18" t="inlineStr">
        <is>
          <t>CD16</t>
        </is>
      </c>
      <c r="B283" s="18" t="inlineStr">
        <is>
          <t>D09-I03</t>
        </is>
      </c>
      <c r="C283" s="18" t="inlineStr">
        <is>
          <t>D04-I12</t>
        </is>
      </c>
      <c r="D283" s="18">
        <f>'P0-3_Scorecard'!L107</f>
        <v/>
      </c>
      <c r="E283" s="18">
        <f>'P0-3_Scorecard'!L54</f>
        <v/>
      </c>
      <c r="F283" s="18">
        <f>'P0-3_Scorecard'!M54</f>
        <v/>
      </c>
      <c r="G283" s="18">
        <f>'P0-3_Scorecard'!E54</f>
        <v/>
      </c>
      <c r="H283" s="18">
        <f>'P0-3_Scorecard'!H54</f>
        <v/>
      </c>
      <c r="I283" s="18">
        <f>IF(OR(D283="",E283=""),"INCOMPLETE",IF(AND(D283&gt;=70,E283&lt;60),"DEPENDENCY GAP",IF(AND(D283&gt;=70,G283&lt;F283),"REQUIRED MATURITY GAP","OK")))</f>
        <v/>
      </c>
      <c r="J283" s="18" t="inlineStr">
        <is>
          <t>Programme portfolio review</t>
        </is>
      </c>
    </row>
    <row r="284">
      <c r="A284" s="18" t="inlineStr">
        <is>
          <t>CD16</t>
        </is>
      </c>
      <c r="B284" s="18" t="inlineStr">
        <is>
          <t>D09-I10</t>
        </is>
      </c>
      <c r="C284" s="18" t="inlineStr">
        <is>
          <t>D04-I01</t>
        </is>
      </c>
      <c r="D284" s="18">
        <f>'P0-3_Scorecard'!L114</f>
        <v/>
      </c>
      <c r="E284" s="18">
        <f>'P0-3_Scorecard'!L43</f>
        <v/>
      </c>
      <c r="F284" s="18">
        <f>'P0-3_Scorecard'!M43</f>
        <v/>
      </c>
      <c r="G284" s="18">
        <f>'P0-3_Scorecard'!E43</f>
        <v/>
      </c>
      <c r="H284" s="18">
        <f>'P0-3_Scorecard'!H43</f>
        <v/>
      </c>
      <c r="I284" s="18">
        <f>IF(OR(D284="",E284=""),"INCOMPLETE",IF(AND(D284&gt;=70,E284&lt;60),"DEPENDENCY GAP",IF(AND(D284&gt;=70,G284&lt;F284),"REQUIRED MATURITY GAP","OK")))</f>
        <v/>
      </c>
      <c r="J284" s="18" t="inlineStr">
        <is>
          <t>Programme portfolio review</t>
        </is>
      </c>
    </row>
    <row r="285">
      <c r="A285" s="18" t="inlineStr">
        <is>
          <t>CD16</t>
        </is>
      </c>
      <c r="B285" s="18" t="inlineStr">
        <is>
          <t>D09-I10</t>
        </is>
      </c>
      <c r="C285" s="18" t="inlineStr">
        <is>
          <t>D04-I03</t>
        </is>
      </c>
      <c r="D285" s="18">
        <f>'P0-3_Scorecard'!L114</f>
        <v/>
      </c>
      <c r="E285" s="18">
        <f>'P0-3_Scorecard'!L45</f>
        <v/>
      </c>
      <c r="F285" s="18">
        <f>'P0-3_Scorecard'!M45</f>
        <v/>
      </c>
      <c r="G285" s="18">
        <f>'P0-3_Scorecard'!E45</f>
        <v/>
      </c>
      <c r="H285" s="18">
        <f>'P0-3_Scorecard'!H45</f>
        <v/>
      </c>
      <c r="I285" s="18">
        <f>IF(OR(D285="",E285=""),"INCOMPLETE",IF(AND(D285&gt;=70,E285&lt;60),"DEPENDENCY GAP",IF(AND(D285&gt;=70,G285&lt;F285),"REQUIRED MATURITY GAP","OK")))</f>
        <v/>
      </c>
      <c r="J285" s="18" t="inlineStr">
        <is>
          <t>Programme portfolio review</t>
        </is>
      </c>
    </row>
    <row r="286">
      <c r="A286" s="18" t="inlineStr">
        <is>
          <t>CD16</t>
        </is>
      </c>
      <c r="B286" s="18" t="inlineStr">
        <is>
          <t>D09-I10</t>
        </is>
      </c>
      <c r="C286" s="18" t="inlineStr">
        <is>
          <t>D04-I08</t>
        </is>
      </c>
      <c r="D286" s="18">
        <f>'P0-3_Scorecard'!L114</f>
        <v/>
      </c>
      <c r="E286" s="18">
        <f>'P0-3_Scorecard'!L50</f>
        <v/>
      </c>
      <c r="F286" s="18">
        <f>'P0-3_Scorecard'!M50</f>
        <v/>
      </c>
      <c r="G286" s="18">
        <f>'P0-3_Scorecard'!E50</f>
        <v/>
      </c>
      <c r="H286" s="18">
        <f>'P0-3_Scorecard'!H50</f>
        <v/>
      </c>
      <c r="I286" s="18">
        <f>IF(OR(D286="",E286=""),"INCOMPLETE",IF(AND(D286&gt;=70,E286&lt;60),"DEPENDENCY GAP",IF(AND(D286&gt;=70,G286&lt;F286),"REQUIRED MATURITY GAP","OK")))</f>
        <v/>
      </c>
      <c r="J286" s="18" t="inlineStr">
        <is>
          <t>Programme portfolio review</t>
        </is>
      </c>
    </row>
    <row r="287">
      <c r="A287" s="18" t="inlineStr">
        <is>
          <t>CD16</t>
        </is>
      </c>
      <c r="B287" s="18" t="inlineStr">
        <is>
          <t>D09-I10</t>
        </is>
      </c>
      <c r="C287" s="18" t="inlineStr">
        <is>
          <t>D04-I12</t>
        </is>
      </c>
      <c r="D287" s="18">
        <f>'P0-3_Scorecard'!L114</f>
        <v/>
      </c>
      <c r="E287" s="18">
        <f>'P0-3_Scorecard'!L54</f>
        <v/>
      </c>
      <c r="F287" s="18">
        <f>'P0-3_Scorecard'!M54</f>
        <v/>
      </c>
      <c r="G287" s="18">
        <f>'P0-3_Scorecard'!E54</f>
        <v/>
      </c>
      <c r="H287" s="18">
        <f>'P0-3_Scorecard'!H54</f>
        <v/>
      </c>
      <c r="I287" s="18">
        <f>IF(OR(D287="",E287=""),"INCOMPLETE",IF(AND(D287&gt;=70,E287&lt;60),"DEPENDENCY GAP",IF(AND(D287&gt;=70,G287&lt;F287),"REQUIRED MATURITY GAP","OK")))</f>
        <v/>
      </c>
      <c r="J287" s="18" t="inlineStr">
        <is>
          <t>Programme portfolio review</t>
        </is>
      </c>
    </row>
    <row r="288">
      <c r="A288" s="18" t="inlineStr">
        <is>
          <t>CD16</t>
        </is>
      </c>
      <c r="B288" s="18" t="inlineStr">
        <is>
          <t>D09-I11</t>
        </is>
      </c>
      <c r="C288" s="18" t="inlineStr">
        <is>
          <t>D04-I01</t>
        </is>
      </c>
      <c r="D288" s="18">
        <f>'P0-3_Scorecard'!L115</f>
        <v/>
      </c>
      <c r="E288" s="18">
        <f>'P0-3_Scorecard'!L43</f>
        <v/>
      </c>
      <c r="F288" s="18">
        <f>'P0-3_Scorecard'!M43</f>
        <v/>
      </c>
      <c r="G288" s="18">
        <f>'P0-3_Scorecard'!E43</f>
        <v/>
      </c>
      <c r="H288" s="18">
        <f>'P0-3_Scorecard'!H43</f>
        <v/>
      </c>
      <c r="I288" s="18">
        <f>IF(OR(D288="",E288=""),"INCOMPLETE",IF(AND(D288&gt;=70,E288&lt;60),"DEPENDENCY GAP",IF(AND(D288&gt;=70,G288&lt;F288),"REQUIRED MATURITY GAP","OK")))</f>
        <v/>
      </c>
      <c r="J288" s="18" t="inlineStr">
        <is>
          <t>Programme portfolio review</t>
        </is>
      </c>
    </row>
    <row r="289">
      <c r="A289" s="18" t="inlineStr">
        <is>
          <t>CD16</t>
        </is>
      </c>
      <c r="B289" s="18" t="inlineStr">
        <is>
          <t>D09-I11</t>
        </is>
      </c>
      <c r="C289" s="18" t="inlineStr">
        <is>
          <t>D04-I03</t>
        </is>
      </c>
      <c r="D289" s="18">
        <f>'P0-3_Scorecard'!L115</f>
        <v/>
      </c>
      <c r="E289" s="18">
        <f>'P0-3_Scorecard'!L45</f>
        <v/>
      </c>
      <c r="F289" s="18">
        <f>'P0-3_Scorecard'!M45</f>
        <v/>
      </c>
      <c r="G289" s="18">
        <f>'P0-3_Scorecard'!E45</f>
        <v/>
      </c>
      <c r="H289" s="18">
        <f>'P0-3_Scorecard'!H45</f>
        <v/>
      </c>
      <c r="I289" s="18">
        <f>IF(OR(D289="",E289=""),"INCOMPLETE",IF(AND(D289&gt;=70,E289&lt;60),"DEPENDENCY GAP",IF(AND(D289&gt;=70,G289&lt;F289),"REQUIRED MATURITY GAP","OK")))</f>
        <v/>
      </c>
      <c r="J289" s="18" t="inlineStr">
        <is>
          <t>Programme portfolio review</t>
        </is>
      </c>
    </row>
    <row r="290">
      <c r="A290" s="18" t="inlineStr">
        <is>
          <t>CD16</t>
        </is>
      </c>
      <c r="B290" s="18" t="inlineStr">
        <is>
          <t>D09-I11</t>
        </is>
      </c>
      <c r="C290" s="18" t="inlineStr">
        <is>
          <t>D04-I08</t>
        </is>
      </c>
      <c r="D290" s="18">
        <f>'P0-3_Scorecard'!L115</f>
        <v/>
      </c>
      <c r="E290" s="18">
        <f>'P0-3_Scorecard'!L50</f>
        <v/>
      </c>
      <c r="F290" s="18">
        <f>'P0-3_Scorecard'!M50</f>
        <v/>
      </c>
      <c r="G290" s="18">
        <f>'P0-3_Scorecard'!E50</f>
        <v/>
      </c>
      <c r="H290" s="18">
        <f>'P0-3_Scorecard'!H50</f>
        <v/>
      </c>
      <c r="I290" s="18">
        <f>IF(OR(D290="",E290=""),"INCOMPLETE",IF(AND(D290&gt;=70,E290&lt;60),"DEPENDENCY GAP",IF(AND(D290&gt;=70,G290&lt;F290),"REQUIRED MATURITY GAP","OK")))</f>
        <v/>
      </c>
      <c r="J290" s="18" t="inlineStr">
        <is>
          <t>Programme portfolio review</t>
        </is>
      </c>
    </row>
    <row r="291">
      <c r="A291" s="18" t="inlineStr">
        <is>
          <t>CD16</t>
        </is>
      </c>
      <c r="B291" s="18" t="inlineStr">
        <is>
          <t>D09-I11</t>
        </is>
      </c>
      <c r="C291" s="18" t="inlineStr">
        <is>
          <t>D04-I12</t>
        </is>
      </c>
      <c r="D291" s="18">
        <f>'P0-3_Scorecard'!L115</f>
        <v/>
      </c>
      <c r="E291" s="18">
        <f>'P0-3_Scorecard'!L54</f>
        <v/>
      </c>
      <c r="F291" s="18">
        <f>'P0-3_Scorecard'!M54</f>
        <v/>
      </c>
      <c r="G291" s="18">
        <f>'P0-3_Scorecard'!E54</f>
        <v/>
      </c>
      <c r="H291" s="18">
        <f>'P0-3_Scorecard'!H54</f>
        <v/>
      </c>
      <c r="I291" s="18">
        <f>IF(OR(D291="",E291=""),"INCOMPLETE",IF(AND(D291&gt;=70,E291&lt;60),"DEPENDENCY GAP",IF(AND(D291&gt;=70,G291&lt;F291),"REQUIRED MATURITY GAP","OK")))</f>
        <v/>
      </c>
      <c r="J291" s="18" t="inlineStr">
        <is>
          <t>Programme portfolio review</t>
        </is>
      </c>
    </row>
    <row r="292">
      <c r="A292" s="18" t="inlineStr">
        <is>
          <t>CD17</t>
        </is>
      </c>
      <c r="B292" s="18" t="inlineStr">
        <is>
          <t>D09-I03</t>
        </is>
      </c>
      <c r="C292" s="18" t="inlineStr">
        <is>
          <t>D05-I02</t>
        </is>
      </c>
      <c r="D292" s="18">
        <f>'P0-3_Scorecard'!L107</f>
        <v/>
      </c>
      <c r="E292" s="18">
        <f>'P0-3_Scorecard'!L56</f>
        <v/>
      </c>
      <c r="F292" s="18">
        <f>'P0-3_Scorecard'!M56</f>
        <v/>
      </c>
      <c r="G292" s="18">
        <f>'P0-3_Scorecard'!E56</f>
        <v/>
      </c>
      <c r="H292" s="18">
        <f>'P0-3_Scorecard'!H56</f>
        <v/>
      </c>
      <c r="I292" s="18">
        <f>IF(OR(D292="",E292=""),"INCOMPLETE",IF(AND(D292&gt;=70,E292&lt;60),"DEPENDENCY GAP",IF(AND(D292&gt;=70,G292&lt;F292),"REQUIRED MATURITY GAP","OK")))</f>
        <v/>
      </c>
      <c r="J292" s="18" t="inlineStr">
        <is>
          <t>Faculty capability review</t>
        </is>
      </c>
    </row>
    <row r="293">
      <c r="A293" s="18" t="inlineStr">
        <is>
          <t>CD17</t>
        </is>
      </c>
      <c r="B293" s="18" t="inlineStr">
        <is>
          <t>D09-I03</t>
        </is>
      </c>
      <c r="C293" s="18" t="inlineStr">
        <is>
          <t>D05-I05</t>
        </is>
      </c>
      <c r="D293" s="18">
        <f>'P0-3_Scorecard'!L107</f>
        <v/>
      </c>
      <c r="E293" s="18">
        <f>'P0-3_Scorecard'!L59</f>
        <v/>
      </c>
      <c r="F293" s="18">
        <f>'P0-3_Scorecard'!M59</f>
        <v/>
      </c>
      <c r="G293" s="18">
        <f>'P0-3_Scorecard'!E59</f>
        <v/>
      </c>
      <c r="H293" s="18">
        <f>'P0-3_Scorecard'!H59</f>
        <v/>
      </c>
      <c r="I293" s="18">
        <f>IF(OR(D293="",E293=""),"INCOMPLETE",IF(AND(D293&gt;=70,E293&lt;60),"DEPENDENCY GAP",IF(AND(D293&gt;=70,G293&lt;F293),"REQUIRED MATURITY GAP","OK")))</f>
        <v/>
      </c>
      <c r="J293" s="18" t="inlineStr">
        <is>
          <t>Faculty capability review</t>
        </is>
      </c>
    </row>
    <row r="294">
      <c r="A294" s="18" t="inlineStr">
        <is>
          <t>CD17</t>
        </is>
      </c>
      <c r="B294" s="18" t="inlineStr">
        <is>
          <t>D09-I03</t>
        </is>
      </c>
      <c r="C294" s="18" t="inlineStr">
        <is>
          <t>D05-I08</t>
        </is>
      </c>
      <c r="D294" s="18">
        <f>'P0-3_Scorecard'!L107</f>
        <v/>
      </c>
      <c r="E294" s="18">
        <f>'P0-3_Scorecard'!L62</f>
        <v/>
      </c>
      <c r="F294" s="18">
        <f>'P0-3_Scorecard'!M62</f>
        <v/>
      </c>
      <c r="G294" s="18">
        <f>'P0-3_Scorecard'!E62</f>
        <v/>
      </c>
      <c r="H294" s="18">
        <f>'P0-3_Scorecard'!H62</f>
        <v/>
      </c>
      <c r="I294" s="18">
        <f>IF(OR(D294="",E294=""),"INCOMPLETE",IF(AND(D294&gt;=70,E294&lt;60),"DEPENDENCY GAP",IF(AND(D294&gt;=70,G294&lt;F294),"REQUIRED MATURITY GAP","OK")))</f>
        <v/>
      </c>
      <c r="J294" s="18" t="inlineStr">
        <is>
          <t>Faculty capability review</t>
        </is>
      </c>
    </row>
    <row r="295">
      <c r="A295" s="18" t="inlineStr">
        <is>
          <t>CD17</t>
        </is>
      </c>
      <c r="B295" s="18" t="inlineStr">
        <is>
          <t>D09-I03</t>
        </is>
      </c>
      <c r="C295" s="18" t="inlineStr">
        <is>
          <t>D05-I12</t>
        </is>
      </c>
      <c r="D295" s="18">
        <f>'P0-3_Scorecard'!L107</f>
        <v/>
      </c>
      <c r="E295" s="18">
        <f>'P0-3_Scorecard'!L66</f>
        <v/>
      </c>
      <c r="F295" s="18">
        <f>'P0-3_Scorecard'!M66</f>
        <v/>
      </c>
      <c r="G295" s="18">
        <f>'P0-3_Scorecard'!E66</f>
        <v/>
      </c>
      <c r="H295" s="18">
        <f>'P0-3_Scorecard'!H66</f>
        <v/>
      </c>
      <c r="I295" s="18">
        <f>IF(OR(D295="",E295=""),"INCOMPLETE",IF(AND(D295&gt;=70,E295&lt;60),"DEPENDENCY GAP",IF(AND(D295&gt;=70,G295&lt;F295),"REQUIRED MATURITY GAP","OK")))</f>
        <v/>
      </c>
      <c r="J295" s="18" t="inlineStr">
        <is>
          <t>Faculty capability review</t>
        </is>
      </c>
    </row>
    <row r="296">
      <c r="A296" s="18" t="inlineStr">
        <is>
          <t>CD17</t>
        </is>
      </c>
      <c r="B296" s="18" t="inlineStr">
        <is>
          <t>D09-I10</t>
        </is>
      </c>
      <c r="C296" s="18" t="inlineStr">
        <is>
          <t>D05-I02</t>
        </is>
      </c>
      <c r="D296" s="18">
        <f>'P0-3_Scorecard'!L114</f>
        <v/>
      </c>
      <c r="E296" s="18">
        <f>'P0-3_Scorecard'!L56</f>
        <v/>
      </c>
      <c r="F296" s="18">
        <f>'P0-3_Scorecard'!M56</f>
        <v/>
      </c>
      <c r="G296" s="18">
        <f>'P0-3_Scorecard'!E56</f>
        <v/>
      </c>
      <c r="H296" s="18">
        <f>'P0-3_Scorecard'!H56</f>
        <v/>
      </c>
      <c r="I296" s="18">
        <f>IF(OR(D296="",E296=""),"INCOMPLETE",IF(AND(D296&gt;=70,E296&lt;60),"DEPENDENCY GAP",IF(AND(D296&gt;=70,G296&lt;F296),"REQUIRED MATURITY GAP","OK")))</f>
        <v/>
      </c>
      <c r="J296" s="18" t="inlineStr">
        <is>
          <t>Faculty capability review</t>
        </is>
      </c>
    </row>
    <row r="297">
      <c r="A297" s="18" t="inlineStr">
        <is>
          <t>CD17</t>
        </is>
      </c>
      <c r="B297" s="18" t="inlineStr">
        <is>
          <t>D09-I10</t>
        </is>
      </c>
      <c r="C297" s="18" t="inlineStr">
        <is>
          <t>D05-I05</t>
        </is>
      </c>
      <c r="D297" s="18">
        <f>'P0-3_Scorecard'!L114</f>
        <v/>
      </c>
      <c r="E297" s="18">
        <f>'P0-3_Scorecard'!L59</f>
        <v/>
      </c>
      <c r="F297" s="18">
        <f>'P0-3_Scorecard'!M59</f>
        <v/>
      </c>
      <c r="G297" s="18">
        <f>'P0-3_Scorecard'!E59</f>
        <v/>
      </c>
      <c r="H297" s="18">
        <f>'P0-3_Scorecard'!H59</f>
        <v/>
      </c>
      <c r="I297" s="18">
        <f>IF(OR(D297="",E297=""),"INCOMPLETE",IF(AND(D297&gt;=70,E297&lt;60),"DEPENDENCY GAP",IF(AND(D297&gt;=70,G297&lt;F297),"REQUIRED MATURITY GAP","OK")))</f>
        <v/>
      </c>
      <c r="J297" s="18" t="inlineStr">
        <is>
          <t>Faculty capability review</t>
        </is>
      </c>
    </row>
    <row r="298">
      <c r="A298" s="18" t="inlineStr">
        <is>
          <t>CD17</t>
        </is>
      </c>
      <c r="B298" s="18" t="inlineStr">
        <is>
          <t>D09-I10</t>
        </is>
      </c>
      <c r="C298" s="18" t="inlineStr">
        <is>
          <t>D05-I08</t>
        </is>
      </c>
      <c r="D298" s="18">
        <f>'P0-3_Scorecard'!L114</f>
        <v/>
      </c>
      <c r="E298" s="18">
        <f>'P0-3_Scorecard'!L62</f>
        <v/>
      </c>
      <c r="F298" s="18">
        <f>'P0-3_Scorecard'!M62</f>
        <v/>
      </c>
      <c r="G298" s="18">
        <f>'P0-3_Scorecard'!E62</f>
        <v/>
      </c>
      <c r="H298" s="18">
        <f>'P0-3_Scorecard'!H62</f>
        <v/>
      </c>
      <c r="I298" s="18">
        <f>IF(OR(D298="",E298=""),"INCOMPLETE",IF(AND(D298&gt;=70,E298&lt;60),"DEPENDENCY GAP",IF(AND(D298&gt;=70,G298&lt;F298),"REQUIRED MATURITY GAP","OK")))</f>
        <v/>
      </c>
      <c r="J298" s="18" t="inlineStr">
        <is>
          <t>Faculty capability review</t>
        </is>
      </c>
    </row>
    <row r="299">
      <c r="A299" s="18" t="inlineStr">
        <is>
          <t>CD17</t>
        </is>
      </c>
      <c r="B299" s="18" t="inlineStr">
        <is>
          <t>D09-I10</t>
        </is>
      </c>
      <c r="C299" s="18" t="inlineStr">
        <is>
          <t>D05-I12</t>
        </is>
      </c>
      <c r="D299" s="18">
        <f>'P0-3_Scorecard'!L114</f>
        <v/>
      </c>
      <c r="E299" s="18">
        <f>'P0-3_Scorecard'!L66</f>
        <v/>
      </c>
      <c r="F299" s="18">
        <f>'P0-3_Scorecard'!M66</f>
        <v/>
      </c>
      <c r="G299" s="18">
        <f>'P0-3_Scorecard'!E66</f>
        <v/>
      </c>
      <c r="H299" s="18">
        <f>'P0-3_Scorecard'!H66</f>
        <v/>
      </c>
      <c r="I299" s="18">
        <f>IF(OR(D299="",E299=""),"INCOMPLETE",IF(AND(D299&gt;=70,E299&lt;60),"DEPENDENCY GAP",IF(AND(D299&gt;=70,G299&lt;F299),"REQUIRED MATURITY GAP","OK")))</f>
        <v/>
      </c>
      <c r="J299" s="18" t="inlineStr">
        <is>
          <t>Faculty capability review</t>
        </is>
      </c>
    </row>
    <row r="300">
      <c r="A300" s="18" t="inlineStr">
        <is>
          <t>CD18</t>
        </is>
      </c>
      <c r="B300" s="18" t="inlineStr">
        <is>
          <t>D09-I05</t>
        </is>
      </c>
      <c r="C300" s="18" t="inlineStr">
        <is>
          <t>D06-I07</t>
        </is>
      </c>
      <c r="D300" s="18">
        <f>'P0-3_Scorecard'!L109</f>
        <v/>
      </c>
      <c r="E300" s="18">
        <f>'P0-3_Scorecard'!L73</f>
        <v/>
      </c>
      <c r="F300" s="18">
        <f>'P0-3_Scorecard'!M73</f>
        <v/>
      </c>
      <c r="G300" s="18">
        <f>'P0-3_Scorecard'!E73</f>
        <v/>
      </c>
      <c r="H300" s="18">
        <f>'P0-3_Scorecard'!H73</f>
        <v/>
      </c>
      <c r="I300" s="18">
        <f>IF(OR(D300="",E300=""),"INCOMPLETE",IF(AND(D300&gt;=70,E300&lt;60),"DEPENDENCY GAP",IF(AND(D300&gt;=70,G300&lt;F300),"REQUIRED MATURITY GAP","OK")))</f>
        <v/>
      </c>
      <c r="J300" s="18" t="inlineStr">
        <is>
          <t>Student development review</t>
        </is>
      </c>
    </row>
    <row r="301">
      <c r="A301" s="18" t="inlineStr">
        <is>
          <t>CD18</t>
        </is>
      </c>
      <c r="B301" s="18" t="inlineStr">
        <is>
          <t>D09-I05</t>
        </is>
      </c>
      <c r="C301" s="18" t="inlineStr">
        <is>
          <t>D06-I08</t>
        </is>
      </c>
      <c r="D301" s="18">
        <f>'P0-3_Scorecard'!L109</f>
        <v/>
      </c>
      <c r="E301" s="18">
        <f>'P0-3_Scorecard'!L74</f>
        <v/>
      </c>
      <c r="F301" s="18">
        <f>'P0-3_Scorecard'!M74</f>
        <v/>
      </c>
      <c r="G301" s="18">
        <f>'P0-3_Scorecard'!E74</f>
        <v/>
      </c>
      <c r="H301" s="18">
        <f>'P0-3_Scorecard'!H74</f>
        <v/>
      </c>
      <c r="I301" s="18">
        <f>IF(OR(D301="",E301=""),"INCOMPLETE",IF(AND(D301&gt;=70,E301&lt;60),"DEPENDENCY GAP",IF(AND(D301&gt;=70,G301&lt;F301),"REQUIRED MATURITY GAP","OK")))</f>
        <v/>
      </c>
      <c r="J301" s="18" t="inlineStr">
        <is>
          <t>Student development review</t>
        </is>
      </c>
    </row>
    <row r="302">
      <c r="A302" s="18" t="inlineStr">
        <is>
          <t>CD18</t>
        </is>
      </c>
      <c r="B302" s="18" t="inlineStr">
        <is>
          <t>D09-I05</t>
        </is>
      </c>
      <c r="C302" s="18" t="inlineStr">
        <is>
          <t>D06-I09</t>
        </is>
      </c>
      <c r="D302" s="18">
        <f>'P0-3_Scorecard'!L109</f>
        <v/>
      </c>
      <c r="E302" s="18">
        <f>'P0-3_Scorecard'!L75</f>
        <v/>
      </c>
      <c r="F302" s="18">
        <f>'P0-3_Scorecard'!M75</f>
        <v/>
      </c>
      <c r="G302" s="18">
        <f>'P0-3_Scorecard'!E75</f>
        <v/>
      </c>
      <c r="H302" s="18">
        <f>'P0-3_Scorecard'!H75</f>
        <v/>
      </c>
      <c r="I302" s="18">
        <f>IF(OR(D302="",E302=""),"INCOMPLETE",IF(AND(D302&gt;=70,E302&lt;60),"DEPENDENCY GAP",IF(AND(D302&gt;=70,G302&lt;F302),"REQUIRED MATURITY GAP","OK")))</f>
        <v/>
      </c>
      <c r="J302" s="18" t="inlineStr">
        <is>
          <t>Student development review</t>
        </is>
      </c>
    </row>
    <row r="303">
      <c r="A303" s="18" t="inlineStr">
        <is>
          <t>CD18</t>
        </is>
      </c>
      <c r="B303" s="18" t="inlineStr">
        <is>
          <t>D09-I05</t>
        </is>
      </c>
      <c r="C303" s="18" t="inlineStr">
        <is>
          <t>D06-I14</t>
        </is>
      </c>
      <c r="D303" s="18">
        <f>'P0-3_Scorecard'!L109</f>
        <v/>
      </c>
      <c r="E303" s="18">
        <f>'P0-3_Scorecard'!L80</f>
        <v/>
      </c>
      <c r="F303" s="18">
        <f>'P0-3_Scorecard'!M80</f>
        <v/>
      </c>
      <c r="G303" s="18">
        <f>'P0-3_Scorecard'!E80</f>
        <v/>
      </c>
      <c r="H303" s="18">
        <f>'P0-3_Scorecard'!H80</f>
        <v/>
      </c>
      <c r="I303" s="18">
        <f>IF(OR(D303="",E303=""),"INCOMPLETE",IF(AND(D303&gt;=70,E303&lt;60),"DEPENDENCY GAP",IF(AND(D303&gt;=70,G303&lt;F303),"REQUIRED MATURITY GAP","OK")))</f>
        <v/>
      </c>
      <c r="J303" s="18" t="inlineStr">
        <is>
          <t>Student development review</t>
        </is>
      </c>
    </row>
    <row r="304">
      <c r="A304" s="18" t="inlineStr">
        <is>
          <t>CD18</t>
        </is>
      </c>
      <c r="B304" s="18" t="inlineStr">
        <is>
          <t>D09-I06</t>
        </is>
      </c>
      <c r="C304" s="18" t="inlineStr">
        <is>
          <t>D06-I07</t>
        </is>
      </c>
      <c r="D304" s="18">
        <f>'P0-3_Scorecard'!L110</f>
        <v/>
      </c>
      <c r="E304" s="18">
        <f>'P0-3_Scorecard'!L73</f>
        <v/>
      </c>
      <c r="F304" s="18">
        <f>'P0-3_Scorecard'!M73</f>
        <v/>
      </c>
      <c r="G304" s="18">
        <f>'P0-3_Scorecard'!E73</f>
        <v/>
      </c>
      <c r="H304" s="18">
        <f>'P0-3_Scorecard'!H73</f>
        <v/>
      </c>
      <c r="I304" s="18">
        <f>IF(OR(D304="",E304=""),"INCOMPLETE",IF(AND(D304&gt;=70,E304&lt;60),"DEPENDENCY GAP",IF(AND(D304&gt;=70,G304&lt;F304),"REQUIRED MATURITY GAP","OK")))</f>
        <v/>
      </c>
      <c r="J304" s="18" t="inlineStr">
        <is>
          <t>Student development review</t>
        </is>
      </c>
    </row>
    <row r="305">
      <c r="A305" s="18" t="inlineStr">
        <is>
          <t>CD18</t>
        </is>
      </c>
      <c r="B305" s="18" t="inlineStr">
        <is>
          <t>D09-I06</t>
        </is>
      </c>
      <c r="C305" s="18" t="inlineStr">
        <is>
          <t>D06-I08</t>
        </is>
      </c>
      <c r="D305" s="18">
        <f>'P0-3_Scorecard'!L110</f>
        <v/>
      </c>
      <c r="E305" s="18">
        <f>'P0-3_Scorecard'!L74</f>
        <v/>
      </c>
      <c r="F305" s="18">
        <f>'P0-3_Scorecard'!M74</f>
        <v/>
      </c>
      <c r="G305" s="18">
        <f>'P0-3_Scorecard'!E74</f>
        <v/>
      </c>
      <c r="H305" s="18">
        <f>'P0-3_Scorecard'!H74</f>
        <v/>
      </c>
      <c r="I305" s="18">
        <f>IF(OR(D305="",E305=""),"INCOMPLETE",IF(AND(D305&gt;=70,E305&lt;60),"DEPENDENCY GAP",IF(AND(D305&gt;=70,G305&lt;F305),"REQUIRED MATURITY GAP","OK")))</f>
        <v/>
      </c>
      <c r="J305" s="18" t="inlineStr">
        <is>
          <t>Student development review</t>
        </is>
      </c>
    </row>
    <row r="306">
      <c r="A306" s="18" t="inlineStr">
        <is>
          <t>CD18</t>
        </is>
      </c>
      <c r="B306" s="18" t="inlineStr">
        <is>
          <t>D09-I06</t>
        </is>
      </c>
      <c r="C306" s="18" t="inlineStr">
        <is>
          <t>D06-I09</t>
        </is>
      </c>
      <c r="D306" s="18">
        <f>'P0-3_Scorecard'!L110</f>
        <v/>
      </c>
      <c r="E306" s="18">
        <f>'P0-3_Scorecard'!L75</f>
        <v/>
      </c>
      <c r="F306" s="18">
        <f>'P0-3_Scorecard'!M75</f>
        <v/>
      </c>
      <c r="G306" s="18">
        <f>'P0-3_Scorecard'!E75</f>
        <v/>
      </c>
      <c r="H306" s="18">
        <f>'P0-3_Scorecard'!H75</f>
        <v/>
      </c>
      <c r="I306" s="18">
        <f>IF(OR(D306="",E306=""),"INCOMPLETE",IF(AND(D306&gt;=70,E306&lt;60),"DEPENDENCY GAP",IF(AND(D306&gt;=70,G306&lt;F306),"REQUIRED MATURITY GAP","OK")))</f>
        <v/>
      </c>
      <c r="J306" s="18" t="inlineStr">
        <is>
          <t>Student development review</t>
        </is>
      </c>
    </row>
    <row r="307">
      <c r="A307" s="18" t="inlineStr">
        <is>
          <t>CD18</t>
        </is>
      </c>
      <c r="B307" s="18" t="inlineStr">
        <is>
          <t>D09-I06</t>
        </is>
      </c>
      <c r="C307" s="18" t="inlineStr">
        <is>
          <t>D06-I14</t>
        </is>
      </c>
      <c r="D307" s="18">
        <f>'P0-3_Scorecard'!L110</f>
        <v/>
      </c>
      <c r="E307" s="18">
        <f>'P0-3_Scorecard'!L80</f>
        <v/>
      </c>
      <c r="F307" s="18">
        <f>'P0-3_Scorecard'!M80</f>
        <v/>
      </c>
      <c r="G307" s="18">
        <f>'P0-3_Scorecard'!E80</f>
        <v/>
      </c>
      <c r="H307" s="18">
        <f>'P0-3_Scorecard'!H80</f>
        <v/>
      </c>
      <c r="I307" s="18">
        <f>IF(OR(D307="",E307=""),"INCOMPLETE",IF(AND(D307&gt;=70,E307&lt;60),"DEPENDENCY GAP",IF(AND(D307&gt;=70,G307&lt;F307),"REQUIRED MATURITY GAP","OK")))</f>
        <v/>
      </c>
      <c r="J307" s="18" t="inlineStr">
        <is>
          <t>Student development review</t>
        </is>
      </c>
    </row>
    <row r="308">
      <c r="A308" s="18" t="inlineStr">
        <is>
          <t>CD18</t>
        </is>
      </c>
      <c r="B308" s="18" t="inlineStr">
        <is>
          <t>D09-I07</t>
        </is>
      </c>
      <c r="C308" s="18" t="inlineStr">
        <is>
          <t>D06-I07</t>
        </is>
      </c>
      <c r="D308" s="18">
        <f>'P0-3_Scorecard'!L111</f>
        <v/>
      </c>
      <c r="E308" s="18">
        <f>'P0-3_Scorecard'!L73</f>
        <v/>
      </c>
      <c r="F308" s="18">
        <f>'P0-3_Scorecard'!M73</f>
        <v/>
      </c>
      <c r="G308" s="18">
        <f>'P0-3_Scorecard'!E73</f>
        <v/>
      </c>
      <c r="H308" s="18">
        <f>'P0-3_Scorecard'!H73</f>
        <v/>
      </c>
      <c r="I308" s="18">
        <f>IF(OR(D308="",E308=""),"INCOMPLETE",IF(AND(D308&gt;=70,E308&lt;60),"DEPENDENCY GAP",IF(AND(D308&gt;=70,G308&lt;F308),"REQUIRED MATURITY GAP","OK")))</f>
        <v/>
      </c>
      <c r="J308" s="18" t="inlineStr">
        <is>
          <t>Student development review</t>
        </is>
      </c>
    </row>
    <row r="309">
      <c r="A309" s="18" t="inlineStr">
        <is>
          <t>CD18</t>
        </is>
      </c>
      <c r="B309" s="18" t="inlineStr">
        <is>
          <t>D09-I07</t>
        </is>
      </c>
      <c r="C309" s="18" t="inlineStr">
        <is>
          <t>D06-I08</t>
        </is>
      </c>
      <c r="D309" s="18">
        <f>'P0-3_Scorecard'!L111</f>
        <v/>
      </c>
      <c r="E309" s="18">
        <f>'P0-3_Scorecard'!L74</f>
        <v/>
      </c>
      <c r="F309" s="18">
        <f>'P0-3_Scorecard'!M74</f>
        <v/>
      </c>
      <c r="G309" s="18">
        <f>'P0-3_Scorecard'!E74</f>
        <v/>
      </c>
      <c r="H309" s="18">
        <f>'P0-3_Scorecard'!H74</f>
        <v/>
      </c>
      <c r="I309" s="18">
        <f>IF(OR(D309="",E309=""),"INCOMPLETE",IF(AND(D309&gt;=70,E309&lt;60),"DEPENDENCY GAP",IF(AND(D309&gt;=70,G309&lt;F309),"REQUIRED MATURITY GAP","OK")))</f>
        <v/>
      </c>
      <c r="J309" s="18" t="inlineStr">
        <is>
          <t>Student development review</t>
        </is>
      </c>
    </row>
    <row r="310">
      <c r="A310" s="18" t="inlineStr">
        <is>
          <t>CD18</t>
        </is>
      </c>
      <c r="B310" s="18" t="inlineStr">
        <is>
          <t>D09-I07</t>
        </is>
      </c>
      <c r="C310" s="18" t="inlineStr">
        <is>
          <t>D06-I09</t>
        </is>
      </c>
      <c r="D310" s="18">
        <f>'P0-3_Scorecard'!L111</f>
        <v/>
      </c>
      <c r="E310" s="18">
        <f>'P0-3_Scorecard'!L75</f>
        <v/>
      </c>
      <c r="F310" s="18">
        <f>'P0-3_Scorecard'!M75</f>
        <v/>
      </c>
      <c r="G310" s="18">
        <f>'P0-3_Scorecard'!E75</f>
        <v/>
      </c>
      <c r="H310" s="18">
        <f>'P0-3_Scorecard'!H75</f>
        <v/>
      </c>
      <c r="I310" s="18">
        <f>IF(OR(D310="",E310=""),"INCOMPLETE",IF(AND(D310&gt;=70,E310&lt;60),"DEPENDENCY GAP",IF(AND(D310&gt;=70,G310&lt;F310),"REQUIRED MATURITY GAP","OK")))</f>
        <v/>
      </c>
      <c r="J310" s="18" t="inlineStr">
        <is>
          <t>Student development review</t>
        </is>
      </c>
    </row>
    <row r="311">
      <c r="A311" s="18" t="inlineStr">
        <is>
          <t>CD18</t>
        </is>
      </c>
      <c r="B311" s="18" t="inlineStr">
        <is>
          <t>D09-I07</t>
        </is>
      </c>
      <c r="C311" s="18" t="inlineStr">
        <is>
          <t>D06-I14</t>
        </is>
      </c>
      <c r="D311" s="18">
        <f>'P0-3_Scorecard'!L111</f>
        <v/>
      </c>
      <c r="E311" s="18">
        <f>'P0-3_Scorecard'!L80</f>
        <v/>
      </c>
      <c r="F311" s="18">
        <f>'P0-3_Scorecard'!M80</f>
        <v/>
      </c>
      <c r="G311" s="18">
        <f>'P0-3_Scorecard'!E80</f>
        <v/>
      </c>
      <c r="H311" s="18">
        <f>'P0-3_Scorecard'!H80</f>
        <v/>
      </c>
      <c r="I311" s="18">
        <f>IF(OR(D311="",E311=""),"INCOMPLETE",IF(AND(D311&gt;=70,E311&lt;60),"DEPENDENCY GAP",IF(AND(D311&gt;=70,G311&lt;F311),"REQUIRED MATURITY GAP","OK")))</f>
        <v/>
      </c>
      <c r="J311" s="18" t="inlineStr">
        <is>
          <t>Student development review</t>
        </is>
      </c>
    </row>
    <row r="312">
      <c r="A312" s="18" t="inlineStr">
        <is>
          <t>CD18</t>
        </is>
      </c>
      <c r="B312" s="18" t="inlineStr">
        <is>
          <t>D09-I12</t>
        </is>
      </c>
      <c r="C312" s="18" t="inlineStr">
        <is>
          <t>D06-I07</t>
        </is>
      </c>
      <c r="D312" s="18">
        <f>'P0-3_Scorecard'!L116</f>
        <v/>
      </c>
      <c r="E312" s="18">
        <f>'P0-3_Scorecard'!L73</f>
        <v/>
      </c>
      <c r="F312" s="18">
        <f>'P0-3_Scorecard'!M73</f>
        <v/>
      </c>
      <c r="G312" s="18">
        <f>'P0-3_Scorecard'!E73</f>
        <v/>
      </c>
      <c r="H312" s="18">
        <f>'P0-3_Scorecard'!H73</f>
        <v/>
      </c>
      <c r="I312" s="18">
        <f>IF(OR(D312="",E312=""),"INCOMPLETE",IF(AND(D312&gt;=70,E312&lt;60),"DEPENDENCY GAP",IF(AND(D312&gt;=70,G312&lt;F312),"REQUIRED MATURITY GAP","OK")))</f>
        <v/>
      </c>
      <c r="J312" s="18" t="inlineStr">
        <is>
          <t>Student development review</t>
        </is>
      </c>
    </row>
    <row r="313">
      <c r="A313" s="18" t="inlineStr">
        <is>
          <t>CD18</t>
        </is>
      </c>
      <c r="B313" s="18" t="inlineStr">
        <is>
          <t>D09-I12</t>
        </is>
      </c>
      <c r="C313" s="18" t="inlineStr">
        <is>
          <t>D06-I08</t>
        </is>
      </c>
      <c r="D313" s="18">
        <f>'P0-3_Scorecard'!L116</f>
        <v/>
      </c>
      <c r="E313" s="18">
        <f>'P0-3_Scorecard'!L74</f>
        <v/>
      </c>
      <c r="F313" s="18">
        <f>'P0-3_Scorecard'!M74</f>
        <v/>
      </c>
      <c r="G313" s="18">
        <f>'P0-3_Scorecard'!E74</f>
        <v/>
      </c>
      <c r="H313" s="18">
        <f>'P0-3_Scorecard'!H74</f>
        <v/>
      </c>
      <c r="I313" s="18">
        <f>IF(OR(D313="",E313=""),"INCOMPLETE",IF(AND(D313&gt;=70,E313&lt;60),"DEPENDENCY GAP",IF(AND(D313&gt;=70,G313&lt;F313),"REQUIRED MATURITY GAP","OK")))</f>
        <v/>
      </c>
      <c r="J313" s="18" t="inlineStr">
        <is>
          <t>Student development review</t>
        </is>
      </c>
    </row>
    <row r="314">
      <c r="A314" s="18" t="inlineStr">
        <is>
          <t>CD18</t>
        </is>
      </c>
      <c r="B314" s="18" t="inlineStr">
        <is>
          <t>D09-I12</t>
        </is>
      </c>
      <c r="C314" s="18" t="inlineStr">
        <is>
          <t>D06-I09</t>
        </is>
      </c>
      <c r="D314" s="18">
        <f>'P0-3_Scorecard'!L116</f>
        <v/>
      </c>
      <c r="E314" s="18">
        <f>'P0-3_Scorecard'!L75</f>
        <v/>
      </c>
      <c r="F314" s="18">
        <f>'P0-3_Scorecard'!M75</f>
        <v/>
      </c>
      <c r="G314" s="18">
        <f>'P0-3_Scorecard'!E75</f>
        <v/>
      </c>
      <c r="H314" s="18">
        <f>'P0-3_Scorecard'!H75</f>
        <v/>
      </c>
      <c r="I314" s="18">
        <f>IF(OR(D314="",E314=""),"INCOMPLETE",IF(AND(D314&gt;=70,E314&lt;60),"DEPENDENCY GAP",IF(AND(D314&gt;=70,G314&lt;F314),"REQUIRED MATURITY GAP","OK")))</f>
        <v/>
      </c>
      <c r="J314" s="18" t="inlineStr">
        <is>
          <t>Student development review</t>
        </is>
      </c>
    </row>
    <row r="315">
      <c r="A315" s="18" t="inlineStr">
        <is>
          <t>CD18</t>
        </is>
      </c>
      <c r="B315" s="18" t="inlineStr">
        <is>
          <t>D09-I12</t>
        </is>
      </c>
      <c r="C315" s="18" t="inlineStr">
        <is>
          <t>D06-I14</t>
        </is>
      </c>
      <c r="D315" s="18">
        <f>'P0-3_Scorecard'!L116</f>
        <v/>
      </c>
      <c r="E315" s="18">
        <f>'P0-3_Scorecard'!L80</f>
        <v/>
      </c>
      <c r="F315" s="18">
        <f>'P0-3_Scorecard'!M80</f>
        <v/>
      </c>
      <c r="G315" s="18">
        <f>'P0-3_Scorecard'!E80</f>
        <v/>
      </c>
      <c r="H315" s="18">
        <f>'P0-3_Scorecard'!H80</f>
        <v/>
      </c>
      <c r="I315" s="18">
        <f>IF(OR(D315="",E315=""),"INCOMPLETE",IF(AND(D315&gt;=70,E315&lt;60),"DEPENDENCY GAP",IF(AND(D315&gt;=70,G315&lt;F315),"REQUIRED MATURITY GAP","OK")))</f>
        <v/>
      </c>
      <c r="J315" s="18" t="inlineStr">
        <is>
          <t>Student development review</t>
        </is>
      </c>
    </row>
    <row r="316">
      <c r="A316" s="18" t="inlineStr">
        <is>
          <t>CD19</t>
        </is>
      </c>
      <c r="B316" s="18" t="inlineStr">
        <is>
          <t>D10-I03</t>
        </is>
      </c>
      <c r="C316" s="18" t="inlineStr">
        <is>
          <t>D03-I05</t>
        </is>
      </c>
      <c r="D316" s="18">
        <f>'P0-3_Scorecard'!L119</f>
        <v/>
      </c>
      <c r="E316" s="18">
        <f>'P0-3_Scorecard'!L30</f>
        <v/>
      </c>
      <c r="F316" s="18">
        <f>'P0-3_Scorecard'!M30</f>
        <v/>
      </c>
      <c r="G316" s="18">
        <f>'P0-3_Scorecard'!E30</f>
        <v/>
      </c>
      <c r="H316" s="18">
        <f>'P0-3_Scorecard'!H30</f>
        <v/>
      </c>
      <c r="I316" s="18">
        <f>IF(OR(D316="",E316=""),"INCOMPLETE",IF(AND(D316&gt;=70,E316&lt;60),"DEPENDENCY GAP",IF(AND(D316&gt;=70,G316&lt;F316),"REQUIRED MATURITY GAP","OK")))</f>
        <v/>
      </c>
      <c r="J316" s="18" t="inlineStr">
        <is>
          <t>Research-learning review</t>
        </is>
      </c>
    </row>
    <row r="317">
      <c r="A317" s="18" t="inlineStr">
        <is>
          <t>CD19</t>
        </is>
      </c>
      <c r="B317" s="18" t="inlineStr">
        <is>
          <t>D10-I03</t>
        </is>
      </c>
      <c r="C317" s="18" t="inlineStr">
        <is>
          <t>D03-I06</t>
        </is>
      </c>
      <c r="D317" s="18">
        <f>'P0-3_Scorecard'!L119</f>
        <v/>
      </c>
      <c r="E317" s="18">
        <f>'P0-3_Scorecard'!L31</f>
        <v/>
      </c>
      <c r="F317" s="18">
        <f>'P0-3_Scorecard'!M31</f>
        <v/>
      </c>
      <c r="G317" s="18">
        <f>'P0-3_Scorecard'!E31</f>
        <v/>
      </c>
      <c r="H317" s="18">
        <f>'P0-3_Scorecard'!H31</f>
        <v/>
      </c>
      <c r="I317" s="18">
        <f>IF(OR(D317="",E317=""),"INCOMPLETE",IF(AND(D317&gt;=70,E317&lt;60),"DEPENDENCY GAP",IF(AND(D317&gt;=70,G317&lt;F317),"REQUIRED MATURITY GAP","OK")))</f>
        <v/>
      </c>
      <c r="J317" s="18" t="inlineStr">
        <is>
          <t>Research-learning review</t>
        </is>
      </c>
    </row>
    <row r="318">
      <c r="A318" s="18" t="inlineStr">
        <is>
          <t>CD19</t>
        </is>
      </c>
      <c r="B318" s="18" t="inlineStr">
        <is>
          <t>D10-I03</t>
        </is>
      </c>
      <c r="C318" s="18" t="inlineStr">
        <is>
          <t>D03-I07</t>
        </is>
      </c>
      <c r="D318" s="18">
        <f>'P0-3_Scorecard'!L119</f>
        <v/>
      </c>
      <c r="E318" s="18">
        <f>'P0-3_Scorecard'!L32</f>
        <v/>
      </c>
      <c r="F318" s="18">
        <f>'P0-3_Scorecard'!M32</f>
        <v/>
      </c>
      <c r="G318" s="18">
        <f>'P0-3_Scorecard'!E32</f>
        <v/>
      </c>
      <c r="H318" s="18">
        <f>'P0-3_Scorecard'!H32</f>
        <v/>
      </c>
      <c r="I318" s="18">
        <f>IF(OR(D318="",E318=""),"INCOMPLETE",IF(AND(D318&gt;=70,E318&lt;60),"DEPENDENCY GAP",IF(AND(D318&gt;=70,G318&lt;F318),"REQUIRED MATURITY GAP","OK")))</f>
        <v/>
      </c>
      <c r="J318" s="18" t="inlineStr">
        <is>
          <t>Research-learning review</t>
        </is>
      </c>
    </row>
    <row r="319">
      <c r="A319" s="18" t="inlineStr">
        <is>
          <t>CD19</t>
        </is>
      </c>
      <c r="B319" s="18" t="inlineStr">
        <is>
          <t>D10-I03</t>
        </is>
      </c>
      <c r="C319" s="18" t="inlineStr">
        <is>
          <t>D03-I13</t>
        </is>
      </c>
      <c r="D319" s="18">
        <f>'P0-3_Scorecard'!L119</f>
        <v/>
      </c>
      <c r="E319" s="18">
        <f>'P0-3_Scorecard'!L38</f>
        <v/>
      </c>
      <c r="F319" s="18">
        <f>'P0-3_Scorecard'!M38</f>
        <v/>
      </c>
      <c r="G319" s="18">
        <f>'P0-3_Scorecard'!E38</f>
        <v/>
      </c>
      <c r="H319" s="18">
        <f>'P0-3_Scorecard'!H38</f>
        <v/>
      </c>
      <c r="I319" s="18">
        <f>IF(OR(D319="",E319=""),"INCOMPLETE",IF(AND(D319&gt;=70,E319&lt;60),"DEPENDENCY GAP",IF(AND(D319&gt;=70,G319&lt;F319),"REQUIRED MATURITY GAP","OK")))</f>
        <v/>
      </c>
      <c r="J319" s="18" t="inlineStr">
        <is>
          <t>Research-learning review</t>
        </is>
      </c>
    </row>
    <row r="320">
      <c r="A320" s="18" t="inlineStr">
        <is>
          <t>CD19</t>
        </is>
      </c>
      <c r="B320" s="18" t="inlineStr">
        <is>
          <t>D10-I03</t>
        </is>
      </c>
      <c r="C320" s="18" t="inlineStr">
        <is>
          <t>D03-I16</t>
        </is>
      </c>
      <c r="D320" s="18">
        <f>'P0-3_Scorecard'!L119</f>
        <v/>
      </c>
      <c r="E320" s="18">
        <f>'P0-3_Scorecard'!L41</f>
        <v/>
      </c>
      <c r="F320" s="18">
        <f>'P0-3_Scorecard'!M41</f>
        <v/>
      </c>
      <c r="G320" s="18">
        <f>'P0-3_Scorecard'!E41</f>
        <v/>
      </c>
      <c r="H320" s="18">
        <f>'P0-3_Scorecard'!H41</f>
        <v/>
      </c>
      <c r="I320" s="18">
        <f>IF(OR(D320="",E320=""),"INCOMPLETE",IF(AND(D320&gt;=70,E320&lt;60),"DEPENDENCY GAP",IF(AND(D320&gt;=70,G320&lt;F320),"REQUIRED MATURITY GAP","OK")))</f>
        <v/>
      </c>
      <c r="J320" s="18" t="inlineStr">
        <is>
          <t>Research-learning review</t>
        </is>
      </c>
    </row>
    <row r="321">
      <c r="A321" s="18" t="inlineStr">
        <is>
          <t>CD19</t>
        </is>
      </c>
      <c r="B321" s="18" t="inlineStr">
        <is>
          <t>D10-I08</t>
        </is>
      </c>
      <c r="C321" s="18" t="inlineStr">
        <is>
          <t>D03-I05</t>
        </is>
      </c>
      <c r="D321" s="18">
        <f>'P0-3_Scorecard'!L124</f>
        <v/>
      </c>
      <c r="E321" s="18">
        <f>'P0-3_Scorecard'!L30</f>
        <v/>
      </c>
      <c r="F321" s="18">
        <f>'P0-3_Scorecard'!M30</f>
        <v/>
      </c>
      <c r="G321" s="18">
        <f>'P0-3_Scorecard'!E30</f>
        <v/>
      </c>
      <c r="H321" s="18">
        <f>'P0-3_Scorecard'!H30</f>
        <v/>
      </c>
      <c r="I321" s="18">
        <f>IF(OR(D321="",E321=""),"INCOMPLETE",IF(AND(D321&gt;=70,E321&lt;60),"DEPENDENCY GAP",IF(AND(D321&gt;=70,G321&lt;F321),"REQUIRED MATURITY GAP","OK")))</f>
        <v/>
      </c>
      <c r="J321" s="18" t="inlineStr">
        <is>
          <t>Research-learning review</t>
        </is>
      </c>
    </row>
    <row r="322">
      <c r="A322" s="18" t="inlineStr">
        <is>
          <t>CD19</t>
        </is>
      </c>
      <c r="B322" s="18" t="inlineStr">
        <is>
          <t>D10-I08</t>
        </is>
      </c>
      <c r="C322" s="18" t="inlineStr">
        <is>
          <t>D03-I06</t>
        </is>
      </c>
      <c r="D322" s="18">
        <f>'P0-3_Scorecard'!L124</f>
        <v/>
      </c>
      <c r="E322" s="18">
        <f>'P0-3_Scorecard'!L31</f>
        <v/>
      </c>
      <c r="F322" s="18">
        <f>'P0-3_Scorecard'!M31</f>
        <v/>
      </c>
      <c r="G322" s="18">
        <f>'P0-3_Scorecard'!E31</f>
        <v/>
      </c>
      <c r="H322" s="18">
        <f>'P0-3_Scorecard'!H31</f>
        <v/>
      </c>
      <c r="I322" s="18">
        <f>IF(OR(D322="",E322=""),"INCOMPLETE",IF(AND(D322&gt;=70,E322&lt;60),"DEPENDENCY GAP",IF(AND(D322&gt;=70,G322&lt;F322),"REQUIRED MATURITY GAP","OK")))</f>
        <v/>
      </c>
      <c r="J322" s="18" t="inlineStr">
        <is>
          <t>Research-learning review</t>
        </is>
      </c>
    </row>
    <row r="323">
      <c r="A323" s="18" t="inlineStr">
        <is>
          <t>CD19</t>
        </is>
      </c>
      <c r="B323" s="18" t="inlineStr">
        <is>
          <t>D10-I08</t>
        </is>
      </c>
      <c r="C323" s="18" t="inlineStr">
        <is>
          <t>D03-I07</t>
        </is>
      </c>
      <c r="D323" s="18">
        <f>'P0-3_Scorecard'!L124</f>
        <v/>
      </c>
      <c r="E323" s="18">
        <f>'P0-3_Scorecard'!L32</f>
        <v/>
      </c>
      <c r="F323" s="18">
        <f>'P0-3_Scorecard'!M32</f>
        <v/>
      </c>
      <c r="G323" s="18">
        <f>'P0-3_Scorecard'!E32</f>
        <v/>
      </c>
      <c r="H323" s="18">
        <f>'P0-3_Scorecard'!H32</f>
        <v/>
      </c>
      <c r="I323" s="18">
        <f>IF(OR(D323="",E323=""),"INCOMPLETE",IF(AND(D323&gt;=70,E323&lt;60),"DEPENDENCY GAP",IF(AND(D323&gt;=70,G323&lt;F323),"REQUIRED MATURITY GAP","OK")))</f>
        <v/>
      </c>
      <c r="J323" s="18" t="inlineStr">
        <is>
          <t>Research-learning review</t>
        </is>
      </c>
    </row>
    <row r="324">
      <c r="A324" s="18" t="inlineStr">
        <is>
          <t>CD19</t>
        </is>
      </c>
      <c r="B324" s="18" t="inlineStr">
        <is>
          <t>D10-I08</t>
        </is>
      </c>
      <c r="C324" s="18" t="inlineStr">
        <is>
          <t>D03-I13</t>
        </is>
      </c>
      <c r="D324" s="18">
        <f>'P0-3_Scorecard'!L124</f>
        <v/>
      </c>
      <c r="E324" s="18">
        <f>'P0-3_Scorecard'!L38</f>
        <v/>
      </c>
      <c r="F324" s="18">
        <f>'P0-3_Scorecard'!M38</f>
        <v/>
      </c>
      <c r="G324" s="18">
        <f>'P0-3_Scorecard'!E38</f>
        <v/>
      </c>
      <c r="H324" s="18">
        <f>'P0-3_Scorecard'!H38</f>
        <v/>
      </c>
      <c r="I324" s="18">
        <f>IF(OR(D324="",E324=""),"INCOMPLETE",IF(AND(D324&gt;=70,E324&lt;60),"DEPENDENCY GAP",IF(AND(D324&gt;=70,G324&lt;F324),"REQUIRED MATURITY GAP","OK")))</f>
        <v/>
      </c>
      <c r="J324" s="18" t="inlineStr">
        <is>
          <t>Research-learning review</t>
        </is>
      </c>
    </row>
    <row r="325">
      <c r="A325" s="18" t="inlineStr">
        <is>
          <t>CD19</t>
        </is>
      </c>
      <c r="B325" s="18" t="inlineStr">
        <is>
          <t>D10-I08</t>
        </is>
      </c>
      <c r="C325" s="18" t="inlineStr">
        <is>
          <t>D03-I16</t>
        </is>
      </c>
      <c r="D325" s="18">
        <f>'P0-3_Scorecard'!L124</f>
        <v/>
      </c>
      <c r="E325" s="18">
        <f>'P0-3_Scorecard'!L41</f>
        <v/>
      </c>
      <c r="F325" s="18">
        <f>'P0-3_Scorecard'!M41</f>
        <v/>
      </c>
      <c r="G325" s="18">
        <f>'P0-3_Scorecard'!E41</f>
        <v/>
      </c>
      <c r="H325" s="18">
        <f>'P0-3_Scorecard'!H41</f>
        <v/>
      </c>
      <c r="I325" s="18">
        <f>IF(OR(D325="",E325=""),"INCOMPLETE",IF(AND(D325&gt;=70,E325&lt;60),"DEPENDENCY GAP",IF(AND(D325&gt;=70,G325&lt;F325),"REQUIRED MATURITY GAP","OK")))</f>
        <v/>
      </c>
      <c r="J325" s="18" t="inlineStr">
        <is>
          <t>Research-learning review</t>
        </is>
      </c>
    </row>
    <row r="326">
      <c r="A326" s="18" t="inlineStr">
        <is>
          <t>CD19</t>
        </is>
      </c>
      <c r="B326" s="18" t="inlineStr">
        <is>
          <t>D10-I14</t>
        </is>
      </c>
      <c r="C326" s="18" t="inlineStr">
        <is>
          <t>D03-I05</t>
        </is>
      </c>
      <c r="D326" s="18">
        <f>'P0-3_Scorecard'!L130</f>
        <v/>
      </c>
      <c r="E326" s="18">
        <f>'P0-3_Scorecard'!L30</f>
        <v/>
      </c>
      <c r="F326" s="18">
        <f>'P0-3_Scorecard'!M30</f>
        <v/>
      </c>
      <c r="G326" s="18">
        <f>'P0-3_Scorecard'!E30</f>
        <v/>
      </c>
      <c r="H326" s="18">
        <f>'P0-3_Scorecard'!H30</f>
        <v/>
      </c>
      <c r="I326" s="18">
        <f>IF(OR(D326="",E326=""),"INCOMPLETE",IF(AND(D326&gt;=70,E326&lt;60),"DEPENDENCY GAP",IF(AND(D326&gt;=70,G326&lt;F326),"REQUIRED MATURITY GAP","OK")))</f>
        <v/>
      </c>
      <c r="J326" s="18" t="inlineStr">
        <is>
          <t>Research-learning review</t>
        </is>
      </c>
    </row>
    <row r="327">
      <c r="A327" s="18" t="inlineStr">
        <is>
          <t>CD19</t>
        </is>
      </c>
      <c r="B327" s="18" t="inlineStr">
        <is>
          <t>D10-I14</t>
        </is>
      </c>
      <c r="C327" s="18" t="inlineStr">
        <is>
          <t>D03-I06</t>
        </is>
      </c>
      <c r="D327" s="18">
        <f>'P0-3_Scorecard'!L130</f>
        <v/>
      </c>
      <c r="E327" s="18">
        <f>'P0-3_Scorecard'!L31</f>
        <v/>
      </c>
      <c r="F327" s="18">
        <f>'P0-3_Scorecard'!M31</f>
        <v/>
      </c>
      <c r="G327" s="18">
        <f>'P0-3_Scorecard'!E31</f>
        <v/>
      </c>
      <c r="H327" s="18">
        <f>'P0-3_Scorecard'!H31</f>
        <v/>
      </c>
      <c r="I327" s="18">
        <f>IF(OR(D327="",E327=""),"INCOMPLETE",IF(AND(D327&gt;=70,E327&lt;60),"DEPENDENCY GAP",IF(AND(D327&gt;=70,G327&lt;F327),"REQUIRED MATURITY GAP","OK")))</f>
        <v/>
      </c>
      <c r="J327" s="18" t="inlineStr">
        <is>
          <t>Research-learning review</t>
        </is>
      </c>
    </row>
    <row r="328">
      <c r="A328" s="18" t="inlineStr">
        <is>
          <t>CD19</t>
        </is>
      </c>
      <c r="B328" s="18" t="inlineStr">
        <is>
          <t>D10-I14</t>
        </is>
      </c>
      <c r="C328" s="18" t="inlineStr">
        <is>
          <t>D03-I07</t>
        </is>
      </c>
      <c r="D328" s="18">
        <f>'P0-3_Scorecard'!L130</f>
        <v/>
      </c>
      <c r="E328" s="18">
        <f>'P0-3_Scorecard'!L32</f>
        <v/>
      </c>
      <c r="F328" s="18">
        <f>'P0-3_Scorecard'!M32</f>
        <v/>
      </c>
      <c r="G328" s="18">
        <f>'P0-3_Scorecard'!E32</f>
        <v/>
      </c>
      <c r="H328" s="18">
        <f>'P0-3_Scorecard'!H32</f>
        <v/>
      </c>
      <c r="I328" s="18">
        <f>IF(OR(D328="",E328=""),"INCOMPLETE",IF(AND(D328&gt;=70,E328&lt;60),"DEPENDENCY GAP",IF(AND(D328&gt;=70,G328&lt;F328),"REQUIRED MATURITY GAP","OK")))</f>
        <v/>
      </c>
      <c r="J328" s="18" t="inlineStr">
        <is>
          <t>Research-learning review</t>
        </is>
      </c>
    </row>
    <row r="329">
      <c r="A329" s="18" t="inlineStr">
        <is>
          <t>CD19</t>
        </is>
      </c>
      <c r="B329" s="18" t="inlineStr">
        <is>
          <t>D10-I14</t>
        </is>
      </c>
      <c r="C329" s="18" t="inlineStr">
        <is>
          <t>D03-I13</t>
        </is>
      </c>
      <c r="D329" s="18">
        <f>'P0-3_Scorecard'!L130</f>
        <v/>
      </c>
      <c r="E329" s="18">
        <f>'P0-3_Scorecard'!L38</f>
        <v/>
      </c>
      <c r="F329" s="18">
        <f>'P0-3_Scorecard'!M38</f>
        <v/>
      </c>
      <c r="G329" s="18">
        <f>'P0-3_Scorecard'!E38</f>
        <v/>
      </c>
      <c r="H329" s="18">
        <f>'P0-3_Scorecard'!H38</f>
        <v/>
      </c>
      <c r="I329" s="18">
        <f>IF(OR(D329="",E329=""),"INCOMPLETE",IF(AND(D329&gt;=70,E329&lt;60),"DEPENDENCY GAP",IF(AND(D329&gt;=70,G329&lt;F329),"REQUIRED MATURITY GAP","OK")))</f>
        <v/>
      </c>
      <c r="J329" s="18" t="inlineStr">
        <is>
          <t>Research-learning review</t>
        </is>
      </c>
    </row>
    <row r="330">
      <c r="A330" s="18" t="inlineStr">
        <is>
          <t>CD19</t>
        </is>
      </c>
      <c r="B330" s="18" t="inlineStr">
        <is>
          <t>D10-I14</t>
        </is>
      </c>
      <c r="C330" s="18" t="inlineStr">
        <is>
          <t>D03-I16</t>
        </is>
      </c>
      <c r="D330" s="18">
        <f>'P0-3_Scorecard'!L130</f>
        <v/>
      </c>
      <c r="E330" s="18">
        <f>'P0-3_Scorecard'!L41</f>
        <v/>
      </c>
      <c r="F330" s="18">
        <f>'P0-3_Scorecard'!M41</f>
        <v/>
      </c>
      <c r="G330" s="18">
        <f>'P0-3_Scorecard'!E41</f>
        <v/>
      </c>
      <c r="H330" s="18">
        <f>'P0-3_Scorecard'!H41</f>
        <v/>
      </c>
      <c r="I330" s="18">
        <f>IF(OR(D330="",E330=""),"INCOMPLETE",IF(AND(D330&gt;=70,E330&lt;60),"DEPENDENCY GAP",IF(AND(D330&gt;=70,G330&lt;F330),"REQUIRED MATURITY GAP","OK")))</f>
        <v/>
      </c>
      <c r="J330" s="18" t="inlineStr">
        <is>
          <t>Research-learning review</t>
        </is>
      </c>
    </row>
    <row r="331">
      <c r="A331" s="18" t="inlineStr">
        <is>
          <t>CD20</t>
        </is>
      </c>
      <c r="B331" s="18" t="inlineStr">
        <is>
          <t>D10-I08</t>
        </is>
      </c>
      <c r="C331" s="18" t="inlineStr">
        <is>
          <t>D09-I05</t>
        </is>
      </c>
      <c r="D331" s="18">
        <f>'P0-3_Scorecard'!L124</f>
        <v/>
      </c>
      <c r="E331" s="18">
        <f>'P0-3_Scorecard'!L109</f>
        <v/>
      </c>
      <c r="F331" s="18">
        <f>'P0-3_Scorecard'!M109</f>
        <v/>
      </c>
      <c r="G331" s="18">
        <f>'P0-3_Scorecard'!E109</f>
        <v/>
      </c>
      <c r="H331" s="18">
        <f>'P0-3_Scorecard'!H109</f>
        <v/>
      </c>
      <c r="I331" s="18">
        <f>IF(OR(D331="",E331=""),"INCOMPLETE",IF(AND(D331&gt;=70,E331&lt;60),"DEPENDENCY GAP",IF(AND(D331&gt;=70,G331&lt;F331),"REQUIRED MATURITY GAP","OK")))</f>
        <v/>
      </c>
      <c r="J331" s="18" t="inlineStr">
        <is>
          <t>Translation review</t>
        </is>
      </c>
    </row>
    <row r="332">
      <c r="A332" s="18" t="inlineStr">
        <is>
          <t>CD20</t>
        </is>
      </c>
      <c r="B332" s="18" t="inlineStr">
        <is>
          <t>D10-I08</t>
        </is>
      </c>
      <c r="C332" s="18" t="inlineStr">
        <is>
          <t>D09-I10</t>
        </is>
      </c>
      <c r="D332" s="18">
        <f>'P0-3_Scorecard'!L124</f>
        <v/>
      </c>
      <c r="E332" s="18">
        <f>'P0-3_Scorecard'!L114</f>
        <v/>
      </c>
      <c r="F332" s="18">
        <f>'P0-3_Scorecard'!M114</f>
        <v/>
      </c>
      <c r="G332" s="18">
        <f>'P0-3_Scorecard'!E114</f>
        <v/>
      </c>
      <c r="H332" s="18">
        <f>'P0-3_Scorecard'!H114</f>
        <v/>
      </c>
      <c r="I332" s="18">
        <f>IF(OR(D332="",E332=""),"INCOMPLETE",IF(AND(D332&gt;=70,E332&lt;60),"DEPENDENCY GAP",IF(AND(D332&gt;=70,G332&lt;F332),"REQUIRED MATURITY GAP","OK")))</f>
        <v/>
      </c>
      <c r="J332" s="18" t="inlineStr">
        <is>
          <t>Translation review</t>
        </is>
      </c>
    </row>
    <row r="333">
      <c r="A333" s="18" t="inlineStr">
        <is>
          <t>CD20</t>
        </is>
      </c>
      <c r="B333" s="18" t="inlineStr">
        <is>
          <t>D10-I08</t>
        </is>
      </c>
      <c r="C333" s="18" t="inlineStr">
        <is>
          <t>D09-I11</t>
        </is>
      </c>
      <c r="D333" s="18">
        <f>'P0-3_Scorecard'!L124</f>
        <v/>
      </c>
      <c r="E333" s="18">
        <f>'P0-3_Scorecard'!L115</f>
        <v/>
      </c>
      <c r="F333" s="18">
        <f>'P0-3_Scorecard'!M115</f>
        <v/>
      </c>
      <c r="G333" s="18">
        <f>'P0-3_Scorecard'!E115</f>
        <v/>
      </c>
      <c r="H333" s="18">
        <f>'P0-3_Scorecard'!H115</f>
        <v/>
      </c>
      <c r="I333" s="18">
        <f>IF(OR(D333="",E333=""),"INCOMPLETE",IF(AND(D333&gt;=70,E333&lt;60),"DEPENDENCY GAP",IF(AND(D333&gt;=70,G333&lt;F333),"REQUIRED MATURITY GAP","OK")))</f>
        <v/>
      </c>
      <c r="J333" s="18" t="inlineStr">
        <is>
          <t>Translation review</t>
        </is>
      </c>
    </row>
    <row r="334">
      <c r="A334" s="18" t="inlineStr">
        <is>
          <t>CD20</t>
        </is>
      </c>
      <c r="B334" s="18" t="inlineStr">
        <is>
          <t>D10-I08</t>
        </is>
      </c>
      <c r="C334" s="18" t="inlineStr">
        <is>
          <t>D09-I12</t>
        </is>
      </c>
      <c r="D334" s="18">
        <f>'P0-3_Scorecard'!L124</f>
        <v/>
      </c>
      <c r="E334" s="18">
        <f>'P0-3_Scorecard'!L116</f>
        <v/>
      </c>
      <c r="F334" s="18">
        <f>'P0-3_Scorecard'!M116</f>
        <v/>
      </c>
      <c r="G334" s="18">
        <f>'P0-3_Scorecard'!E116</f>
        <v/>
      </c>
      <c r="H334" s="18">
        <f>'P0-3_Scorecard'!H116</f>
        <v/>
      </c>
      <c r="I334" s="18">
        <f>IF(OR(D334="",E334=""),"INCOMPLETE",IF(AND(D334&gt;=70,E334&lt;60),"DEPENDENCY GAP",IF(AND(D334&gt;=70,G334&lt;F334),"REQUIRED MATURITY GAP","OK")))</f>
        <v/>
      </c>
      <c r="J334" s="18" t="inlineStr">
        <is>
          <t>Translation review</t>
        </is>
      </c>
    </row>
    <row r="335">
      <c r="A335" s="18" t="inlineStr">
        <is>
          <t>CD20</t>
        </is>
      </c>
      <c r="B335" s="18" t="inlineStr">
        <is>
          <t>D10-I09</t>
        </is>
      </c>
      <c r="C335" s="18" t="inlineStr">
        <is>
          <t>D09-I05</t>
        </is>
      </c>
      <c r="D335" s="18">
        <f>'P0-3_Scorecard'!L125</f>
        <v/>
      </c>
      <c r="E335" s="18">
        <f>'P0-3_Scorecard'!L109</f>
        <v/>
      </c>
      <c r="F335" s="18">
        <f>'P0-3_Scorecard'!M109</f>
        <v/>
      </c>
      <c r="G335" s="18">
        <f>'P0-3_Scorecard'!E109</f>
        <v/>
      </c>
      <c r="H335" s="18">
        <f>'P0-3_Scorecard'!H109</f>
        <v/>
      </c>
      <c r="I335" s="18">
        <f>IF(OR(D335="",E335=""),"INCOMPLETE",IF(AND(D335&gt;=70,E335&lt;60),"DEPENDENCY GAP",IF(AND(D335&gt;=70,G335&lt;F335),"REQUIRED MATURITY GAP","OK")))</f>
        <v/>
      </c>
      <c r="J335" s="18" t="inlineStr">
        <is>
          <t>Translation review</t>
        </is>
      </c>
    </row>
    <row r="336">
      <c r="A336" s="18" t="inlineStr">
        <is>
          <t>CD20</t>
        </is>
      </c>
      <c r="B336" s="18" t="inlineStr">
        <is>
          <t>D10-I09</t>
        </is>
      </c>
      <c r="C336" s="18" t="inlineStr">
        <is>
          <t>D09-I10</t>
        </is>
      </c>
      <c r="D336" s="18">
        <f>'P0-3_Scorecard'!L125</f>
        <v/>
      </c>
      <c r="E336" s="18">
        <f>'P0-3_Scorecard'!L114</f>
        <v/>
      </c>
      <c r="F336" s="18">
        <f>'P0-3_Scorecard'!M114</f>
        <v/>
      </c>
      <c r="G336" s="18">
        <f>'P0-3_Scorecard'!E114</f>
        <v/>
      </c>
      <c r="H336" s="18">
        <f>'P0-3_Scorecard'!H114</f>
        <v/>
      </c>
      <c r="I336" s="18">
        <f>IF(OR(D336="",E336=""),"INCOMPLETE",IF(AND(D336&gt;=70,E336&lt;60),"DEPENDENCY GAP",IF(AND(D336&gt;=70,G336&lt;F336),"REQUIRED MATURITY GAP","OK")))</f>
        <v/>
      </c>
      <c r="J336" s="18" t="inlineStr">
        <is>
          <t>Translation review</t>
        </is>
      </c>
    </row>
    <row r="337">
      <c r="A337" s="18" t="inlineStr">
        <is>
          <t>CD20</t>
        </is>
      </c>
      <c r="B337" s="18" t="inlineStr">
        <is>
          <t>D10-I09</t>
        </is>
      </c>
      <c r="C337" s="18" t="inlineStr">
        <is>
          <t>D09-I11</t>
        </is>
      </c>
      <c r="D337" s="18">
        <f>'P0-3_Scorecard'!L125</f>
        <v/>
      </c>
      <c r="E337" s="18">
        <f>'P0-3_Scorecard'!L115</f>
        <v/>
      </c>
      <c r="F337" s="18">
        <f>'P0-3_Scorecard'!M115</f>
        <v/>
      </c>
      <c r="G337" s="18">
        <f>'P0-3_Scorecard'!E115</f>
        <v/>
      </c>
      <c r="H337" s="18">
        <f>'P0-3_Scorecard'!H115</f>
        <v/>
      </c>
      <c r="I337" s="18">
        <f>IF(OR(D337="",E337=""),"INCOMPLETE",IF(AND(D337&gt;=70,E337&lt;60),"DEPENDENCY GAP",IF(AND(D337&gt;=70,G337&lt;F337),"REQUIRED MATURITY GAP","OK")))</f>
        <v/>
      </c>
      <c r="J337" s="18" t="inlineStr">
        <is>
          <t>Translation review</t>
        </is>
      </c>
    </row>
    <row r="338">
      <c r="A338" s="18" t="inlineStr">
        <is>
          <t>CD20</t>
        </is>
      </c>
      <c r="B338" s="18" t="inlineStr">
        <is>
          <t>D10-I09</t>
        </is>
      </c>
      <c r="C338" s="18" t="inlineStr">
        <is>
          <t>D09-I12</t>
        </is>
      </c>
      <c r="D338" s="18">
        <f>'P0-3_Scorecard'!L125</f>
        <v/>
      </c>
      <c r="E338" s="18">
        <f>'P0-3_Scorecard'!L116</f>
        <v/>
      </c>
      <c r="F338" s="18">
        <f>'P0-3_Scorecard'!M116</f>
        <v/>
      </c>
      <c r="G338" s="18">
        <f>'P0-3_Scorecard'!E116</f>
        <v/>
      </c>
      <c r="H338" s="18">
        <f>'P0-3_Scorecard'!H116</f>
        <v/>
      </c>
      <c r="I338" s="18">
        <f>IF(OR(D338="",E338=""),"INCOMPLETE",IF(AND(D338&gt;=70,E338&lt;60),"DEPENDENCY GAP",IF(AND(D338&gt;=70,G338&lt;F338),"REQUIRED MATURITY GAP","OK")))</f>
        <v/>
      </c>
      <c r="J338" s="18" t="inlineStr">
        <is>
          <t>Translation review</t>
        </is>
      </c>
    </row>
    <row r="339">
      <c r="A339" s="18" t="inlineStr">
        <is>
          <t>CD20</t>
        </is>
      </c>
      <c r="B339" s="18" t="inlineStr">
        <is>
          <t>D10-I10</t>
        </is>
      </c>
      <c r="C339" s="18" t="inlineStr">
        <is>
          <t>D09-I05</t>
        </is>
      </c>
      <c r="D339" s="18">
        <f>'P0-3_Scorecard'!L126</f>
        <v/>
      </c>
      <c r="E339" s="18">
        <f>'P0-3_Scorecard'!L109</f>
        <v/>
      </c>
      <c r="F339" s="18">
        <f>'P0-3_Scorecard'!M109</f>
        <v/>
      </c>
      <c r="G339" s="18">
        <f>'P0-3_Scorecard'!E109</f>
        <v/>
      </c>
      <c r="H339" s="18">
        <f>'P0-3_Scorecard'!H109</f>
        <v/>
      </c>
      <c r="I339" s="18">
        <f>IF(OR(D339="",E339=""),"INCOMPLETE",IF(AND(D339&gt;=70,E339&lt;60),"DEPENDENCY GAP",IF(AND(D339&gt;=70,G339&lt;F339),"REQUIRED MATURITY GAP","OK")))</f>
        <v/>
      </c>
      <c r="J339" s="18" t="inlineStr">
        <is>
          <t>Translation review</t>
        </is>
      </c>
    </row>
    <row r="340">
      <c r="A340" s="18" t="inlineStr">
        <is>
          <t>CD20</t>
        </is>
      </c>
      <c r="B340" s="18" t="inlineStr">
        <is>
          <t>D10-I10</t>
        </is>
      </c>
      <c r="C340" s="18" t="inlineStr">
        <is>
          <t>D09-I10</t>
        </is>
      </c>
      <c r="D340" s="18">
        <f>'P0-3_Scorecard'!L126</f>
        <v/>
      </c>
      <c r="E340" s="18">
        <f>'P0-3_Scorecard'!L114</f>
        <v/>
      </c>
      <c r="F340" s="18">
        <f>'P0-3_Scorecard'!M114</f>
        <v/>
      </c>
      <c r="G340" s="18">
        <f>'P0-3_Scorecard'!E114</f>
        <v/>
      </c>
      <c r="H340" s="18">
        <f>'P0-3_Scorecard'!H114</f>
        <v/>
      </c>
      <c r="I340" s="18">
        <f>IF(OR(D340="",E340=""),"INCOMPLETE",IF(AND(D340&gt;=70,E340&lt;60),"DEPENDENCY GAP",IF(AND(D340&gt;=70,G340&lt;F340),"REQUIRED MATURITY GAP","OK")))</f>
        <v/>
      </c>
      <c r="J340" s="18" t="inlineStr">
        <is>
          <t>Translation review</t>
        </is>
      </c>
    </row>
    <row r="341">
      <c r="A341" s="18" t="inlineStr">
        <is>
          <t>CD20</t>
        </is>
      </c>
      <c r="B341" s="18" t="inlineStr">
        <is>
          <t>D10-I10</t>
        </is>
      </c>
      <c r="C341" s="18" t="inlineStr">
        <is>
          <t>D09-I11</t>
        </is>
      </c>
      <c r="D341" s="18">
        <f>'P0-3_Scorecard'!L126</f>
        <v/>
      </c>
      <c r="E341" s="18">
        <f>'P0-3_Scorecard'!L115</f>
        <v/>
      </c>
      <c r="F341" s="18">
        <f>'P0-3_Scorecard'!M115</f>
        <v/>
      </c>
      <c r="G341" s="18">
        <f>'P0-3_Scorecard'!E115</f>
        <v/>
      </c>
      <c r="H341" s="18">
        <f>'P0-3_Scorecard'!H115</f>
        <v/>
      </c>
      <c r="I341" s="18">
        <f>IF(OR(D341="",E341=""),"INCOMPLETE",IF(AND(D341&gt;=70,E341&lt;60),"DEPENDENCY GAP",IF(AND(D341&gt;=70,G341&lt;F341),"REQUIRED MATURITY GAP","OK")))</f>
        <v/>
      </c>
      <c r="J341" s="18" t="inlineStr">
        <is>
          <t>Translation review</t>
        </is>
      </c>
    </row>
    <row r="342">
      <c r="A342" s="18" t="inlineStr">
        <is>
          <t>CD20</t>
        </is>
      </c>
      <c r="B342" s="18" t="inlineStr">
        <is>
          <t>D10-I10</t>
        </is>
      </c>
      <c r="C342" s="18" t="inlineStr">
        <is>
          <t>D09-I12</t>
        </is>
      </c>
      <c r="D342" s="18">
        <f>'P0-3_Scorecard'!L126</f>
        <v/>
      </c>
      <c r="E342" s="18">
        <f>'P0-3_Scorecard'!L116</f>
        <v/>
      </c>
      <c r="F342" s="18">
        <f>'P0-3_Scorecard'!M116</f>
        <v/>
      </c>
      <c r="G342" s="18">
        <f>'P0-3_Scorecard'!E116</f>
        <v/>
      </c>
      <c r="H342" s="18">
        <f>'P0-3_Scorecard'!H116</f>
        <v/>
      </c>
      <c r="I342" s="18">
        <f>IF(OR(D342="",E342=""),"INCOMPLETE",IF(AND(D342&gt;=70,E342&lt;60),"DEPENDENCY GAP",IF(AND(D342&gt;=70,G342&lt;F342),"REQUIRED MATURITY GAP","OK")))</f>
        <v/>
      </c>
      <c r="J342" s="18" t="inlineStr">
        <is>
          <t>Translation review</t>
        </is>
      </c>
    </row>
    <row r="343">
      <c r="A343" s="18" t="inlineStr">
        <is>
          <t>CD20</t>
        </is>
      </c>
      <c r="B343" s="18" t="inlineStr">
        <is>
          <t>D10-I13</t>
        </is>
      </c>
      <c r="C343" s="18" t="inlineStr">
        <is>
          <t>D09-I05</t>
        </is>
      </c>
      <c r="D343" s="18">
        <f>'P0-3_Scorecard'!L129</f>
        <v/>
      </c>
      <c r="E343" s="18">
        <f>'P0-3_Scorecard'!L109</f>
        <v/>
      </c>
      <c r="F343" s="18">
        <f>'P0-3_Scorecard'!M109</f>
        <v/>
      </c>
      <c r="G343" s="18">
        <f>'P0-3_Scorecard'!E109</f>
        <v/>
      </c>
      <c r="H343" s="18">
        <f>'P0-3_Scorecard'!H109</f>
        <v/>
      </c>
      <c r="I343" s="18">
        <f>IF(OR(D343="",E343=""),"INCOMPLETE",IF(AND(D343&gt;=70,E343&lt;60),"DEPENDENCY GAP",IF(AND(D343&gt;=70,G343&lt;F343),"REQUIRED MATURITY GAP","OK")))</f>
        <v/>
      </c>
      <c r="J343" s="18" t="inlineStr">
        <is>
          <t>Translation review</t>
        </is>
      </c>
    </row>
    <row r="344">
      <c r="A344" s="18" t="inlineStr">
        <is>
          <t>CD20</t>
        </is>
      </c>
      <c r="B344" s="18" t="inlineStr">
        <is>
          <t>D10-I13</t>
        </is>
      </c>
      <c r="C344" s="18" t="inlineStr">
        <is>
          <t>D09-I10</t>
        </is>
      </c>
      <c r="D344" s="18">
        <f>'P0-3_Scorecard'!L129</f>
        <v/>
      </c>
      <c r="E344" s="18">
        <f>'P0-3_Scorecard'!L114</f>
        <v/>
      </c>
      <c r="F344" s="18">
        <f>'P0-3_Scorecard'!M114</f>
        <v/>
      </c>
      <c r="G344" s="18">
        <f>'P0-3_Scorecard'!E114</f>
        <v/>
      </c>
      <c r="H344" s="18">
        <f>'P0-3_Scorecard'!H114</f>
        <v/>
      </c>
      <c r="I344" s="18">
        <f>IF(OR(D344="",E344=""),"INCOMPLETE",IF(AND(D344&gt;=70,E344&lt;60),"DEPENDENCY GAP",IF(AND(D344&gt;=70,G344&lt;F344),"REQUIRED MATURITY GAP","OK")))</f>
        <v/>
      </c>
      <c r="J344" s="18" t="inlineStr">
        <is>
          <t>Translation review</t>
        </is>
      </c>
    </row>
    <row r="345">
      <c r="A345" s="18" t="inlineStr">
        <is>
          <t>CD20</t>
        </is>
      </c>
      <c r="B345" s="18" t="inlineStr">
        <is>
          <t>D10-I13</t>
        </is>
      </c>
      <c r="C345" s="18" t="inlineStr">
        <is>
          <t>D09-I11</t>
        </is>
      </c>
      <c r="D345" s="18">
        <f>'P0-3_Scorecard'!L129</f>
        <v/>
      </c>
      <c r="E345" s="18">
        <f>'P0-3_Scorecard'!L115</f>
        <v/>
      </c>
      <c r="F345" s="18">
        <f>'P0-3_Scorecard'!M115</f>
        <v/>
      </c>
      <c r="G345" s="18">
        <f>'P0-3_Scorecard'!E115</f>
        <v/>
      </c>
      <c r="H345" s="18">
        <f>'P0-3_Scorecard'!H115</f>
        <v/>
      </c>
      <c r="I345" s="18">
        <f>IF(OR(D345="",E345=""),"INCOMPLETE",IF(AND(D345&gt;=70,E345&lt;60),"DEPENDENCY GAP",IF(AND(D345&gt;=70,G345&lt;F345),"REQUIRED MATURITY GAP","OK")))</f>
        <v/>
      </c>
      <c r="J345" s="18" t="inlineStr">
        <is>
          <t>Translation review</t>
        </is>
      </c>
    </row>
    <row r="346">
      <c r="A346" s="18" t="inlineStr">
        <is>
          <t>CD20</t>
        </is>
      </c>
      <c r="B346" s="18" t="inlineStr">
        <is>
          <t>D10-I13</t>
        </is>
      </c>
      <c r="C346" s="18" t="inlineStr">
        <is>
          <t>D09-I12</t>
        </is>
      </c>
      <c r="D346" s="18">
        <f>'P0-3_Scorecard'!L129</f>
        <v/>
      </c>
      <c r="E346" s="18">
        <f>'P0-3_Scorecard'!L116</f>
        <v/>
      </c>
      <c r="F346" s="18">
        <f>'P0-3_Scorecard'!M116</f>
        <v/>
      </c>
      <c r="G346" s="18">
        <f>'P0-3_Scorecard'!E116</f>
        <v/>
      </c>
      <c r="H346" s="18">
        <f>'P0-3_Scorecard'!H116</f>
        <v/>
      </c>
      <c r="I346" s="18">
        <f>IF(OR(D346="",E346=""),"INCOMPLETE",IF(AND(D346&gt;=70,E346&lt;60),"DEPENDENCY GAP",IF(AND(D346&gt;=70,G346&lt;F346),"REQUIRED MATURITY GAP","OK")))</f>
        <v/>
      </c>
      <c r="J346" s="18" t="inlineStr">
        <is>
          <t>Translation review</t>
        </is>
      </c>
    </row>
    <row r="347">
      <c r="A347" s="18" t="inlineStr">
        <is>
          <t>CD21</t>
        </is>
      </c>
      <c r="B347" s="18" t="inlineStr">
        <is>
          <t>D10-I01</t>
        </is>
      </c>
      <c r="C347" s="18" t="inlineStr">
        <is>
          <t>D11-I01</t>
        </is>
      </c>
      <c r="D347" s="18">
        <f>'P0-3_Scorecard'!L117</f>
        <v/>
      </c>
      <c r="E347" s="18">
        <f>'P0-3_Scorecard'!L131</f>
        <v/>
      </c>
      <c r="F347" s="18">
        <f>'P0-3_Scorecard'!M131</f>
        <v/>
      </c>
      <c r="G347" s="18">
        <f>'P0-3_Scorecard'!E131</f>
        <v/>
      </c>
      <c r="H347" s="18">
        <f>'P0-3_Scorecard'!H131</f>
        <v/>
      </c>
      <c r="I347" s="18">
        <f>IF(OR(D347="",E347=""),"INCOMPLETE",IF(AND(D347&gt;=70,E347&lt;60),"DEPENDENCY GAP",IF(AND(D347&gt;=70,G347&lt;F347),"REQUIRED MATURITY GAP","OK")))</f>
        <v/>
      </c>
      <c r="J347" s="18" t="inlineStr">
        <is>
          <t>Institutional learning review</t>
        </is>
      </c>
    </row>
    <row r="348">
      <c r="A348" s="18" t="inlineStr">
        <is>
          <t>CD21</t>
        </is>
      </c>
      <c r="B348" s="18" t="inlineStr">
        <is>
          <t>D10-I01</t>
        </is>
      </c>
      <c r="C348" s="18" t="inlineStr">
        <is>
          <t>D11-I06</t>
        </is>
      </c>
      <c r="D348" s="18">
        <f>'P0-3_Scorecard'!L117</f>
        <v/>
      </c>
      <c r="E348" s="18">
        <f>'P0-3_Scorecard'!L136</f>
        <v/>
      </c>
      <c r="F348" s="18">
        <f>'P0-3_Scorecard'!M136</f>
        <v/>
      </c>
      <c r="G348" s="18">
        <f>'P0-3_Scorecard'!E136</f>
        <v/>
      </c>
      <c r="H348" s="18">
        <f>'P0-3_Scorecard'!H136</f>
        <v/>
      </c>
      <c r="I348" s="18">
        <f>IF(OR(D348="",E348=""),"INCOMPLETE",IF(AND(D348&gt;=70,E348&lt;60),"DEPENDENCY GAP",IF(AND(D348&gt;=70,G348&lt;F348),"REQUIRED MATURITY GAP","OK")))</f>
        <v/>
      </c>
      <c r="J348" s="18" t="inlineStr">
        <is>
          <t>Institutional learning review</t>
        </is>
      </c>
    </row>
    <row r="349">
      <c r="A349" s="18" t="inlineStr">
        <is>
          <t>CD21</t>
        </is>
      </c>
      <c r="B349" s="18" t="inlineStr">
        <is>
          <t>D10-I01</t>
        </is>
      </c>
      <c r="C349" s="18" t="inlineStr">
        <is>
          <t>D11-I13</t>
        </is>
      </c>
      <c r="D349" s="18">
        <f>'P0-3_Scorecard'!L117</f>
        <v/>
      </c>
      <c r="E349" s="18">
        <f>'P0-3_Scorecard'!L143</f>
        <v/>
      </c>
      <c r="F349" s="18">
        <f>'P0-3_Scorecard'!M143</f>
        <v/>
      </c>
      <c r="G349" s="18">
        <f>'P0-3_Scorecard'!E143</f>
        <v/>
      </c>
      <c r="H349" s="18">
        <f>'P0-3_Scorecard'!H143</f>
        <v/>
      </c>
      <c r="I349" s="18">
        <f>IF(OR(D349="",E349=""),"INCOMPLETE",IF(AND(D349&gt;=70,E349&lt;60),"DEPENDENCY GAP",IF(AND(D349&gt;=70,G349&lt;F349),"REQUIRED MATURITY GAP","OK")))</f>
        <v/>
      </c>
      <c r="J349" s="18" t="inlineStr">
        <is>
          <t>Institutional learning review</t>
        </is>
      </c>
    </row>
    <row r="350">
      <c r="A350" s="18" t="inlineStr">
        <is>
          <t>CD21</t>
        </is>
      </c>
      <c r="B350" s="18" t="inlineStr">
        <is>
          <t>D10-I01</t>
        </is>
      </c>
      <c r="C350" s="18" t="inlineStr">
        <is>
          <t>D11-I14</t>
        </is>
      </c>
      <c r="D350" s="18">
        <f>'P0-3_Scorecard'!L117</f>
        <v/>
      </c>
      <c r="E350" s="18">
        <f>'P0-3_Scorecard'!L144</f>
        <v/>
      </c>
      <c r="F350" s="18">
        <f>'P0-3_Scorecard'!M144</f>
        <v/>
      </c>
      <c r="G350" s="18">
        <f>'P0-3_Scorecard'!E144</f>
        <v/>
      </c>
      <c r="H350" s="18">
        <f>'P0-3_Scorecard'!H144</f>
        <v/>
      </c>
      <c r="I350" s="18">
        <f>IF(OR(D350="",E350=""),"INCOMPLETE",IF(AND(D350&gt;=70,E350&lt;60),"DEPENDENCY GAP",IF(AND(D350&gt;=70,G350&lt;F350),"REQUIRED MATURITY GAP","OK")))</f>
        <v/>
      </c>
      <c r="J350" s="18" t="inlineStr">
        <is>
          <t>Institutional learning review</t>
        </is>
      </c>
    </row>
    <row r="351">
      <c r="A351" s="18" t="inlineStr">
        <is>
          <t>CD21</t>
        </is>
      </c>
      <c r="B351" s="18" t="inlineStr">
        <is>
          <t>D10-I02</t>
        </is>
      </c>
      <c r="C351" s="18" t="inlineStr">
        <is>
          <t>D11-I01</t>
        </is>
      </c>
      <c r="D351" s="18">
        <f>'P0-3_Scorecard'!L118</f>
        <v/>
      </c>
      <c r="E351" s="18">
        <f>'P0-3_Scorecard'!L131</f>
        <v/>
      </c>
      <c r="F351" s="18">
        <f>'P0-3_Scorecard'!M131</f>
        <v/>
      </c>
      <c r="G351" s="18">
        <f>'P0-3_Scorecard'!E131</f>
        <v/>
      </c>
      <c r="H351" s="18">
        <f>'P0-3_Scorecard'!H131</f>
        <v/>
      </c>
      <c r="I351" s="18">
        <f>IF(OR(D351="",E351=""),"INCOMPLETE",IF(AND(D351&gt;=70,E351&lt;60),"DEPENDENCY GAP",IF(AND(D351&gt;=70,G351&lt;F351),"REQUIRED MATURITY GAP","OK")))</f>
        <v/>
      </c>
      <c r="J351" s="18" t="inlineStr">
        <is>
          <t>Institutional learning review</t>
        </is>
      </c>
    </row>
    <row r="352">
      <c r="A352" s="18" t="inlineStr">
        <is>
          <t>CD21</t>
        </is>
      </c>
      <c r="B352" s="18" t="inlineStr">
        <is>
          <t>D10-I02</t>
        </is>
      </c>
      <c r="C352" s="18" t="inlineStr">
        <is>
          <t>D11-I06</t>
        </is>
      </c>
      <c r="D352" s="18">
        <f>'P0-3_Scorecard'!L118</f>
        <v/>
      </c>
      <c r="E352" s="18">
        <f>'P0-3_Scorecard'!L136</f>
        <v/>
      </c>
      <c r="F352" s="18">
        <f>'P0-3_Scorecard'!M136</f>
        <v/>
      </c>
      <c r="G352" s="18">
        <f>'P0-3_Scorecard'!E136</f>
        <v/>
      </c>
      <c r="H352" s="18">
        <f>'P0-3_Scorecard'!H136</f>
        <v/>
      </c>
      <c r="I352" s="18">
        <f>IF(OR(D352="",E352=""),"INCOMPLETE",IF(AND(D352&gt;=70,E352&lt;60),"DEPENDENCY GAP",IF(AND(D352&gt;=70,G352&lt;F352),"REQUIRED MATURITY GAP","OK")))</f>
        <v/>
      </c>
      <c r="J352" s="18" t="inlineStr">
        <is>
          <t>Institutional learning review</t>
        </is>
      </c>
    </row>
    <row r="353">
      <c r="A353" s="18" t="inlineStr">
        <is>
          <t>CD21</t>
        </is>
      </c>
      <c r="B353" s="18" t="inlineStr">
        <is>
          <t>D10-I02</t>
        </is>
      </c>
      <c r="C353" s="18" t="inlineStr">
        <is>
          <t>D11-I13</t>
        </is>
      </c>
      <c r="D353" s="18">
        <f>'P0-3_Scorecard'!L118</f>
        <v/>
      </c>
      <c r="E353" s="18">
        <f>'P0-3_Scorecard'!L143</f>
        <v/>
      </c>
      <c r="F353" s="18">
        <f>'P0-3_Scorecard'!M143</f>
        <v/>
      </c>
      <c r="G353" s="18">
        <f>'P0-3_Scorecard'!E143</f>
        <v/>
      </c>
      <c r="H353" s="18">
        <f>'P0-3_Scorecard'!H143</f>
        <v/>
      </c>
      <c r="I353" s="18">
        <f>IF(OR(D353="",E353=""),"INCOMPLETE",IF(AND(D353&gt;=70,E353&lt;60),"DEPENDENCY GAP",IF(AND(D353&gt;=70,G353&lt;F353),"REQUIRED MATURITY GAP","OK")))</f>
        <v/>
      </c>
      <c r="J353" s="18" t="inlineStr">
        <is>
          <t>Institutional learning review</t>
        </is>
      </c>
    </row>
    <row r="354">
      <c r="A354" s="18" t="inlineStr">
        <is>
          <t>CD21</t>
        </is>
      </c>
      <c r="B354" s="18" t="inlineStr">
        <is>
          <t>D10-I02</t>
        </is>
      </c>
      <c r="C354" s="18" t="inlineStr">
        <is>
          <t>D11-I14</t>
        </is>
      </c>
      <c r="D354" s="18">
        <f>'P0-3_Scorecard'!L118</f>
        <v/>
      </c>
      <c r="E354" s="18">
        <f>'P0-3_Scorecard'!L144</f>
        <v/>
      </c>
      <c r="F354" s="18">
        <f>'P0-3_Scorecard'!M144</f>
        <v/>
      </c>
      <c r="G354" s="18">
        <f>'P0-3_Scorecard'!E144</f>
        <v/>
      </c>
      <c r="H354" s="18">
        <f>'P0-3_Scorecard'!H144</f>
        <v/>
      </c>
      <c r="I354" s="18">
        <f>IF(OR(D354="",E354=""),"INCOMPLETE",IF(AND(D354&gt;=70,E354&lt;60),"DEPENDENCY GAP",IF(AND(D354&gt;=70,G354&lt;F354),"REQUIRED MATURITY GAP","OK")))</f>
        <v/>
      </c>
      <c r="J354" s="18" t="inlineStr">
        <is>
          <t>Institutional learning review</t>
        </is>
      </c>
    </row>
    <row r="355">
      <c r="A355" s="18" t="inlineStr">
        <is>
          <t>CD21</t>
        </is>
      </c>
      <c r="B355" s="18" t="inlineStr">
        <is>
          <t>D10-I13</t>
        </is>
      </c>
      <c r="C355" s="18" t="inlineStr">
        <is>
          <t>D11-I01</t>
        </is>
      </c>
      <c r="D355" s="18">
        <f>'P0-3_Scorecard'!L129</f>
        <v/>
      </c>
      <c r="E355" s="18">
        <f>'P0-3_Scorecard'!L131</f>
        <v/>
      </c>
      <c r="F355" s="18">
        <f>'P0-3_Scorecard'!M131</f>
        <v/>
      </c>
      <c r="G355" s="18">
        <f>'P0-3_Scorecard'!E131</f>
        <v/>
      </c>
      <c r="H355" s="18">
        <f>'P0-3_Scorecard'!H131</f>
        <v/>
      </c>
      <c r="I355" s="18">
        <f>IF(OR(D355="",E355=""),"INCOMPLETE",IF(AND(D355&gt;=70,E355&lt;60),"DEPENDENCY GAP",IF(AND(D355&gt;=70,G355&lt;F355),"REQUIRED MATURITY GAP","OK")))</f>
        <v/>
      </c>
      <c r="J355" s="18" t="inlineStr">
        <is>
          <t>Institutional learning review</t>
        </is>
      </c>
    </row>
    <row r="356">
      <c r="A356" s="18" t="inlineStr">
        <is>
          <t>CD21</t>
        </is>
      </c>
      <c r="B356" s="18" t="inlineStr">
        <is>
          <t>D10-I13</t>
        </is>
      </c>
      <c r="C356" s="18" t="inlineStr">
        <is>
          <t>D11-I06</t>
        </is>
      </c>
      <c r="D356" s="18">
        <f>'P0-3_Scorecard'!L129</f>
        <v/>
      </c>
      <c r="E356" s="18">
        <f>'P0-3_Scorecard'!L136</f>
        <v/>
      </c>
      <c r="F356" s="18">
        <f>'P0-3_Scorecard'!M136</f>
        <v/>
      </c>
      <c r="G356" s="18">
        <f>'P0-3_Scorecard'!E136</f>
        <v/>
      </c>
      <c r="H356" s="18">
        <f>'P0-3_Scorecard'!H136</f>
        <v/>
      </c>
      <c r="I356" s="18">
        <f>IF(OR(D356="",E356=""),"INCOMPLETE",IF(AND(D356&gt;=70,E356&lt;60),"DEPENDENCY GAP",IF(AND(D356&gt;=70,G356&lt;F356),"REQUIRED MATURITY GAP","OK")))</f>
        <v/>
      </c>
      <c r="J356" s="18" t="inlineStr">
        <is>
          <t>Institutional learning review</t>
        </is>
      </c>
    </row>
    <row r="357">
      <c r="A357" s="18" t="inlineStr">
        <is>
          <t>CD21</t>
        </is>
      </c>
      <c r="B357" s="18" t="inlineStr">
        <is>
          <t>D10-I13</t>
        </is>
      </c>
      <c r="C357" s="18" t="inlineStr">
        <is>
          <t>D11-I13</t>
        </is>
      </c>
      <c r="D357" s="18">
        <f>'P0-3_Scorecard'!L129</f>
        <v/>
      </c>
      <c r="E357" s="18">
        <f>'P0-3_Scorecard'!L143</f>
        <v/>
      </c>
      <c r="F357" s="18">
        <f>'P0-3_Scorecard'!M143</f>
        <v/>
      </c>
      <c r="G357" s="18">
        <f>'P0-3_Scorecard'!E143</f>
        <v/>
      </c>
      <c r="H357" s="18">
        <f>'P0-3_Scorecard'!H143</f>
        <v/>
      </c>
      <c r="I357" s="18">
        <f>IF(OR(D357="",E357=""),"INCOMPLETE",IF(AND(D357&gt;=70,E357&lt;60),"DEPENDENCY GAP",IF(AND(D357&gt;=70,G357&lt;F357),"REQUIRED MATURITY GAP","OK")))</f>
        <v/>
      </c>
      <c r="J357" s="18" t="inlineStr">
        <is>
          <t>Institutional learning review</t>
        </is>
      </c>
    </row>
    <row r="358">
      <c r="A358" s="18" t="inlineStr">
        <is>
          <t>CD21</t>
        </is>
      </c>
      <c r="B358" s="18" t="inlineStr">
        <is>
          <t>D10-I13</t>
        </is>
      </c>
      <c r="C358" s="18" t="inlineStr">
        <is>
          <t>D11-I14</t>
        </is>
      </c>
      <c r="D358" s="18">
        <f>'P0-3_Scorecard'!L129</f>
        <v/>
      </c>
      <c r="E358" s="18">
        <f>'P0-3_Scorecard'!L144</f>
        <v/>
      </c>
      <c r="F358" s="18">
        <f>'P0-3_Scorecard'!M144</f>
        <v/>
      </c>
      <c r="G358" s="18">
        <f>'P0-3_Scorecard'!E144</f>
        <v/>
      </c>
      <c r="H358" s="18">
        <f>'P0-3_Scorecard'!H144</f>
        <v/>
      </c>
      <c r="I358" s="18">
        <f>IF(OR(D358="",E358=""),"INCOMPLETE",IF(AND(D358&gt;=70,E358&lt;60),"DEPENDENCY GAP",IF(AND(D358&gt;=70,G358&lt;F358),"REQUIRED MATURITY GAP","OK")))</f>
        <v/>
      </c>
      <c r="J358" s="18" t="inlineStr">
        <is>
          <t>Institutional learning review</t>
        </is>
      </c>
    </row>
    <row r="359">
      <c r="A359" s="18" t="inlineStr">
        <is>
          <t>CD22</t>
        </is>
      </c>
      <c r="B359" s="18" t="inlineStr">
        <is>
          <t>D11-I01</t>
        </is>
      </c>
      <c r="C359" s="18" t="inlineStr">
        <is>
          <t>D01-I02</t>
        </is>
      </c>
      <c r="D359" s="18">
        <f>'P0-3_Scorecard'!L131</f>
        <v/>
      </c>
      <c r="E359" s="18">
        <f>'P0-3_Scorecard'!L3</f>
        <v/>
      </c>
      <c r="F359" s="18">
        <f>'P0-3_Scorecard'!M3</f>
        <v/>
      </c>
      <c r="G359" s="18">
        <f>'P0-3_Scorecard'!E3</f>
        <v/>
      </c>
      <c r="H359" s="18">
        <f>'P0-3_Scorecard'!H3</f>
        <v/>
      </c>
      <c r="I359" s="18">
        <f>IF(OR(D359="",E359=""),"INCOMPLETE",IF(AND(D359&gt;=70,E359&lt;60),"DEPENDENCY GAP",IF(AND(D359&gt;=70,G359&lt;F359),"REQUIRED MATURITY GAP","OK")))</f>
        <v/>
      </c>
      <c r="J359" s="18" t="inlineStr">
        <is>
          <t>Strategy learning review</t>
        </is>
      </c>
    </row>
    <row r="360">
      <c r="A360" s="18" t="inlineStr">
        <is>
          <t>CD22</t>
        </is>
      </c>
      <c r="B360" s="18" t="inlineStr">
        <is>
          <t>D11-I01</t>
        </is>
      </c>
      <c r="C360" s="18" t="inlineStr">
        <is>
          <t>D01-I03</t>
        </is>
      </c>
      <c r="D360" s="18">
        <f>'P0-3_Scorecard'!L131</f>
        <v/>
      </c>
      <c r="E360" s="18">
        <f>'P0-3_Scorecard'!L4</f>
        <v/>
      </c>
      <c r="F360" s="18">
        <f>'P0-3_Scorecard'!M4</f>
        <v/>
      </c>
      <c r="G360" s="18">
        <f>'P0-3_Scorecard'!E4</f>
        <v/>
      </c>
      <c r="H360" s="18">
        <f>'P0-3_Scorecard'!H4</f>
        <v/>
      </c>
      <c r="I360" s="18">
        <f>IF(OR(D360="",E360=""),"INCOMPLETE",IF(AND(D360&gt;=70,E360&lt;60),"DEPENDENCY GAP",IF(AND(D360&gt;=70,G360&lt;F360),"REQUIRED MATURITY GAP","OK")))</f>
        <v/>
      </c>
      <c r="J360" s="18" t="inlineStr">
        <is>
          <t>Strategy learning review</t>
        </is>
      </c>
    </row>
    <row r="361">
      <c r="A361" s="18" t="inlineStr">
        <is>
          <t>CD22</t>
        </is>
      </c>
      <c r="B361" s="18" t="inlineStr">
        <is>
          <t>D11-I01</t>
        </is>
      </c>
      <c r="C361" s="18" t="inlineStr">
        <is>
          <t>D01-I10</t>
        </is>
      </c>
      <c r="D361" s="18">
        <f>'P0-3_Scorecard'!L131</f>
        <v/>
      </c>
      <c r="E361" s="18">
        <f>'P0-3_Scorecard'!L11</f>
        <v/>
      </c>
      <c r="F361" s="18">
        <f>'P0-3_Scorecard'!M11</f>
        <v/>
      </c>
      <c r="G361" s="18">
        <f>'P0-3_Scorecard'!E11</f>
        <v/>
      </c>
      <c r="H361" s="18">
        <f>'P0-3_Scorecard'!H11</f>
        <v/>
      </c>
      <c r="I361" s="18">
        <f>IF(OR(D361="",E361=""),"INCOMPLETE",IF(AND(D361&gt;=70,E361&lt;60),"DEPENDENCY GAP",IF(AND(D361&gt;=70,G361&lt;F361),"REQUIRED MATURITY GAP","OK")))</f>
        <v/>
      </c>
      <c r="J361" s="18" t="inlineStr">
        <is>
          <t>Strategy learning review</t>
        </is>
      </c>
    </row>
    <row r="362">
      <c r="A362" s="18" t="inlineStr">
        <is>
          <t>CD22</t>
        </is>
      </c>
      <c r="B362" s="18" t="inlineStr">
        <is>
          <t>D11-I02</t>
        </is>
      </c>
      <c r="C362" s="18" t="inlineStr">
        <is>
          <t>D01-I02</t>
        </is>
      </c>
      <c r="D362" s="18">
        <f>'P0-3_Scorecard'!L132</f>
        <v/>
      </c>
      <c r="E362" s="18">
        <f>'P0-3_Scorecard'!L3</f>
        <v/>
      </c>
      <c r="F362" s="18">
        <f>'P0-3_Scorecard'!M3</f>
        <v/>
      </c>
      <c r="G362" s="18">
        <f>'P0-3_Scorecard'!E3</f>
        <v/>
      </c>
      <c r="H362" s="18">
        <f>'P0-3_Scorecard'!H3</f>
        <v/>
      </c>
      <c r="I362" s="18">
        <f>IF(OR(D362="",E362=""),"INCOMPLETE",IF(AND(D362&gt;=70,E362&lt;60),"DEPENDENCY GAP",IF(AND(D362&gt;=70,G362&lt;F362),"REQUIRED MATURITY GAP","OK")))</f>
        <v/>
      </c>
      <c r="J362" s="18" t="inlineStr">
        <is>
          <t>Strategy learning review</t>
        </is>
      </c>
    </row>
    <row r="363">
      <c r="A363" s="18" t="inlineStr">
        <is>
          <t>CD22</t>
        </is>
      </c>
      <c r="B363" s="18" t="inlineStr">
        <is>
          <t>D11-I02</t>
        </is>
      </c>
      <c r="C363" s="18" t="inlineStr">
        <is>
          <t>D01-I03</t>
        </is>
      </c>
      <c r="D363" s="18">
        <f>'P0-3_Scorecard'!L132</f>
        <v/>
      </c>
      <c r="E363" s="18">
        <f>'P0-3_Scorecard'!L4</f>
        <v/>
      </c>
      <c r="F363" s="18">
        <f>'P0-3_Scorecard'!M4</f>
        <v/>
      </c>
      <c r="G363" s="18">
        <f>'P0-3_Scorecard'!E4</f>
        <v/>
      </c>
      <c r="H363" s="18">
        <f>'P0-3_Scorecard'!H4</f>
        <v/>
      </c>
      <c r="I363" s="18">
        <f>IF(OR(D363="",E363=""),"INCOMPLETE",IF(AND(D363&gt;=70,E363&lt;60),"DEPENDENCY GAP",IF(AND(D363&gt;=70,G363&lt;F363),"REQUIRED MATURITY GAP","OK")))</f>
        <v/>
      </c>
      <c r="J363" s="18" t="inlineStr">
        <is>
          <t>Strategy learning review</t>
        </is>
      </c>
    </row>
    <row r="364">
      <c r="A364" s="18" t="inlineStr">
        <is>
          <t>CD22</t>
        </is>
      </c>
      <c r="B364" s="18" t="inlineStr">
        <is>
          <t>D11-I02</t>
        </is>
      </c>
      <c r="C364" s="18" t="inlineStr">
        <is>
          <t>D01-I10</t>
        </is>
      </c>
      <c r="D364" s="18">
        <f>'P0-3_Scorecard'!L132</f>
        <v/>
      </c>
      <c r="E364" s="18">
        <f>'P0-3_Scorecard'!L11</f>
        <v/>
      </c>
      <c r="F364" s="18">
        <f>'P0-3_Scorecard'!M11</f>
        <v/>
      </c>
      <c r="G364" s="18">
        <f>'P0-3_Scorecard'!E11</f>
        <v/>
      </c>
      <c r="H364" s="18">
        <f>'P0-3_Scorecard'!H11</f>
        <v/>
      </c>
      <c r="I364" s="18">
        <f>IF(OR(D364="",E364=""),"INCOMPLETE",IF(AND(D364&gt;=70,E364&lt;60),"DEPENDENCY GAP",IF(AND(D364&gt;=70,G364&lt;F364),"REQUIRED MATURITY GAP","OK")))</f>
        <v/>
      </c>
      <c r="J364" s="18" t="inlineStr">
        <is>
          <t>Strategy learning review</t>
        </is>
      </c>
    </row>
    <row r="365">
      <c r="A365" s="18" t="inlineStr">
        <is>
          <t>CD22</t>
        </is>
      </c>
      <c r="B365" s="18" t="inlineStr">
        <is>
          <t>D11-I06</t>
        </is>
      </c>
      <c r="C365" s="18" t="inlineStr">
        <is>
          <t>D01-I02</t>
        </is>
      </c>
      <c r="D365" s="18">
        <f>'P0-3_Scorecard'!L136</f>
        <v/>
      </c>
      <c r="E365" s="18">
        <f>'P0-3_Scorecard'!L3</f>
        <v/>
      </c>
      <c r="F365" s="18">
        <f>'P0-3_Scorecard'!M3</f>
        <v/>
      </c>
      <c r="G365" s="18">
        <f>'P0-3_Scorecard'!E3</f>
        <v/>
      </c>
      <c r="H365" s="18">
        <f>'P0-3_Scorecard'!H3</f>
        <v/>
      </c>
      <c r="I365" s="18">
        <f>IF(OR(D365="",E365=""),"INCOMPLETE",IF(AND(D365&gt;=70,E365&lt;60),"DEPENDENCY GAP",IF(AND(D365&gt;=70,G365&lt;F365),"REQUIRED MATURITY GAP","OK")))</f>
        <v/>
      </c>
      <c r="J365" s="18" t="inlineStr">
        <is>
          <t>Strategy learning review</t>
        </is>
      </c>
    </row>
    <row r="366">
      <c r="A366" s="18" t="inlineStr">
        <is>
          <t>CD22</t>
        </is>
      </c>
      <c r="B366" s="18" t="inlineStr">
        <is>
          <t>D11-I06</t>
        </is>
      </c>
      <c r="C366" s="18" t="inlineStr">
        <is>
          <t>D01-I03</t>
        </is>
      </c>
      <c r="D366" s="18">
        <f>'P0-3_Scorecard'!L136</f>
        <v/>
      </c>
      <c r="E366" s="18">
        <f>'P0-3_Scorecard'!L4</f>
        <v/>
      </c>
      <c r="F366" s="18">
        <f>'P0-3_Scorecard'!M4</f>
        <v/>
      </c>
      <c r="G366" s="18">
        <f>'P0-3_Scorecard'!E4</f>
        <v/>
      </c>
      <c r="H366" s="18">
        <f>'P0-3_Scorecard'!H4</f>
        <v/>
      </c>
      <c r="I366" s="18">
        <f>IF(OR(D366="",E366=""),"INCOMPLETE",IF(AND(D366&gt;=70,E366&lt;60),"DEPENDENCY GAP",IF(AND(D366&gt;=70,G366&lt;F366),"REQUIRED MATURITY GAP","OK")))</f>
        <v/>
      </c>
      <c r="J366" s="18" t="inlineStr">
        <is>
          <t>Strategy learning review</t>
        </is>
      </c>
    </row>
    <row r="367">
      <c r="A367" s="18" t="inlineStr">
        <is>
          <t>CD22</t>
        </is>
      </c>
      <c r="B367" s="18" t="inlineStr">
        <is>
          <t>D11-I06</t>
        </is>
      </c>
      <c r="C367" s="18" t="inlineStr">
        <is>
          <t>D01-I10</t>
        </is>
      </c>
      <c r="D367" s="18">
        <f>'P0-3_Scorecard'!L136</f>
        <v/>
      </c>
      <c r="E367" s="18">
        <f>'P0-3_Scorecard'!L11</f>
        <v/>
      </c>
      <c r="F367" s="18">
        <f>'P0-3_Scorecard'!M11</f>
        <v/>
      </c>
      <c r="G367" s="18">
        <f>'P0-3_Scorecard'!E11</f>
        <v/>
      </c>
      <c r="H367" s="18">
        <f>'P0-3_Scorecard'!H11</f>
        <v/>
      </c>
      <c r="I367" s="18">
        <f>IF(OR(D367="",E367=""),"INCOMPLETE",IF(AND(D367&gt;=70,E367&lt;60),"DEPENDENCY GAP",IF(AND(D367&gt;=70,G367&lt;F367),"REQUIRED MATURITY GAP","OK")))</f>
        <v/>
      </c>
      <c r="J367" s="18" t="inlineStr">
        <is>
          <t>Strategy learning review</t>
        </is>
      </c>
    </row>
    <row r="368">
      <c r="A368" s="18" t="inlineStr">
        <is>
          <t>CD22</t>
        </is>
      </c>
      <c r="B368" s="18" t="inlineStr">
        <is>
          <t>D11-I13</t>
        </is>
      </c>
      <c r="C368" s="18" t="inlineStr">
        <is>
          <t>D01-I02</t>
        </is>
      </c>
      <c r="D368" s="18">
        <f>'P0-3_Scorecard'!L143</f>
        <v/>
      </c>
      <c r="E368" s="18">
        <f>'P0-3_Scorecard'!L3</f>
        <v/>
      </c>
      <c r="F368" s="18">
        <f>'P0-3_Scorecard'!M3</f>
        <v/>
      </c>
      <c r="G368" s="18">
        <f>'P0-3_Scorecard'!E3</f>
        <v/>
      </c>
      <c r="H368" s="18">
        <f>'P0-3_Scorecard'!H3</f>
        <v/>
      </c>
      <c r="I368" s="18">
        <f>IF(OR(D368="",E368=""),"INCOMPLETE",IF(AND(D368&gt;=70,E368&lt;60),"DEPENDENCY GAP",IF(AND(D368&gt;=70,G368&lt;F368),"REQUIRED MATURITY GAP","OK")))</f>
        <v/>
      </c>
      <c r="J368" s="18" t="inlineStr">
        <is>
          <t>Strategy learning review</t>
        </is>
      </c>
    </row>
    <row r="369">
      <c r="A369" s="18" t="inlineStr">
        <is>
          <t>CD22</t>
        </is>
      </c>
      <c r="B369" s="18" t="inlineStr">
        <is>
          <t>D11-I13</t>
        </is>
      </c>
      <c r="C369" s="18" t="inlineStr">
        <is>
          <t>D01-I03</t>
        </is>
      </c>
      <c r="D369" s="18">
        <f>'P0-3_Scorecard'!L143</f>
        <v/>
      </c>
      <c r="E369" s="18">
        <f>'P0-3_Scorecard'!L4</f>
        <v/>
      </c>
      <c r="F369" s="18">
        <f>'P0-3_Scorecard'!M4</f>
        <v/>
      </c>
      <c r="G369" s="18">
        <f>'P0-3_Scorecard'!E4</f>
        <v/>
      </c>
      <c r="H369" s="18">
        <f>'P0-3_Scorecard'!H4</f>
        <v/>
      </c>
      <c r="I369" s="18">
        <f>IF(OR(D369="",E369=""),"INCOMPLETE",IF(AND(D369&gt;=70,E369&lt;60),"DEPENDENCY GAP",IF(AND(D369&gt;=70,G369&lt;F369),"REQUIRED MATURITY GAP","OK")))</f>
        <v/>
      </c>
      <c r="J369" s="18" t="inlineStr">
        <is>
          <t>Strategy learning review</t>
        </is>
      </c>
    </row>
    <row r="370">
      <c r="A370" s="18" t="inlineStr">
        <is>
          <t>CD22</t>
        </is>
      </c>
      <c r="B370" s="18" t="inlineStr">
        <is>
          <t>D11-I13</t>
        </is>
      </c>
      <c r="C370" s="18" t="inlineStr">
        <is>
          <t>D01-I10</t>
        </is>
      </c>
      <c r="D370" s="18">
        <f>'P0-3_Scorecard'!L143</f>
        <v/>
      </c>
      <c r="E370" s="18">
        <f>'P0-3_Scorecard'!L11</f>
        <v/>
      </c>
      <c r="F370" s="18">
        <f>'P0-3_Scorecard'!M11</f>
        <v/>
      </c>
      <c r="G370" s="18">
        <f>'P0-3_Scorecard'!E11</f>
        <v/>
      </c>
      <c r="H370" s="18">
        <f>'P0-3_Scorecard'!H11</f>
        <v/>
      </c>
      <c r="I370" s="18">
        <f>IF(OR(D370="",E370=""),"INCOMPLETE",IF(AND(D370&gt;=70,E370&lt;60),"DEPENDENCY GAP",IF(AND(D370&gt;=70,G370&lt;F370),"REQUIRED MATURITY GAP","OK")))</f>
        <v/>
      </c>
      <c r="J370" s="18" t="inlineStr">
        <is>
          <t>Strategy learning review</t>
        </is>
      </c>
    </row>
    <row r="371">
      <c r="A371" s="18" t="inlineStr">
        <is>
          <t>CD22</t>
        </is>
      </c>
      <c r="B371" s="18" t="inlineStr">
        <is>
          <t>D11-I14</t>
        </is>
      </c>
      <c r="C371" s="18" t="inlineStr">
        <is>
          <t>D01-I02</t>
        </is>
      </c>
      <c r="D371" s="18">
        <f>'P0-3_Scorecard'!L144</f>
        <v/>
      </c>
      <c r="E371" s="18">
        <f>'P0-3_Scorecard'!L3</f>
        <v/>
      </c>
      <c r="F371" s="18">
        <f>'P0-3_Scorecard'!M3</f>
        <v/>
      </c>
      <c r="G371" s="18">
        <f>'P0-3_Scorecard'!E3</f>
        <v/>
      </c>
      <c r="H371" s="18">
        <f>'P0-3_Scorecard'!H3</f>
        <v/>
      </c>
      <c r="I371" s="18">
        <f>IF(OR(D371="",E371=""),"INCOMPLETE",IF(AND(D371&gt;=70,E371&lt;60),"DEPENDENCY GAP",IF(AND(D371&gt;=70,G371&lt;F371),"REQUIRED MATURITY GAP","OK")))</f>
        <v/>
      </c>
      <c r="J371" s="18" t="inlineStr">
        <is>
          <t>Strategy learning review</t>
        </is>
      </c>
    </row>
    <row r="372">
      <c r="A372" s="18" t="inlineStr">
        <is>
          <t>CD22</t>
        </is>
      </c>
      <c r="B372" s="18" t="inlineStr">
        <is>
          <t>D11-I14</t>
        </is>
      </c>
      <c r="C372" s="18" t="inlineStr">
        <is>
          <t>D01-I03</t>
        </is>
      </c>
      <c r="D372" s="18">
        <f>'P0-3_Scorecard'!L144</f>
        <v/>
      </c>
      <c r="E372" s="18">
        <f>'P0-3_Scorecard'!L4</f>
        <v/>
      </c>
      <c r="F372" s="18">
        <f>'P0-3_Scorecard'!M4</f>
        <v/>
      </c>
      <c r="G372" s="18">
        <f>'P0-3_Scorecard'!E4</f>
        <v/>
      </c>
      <c r="H372" s="18">
        <f>'P0-3_Scorecard'!H4</f>
        <v/>
      </c>
      <c r="I372" s="18">
        <f>IF(OR(D372="",E372=""),"INCOMPLETE",IF(AND(D372&gt;=70,E372&lt;60),"DEPENDENCY GAP",IF(AND(D372&gt;=70,G372&lt;F372),"REQUIRED MATURITY GAP","OK")))</f>
        <v/>
      </c>
      <c r="J372" s="18" t="inlineStr">
        <is>
          <t>Strategy learning review</t>
        </is>
      </c>
    </row>
    <row r="373">
      <c r="A373" s="18" t="inlineStr">
        <is>
          <t>CD22</t>
        </is>
      </c>
      <c r="B373" s="18" t="inlineStr">
        <is>
          <t>D11-I14</t>
        </is>
      </c>
      <c r="C373" s="18" t="inlineStr">
        <is>
          <t>D01-I10</t>
        </is>
      </c>
      <c r="D373" s="18">
        <f>'P0-3_Scorecard'!L144</f>
        <v/>
      </c>
      <c r="E373" s="18">
        <f>'P0-3_Scorecard'!L11</f>
        <v/>
      </c>
      <c r="F373" s="18">
        <f>'P0-3_Scorecard'!M11</f>
        <v/>
      </c>
      <c r="G373" s="18">
        <f>'P0-3_Scorecard'!E11</f>
        <v/>
      </c>
      <c r="H373" s="18">
        <f>'P0-3_Scorecard'!H11</f>
        <v/>
      </c>
      <c r="I373" s="18">
        <f>IF(OR(D373="",E373=""),"INCOMPLETE",IF(AND(D373&gt;=70,E373&lt;60),"DEPENDENCY GAP",IF(AND(D373&gt;=70,G373&lt;F373),"REQUIRED MATURITY GAP","OK")))</f>
        <v/>
      </c>
      <c r="J373" s="18" t="inlineStr">
        <is>
          <t>Strategy learning review</t>
        </is>
      </c>
    </row>
    <row r="374">
      <c r="A374" s="18" t="inlineStr">
        <is>
          <t>CD23</t>
        </is>
      </c>
      <c r="B374" s="18" t="inlineStr">
        <is>
          <t>D11-I02</t>
        </is>
      </c>
      <c r="C374" s="18" t="inlineStr">
        <is>
          <t>D04-I03</t>
        </is>
      </c>
      <c r="D374" s="18">
        <f>'P0-3_Scorecard'!L132</f>
        <v/>
      </c>
      <c r="E374" s="18">
        <f>'P0-3_Scorecard'!L45</f>
        <v/>
      </c>
      <c r="F374" s="18">
        <f>'P0-3_Scorecard'!M45</f>
        <v/>
      </c>
      <c r="G374" s="18">
        <f>'P0-3_Scorecard'!E45</f>
        <v/>
      </c>
      <c r="H374" s="18">
        <f>'P0-3_Scorecard'!H45</f>
        <v/>
      </c>
      <c r="I374" s="18">
        <f>IF(OR(D374="",E374=""),"INCOMPLETE",IF(AND(D374&gt;=70,E374&lt;60),"DEPENDENCY GAP",IF(AND(D374&gt;=70,G374&lt;F374),"REQUIRED MATURITY GAP","OK")))</f>
        <v/>
      </c>
      <c r="J374" s="18" t="inlineStr">
        <is>
          <t>Programme adaptation review</t>
        </is>
      </c>
    </row>
    <row r="375">
      <c r="A375" s="18" t="inlineStr">
        <is>
          <t>CD23</t>
        </is>
      </c>
      <c r="B375" s="18" t="inlineStr">
        <is>
          <t>D11-I02</t>
        </is>
      </c>
      <c r="C375" s="18" t="inlineStr">
        <is>
          <t>D04-I05</t>
        </is>
      </c>
      <c r="D375" s="18">
        <f>'P0-3_Scorecard'!L132</f>
        <v/>
      </c>
      <c r="E375" s="18">
        <f>'P0-3_Scorecard'!L47</f>
        <v/>
      </c>
      <c r="F375" s="18">
        <f>'P0-3_Scorecard'!M47</f>
        <v/>
      </c>
      <c r="G375" s="18">
        <f>'P0-3_Scorecard'!E47</f>
        <v/>
      </c>
      <c r="H375" s="18">
        <f>'P0-3_Scorecard'!H47</f>
        <v/>
      </c>
      <c r="I375" s="18">
        <f>IF(OR(D375="",E375=""),"INCOMPLETE",IF(AND(D375&gt;=70,E375&lt;60),"DEPENDENCY GAP",IF(AND(D375&gt;=70,G375&lt;F375),"REQUIRED MATURITY GAP","OK")))</f>
        <v/>
      </c>
      <c r="J375" s="18" t="inlineStr">
        <is>
          <t>Programme adaptation review</t>
        </is>
      </c>
    </row>
    <row r="376">
      <c r="A376" s="18" t="inlineStr">
        <is>
          <t>CD23</t>
        </is>
      </c>
      <c r="B376" s="18" t="inlineStr">
        <is>
          <t>D11-I02</t>
        </is>
      </c>
      <c r="C376" s="18" t="inlineStr">
        <is>
          <t>D04-I08</t>
        </is>
      </c>
      <c r="D376" s="18">
        <f>'P0-3_Scorecard'!L132</f>
        <v/>
      </c>
      <c r="E376" s="18">
        <f>'P0-3_Scorecard'!L50</f>
        <v/>
      </c>
      <c r="F376" s="18">
        <f>'P0-3_Scorecard'!M50</f>
        <v/>
      </c>
      <c r="G376" s="18">
        <f>'P0-3_Scorecard'!E50</f>
        <v/>
      </c>
      <c r="H376" s="18">
        <f>'P0-3_Scorecard'!H50</f>
        <v/>
      </c>
      <c r="I376" s="18">
        <f>IF(OR(D376="",E376=""),"INCOMPLETE",IF(AND(D376&gt;=70,E376&lt;60),"DEPENDENCY GAP",IF(AND(D376&gt;=70,G376&lt;F376),"REQUIRED MATURITY GAP","OK")))</f>
        <v/>
      </c>
      <c r="J376" s="18" t="inlineStr">
        <is>
          <t>Programme adaptation review</t>
        </is>
      </c>
    </row>
    <row r="377">
      <c r="A377" s="18" t="inlineStr">
        <is>
          <t>CD23</t>
        </is>
      </c>
      <c r="B377" s="18" t="inlineStr">
        <is>
          <t>D11-I02</t>
        </is>
      </c>
      <c r="C377" s="18" t="inlineStr">
        <is>
          <t>D04-I12</t>
        </is>
      </c>
      <c r="D377" s="18">
        <f>'P0-3_Scorecard'!L132</f>
        <v/>
      </c>
      <c r="E377" s="18">
        <f>'P0-3_Scorecard'!L54</f>
        <v/>
      </c>
      <c r="F377" s="18">
        <f>'P0-3_Scorecard'!M54</f>
        <v/>
      </c>
      <c r="G377" s="18">
        <f>'P0-3_Scorecard'!E54</f>
        <v/>
      </c>
      <c r="H377" s="18">
        <f>'P0-3_Scorecard'!H54</f>
        <v/>
      </c>
      <c r="I377" s="18">
        <f>IF(OR(D377="",E377=""),"INCOMPLETE",IF(AND(D377&gt;=70,E377&lt;60),"DEPENDENCY GAP",IF(AND(D377&gt;=70,G377&lt;F377),"REQUIRED MATURITY GAP","OK")))</f>
        <v/>
      </c>
      <c r="J377" s="18" t="inlineStr">
        <is>
          <t>Programme adaptation review</t>
        </is>
      </c>
    </row>
    <row r="378">
      <c r="A378" s="18" t="inlineStr">
        <is>
          <t>CD23</t>
        </is>
      </c>
      <c r="B378" s="18" t="inlineStr">
        <is>
          <t>D11-I04</t>
        </is>
      </c>
      <c r="C378" s="18" t="inlineStr">
        <is>
          <t>D04-I03</t>
        </is>
      </c>
      <c r="D378" s="18">
        <f>'P0-3_Scorecard'!L134</f>
        <v/>
      </c>
      <c r="E378" s="18">
        <f>'P0-3_Scorecard'!L45</f>
        <v/>
      </c>
      <c r="F378" s="18">
        <f>'P0-3_Scorecard'!M45</f>
        <v/>
      </c>
      <c r="G378" s="18">
        <f>'P0-3_Scorecard'!E45</f>
        <v/>
      </c>
      <c r="H378" s="18">
        <f>'P0-3_Scorecard'!H45</f>
        <v/>
      </c>
      <c r="I378" s="18">
        <f>IF(OR(D378="",E378=""),"INCOMPLETE",IF(AND(D378&gt;=70,E378&lt;60),"DEPENDENCY GAP",IF(AND(D378&gt;=70,G378&lt;F378),"REQUIRED MATURITY GAP","OK")))</f>
        <v/>
      </c>
      <c r="J378" s="18" t="inlineStr">
        <is>
          <t>Programme adaptation review</t>
        </is>
      </c>
    </row>
    <row r="379">
      <c r="A379" s="18" t="inlineStr">
        <is>
          <t>CD23</t>
        </is>
      </c>
      <c r="B379" s="18" t="inlineStr">
        <is>
          <t>D11-I04</t>
        </is>
      </c>
      <c r="C379" s="18" t="inlineStr">
        <is>
          <t>D04-I05</t>
        </is>
      </c>
      <c r="D379" s="18">
        <f>'P0-3_Scorecard'!L134</f>
        <v/>
      </c>
      <c r="E379" s="18">
        <f>'P0-3_Scorecard'!L47</f>
        <v/>
      </c>
      <c r="F379" s="18">
        <f>'P0-3_Scorecard'!M47</f>
        <v/>
      </c>
      <c r="G379" s="18">
        <f>'P0-3_Scorecard'!E47</f>
        <v/>
      </c>
      <c r="H379" s="18">
        <f>'P0-3_Scorecard'!H47</f>
        <v/>
      </c>
      <c r="I379" s="18">
        <f>IF(OR(D379="",E379=""),"INCOMPLETE",IF(AND(D379&gt;=70,E379&lt;60),"DEPENDENCY GAP",IF(AND(D379&gt;=70,G379&lt;F379),"REQUIRED MATURITY GAP","OK")))</f>
        <v/>
      </c>
      <c r="J379" s="18" t="inlineStr">
        <is>
          <t>Programme adaptation review</t>
        </is>
      </c>
    </row>
    <row r="380">
      <c r="A380" s="18" t="inlineStr">
        <is>
          <t>CD23</t>
        </is>
      </c>
      <c r="B380" s="18" t="inlineStr">
        <is>
          <t>D11-I04</t>
        </is>
      </c>
      <c r="C380" s="18" t="inlineStr">
        <is>
          <t>D04-I08</t>
        </is>
      </c>
      <c r="D380" s="18">
        <f>'P0-3_Scorecard'!L134</f>
        <v/>
      </c>
      <c r="E380" s="18">
        <f>'P0-3_Scorecard'!L50</f>
        <v/>
      </c>
      <c r="F380" s="18">
        <f>'P0-3_Scorecard'!M50</f>
        <v/>
      </c>
      <c r="G380" s="18">
        <f>'P0-3_Scorecard'!E50</f>
        <v/>
      </c>
      <c r="H380" s="18">
        <f>'P0-3_Scorecard'!H50</f>
        <v/>
      </c>
      <c r="I380" s="18">
        <f>IF(OR(D380="",E380=""),"INCOMPLETE",IF(AND(D380&gt;=70,E380&lt;60),"DEPENDENCY GAP",IF(AND(D380&gt;=70,G380&lt;F380),"REQUIRED MATURITY GAP","OK")))</f>
        <v/>
      </c>
      <c r="J380" s="18" t="inlineStr">
        <is>
          <t>Programme adaptation review</t>
        </is>
      </c>
    </row>
    <row r="381">
      <c r="A381" s="18" t="inlineStr">
        <is>
          <t>CD23</t>
        </is>
      </c>
      <c r="B381" s="18" t="inlineStr">
        <is>
          <t>D11-I04</t>
        </is>
      </c>
      <c r="C381" s="18" t="inlineStr">
        <is>
          <t>D04-I12</t>
        </is>
      </c>
      <c r="D381" s="18">
        <f>'P0-3_Scorecard'!L134</f>
        <v/>
      </c>
      <c r="E381" s="18">
        <f>'P0-3_Scorecard'!L54</f>
        <v/>
      </c>
      <c r="F381" s="18">
        <f>'P0-3_Scorecard'!M54</f>
        <v/>
      </c>
      <c r="G381" s="18">
        <f>'P0-3_Scorecard'!E54</f>
        <v/>
      </c>
      <c r="H381" s="18">
        <f>'P0-3_Scorecard'!H54</f>
        <v/>
      </c>
      <c r="I381" s="18">
        <f>IF(OR(D381="",E381=""),"INCOMPLETE",IF(AND(D381&gt;=70,E381&lt;60),"DEPENDENCY GAP",IF(AND(D381&gt;=70,G381&lt;F381),"REQUIRED MATURITY GAP","OK")))</f>
        <v/>
      </c>
      <c r="J381" s="18" t="inlineStr">
        <is>
          <t>Programme adaptation review</t>
        </is>
      </c>
    </row>
    <row r="382">
      <c r="A382" s="18" t="inlineStr">
        <is>
          <t>CD23</t>
        </is>
      </c>
      <c r="B382" s="18" t="inlineStr">
        <is>
          <t>D11-I07</t>
        </is>
      </c>
      <c r="C382" s="18" t="inlineStr">
        <is>
          <t>D04-I03</t>
        </is>
      </c>
      <c r="D382" s="18">
        <f>'P0-3_Scorecard'!L137</f>
        <v/>
      </c>
      <c r="E382" s="18">
        <f>'P0-3_Scorecard'!L45</f>
        <v/>
      </c>
      <c r="F382" s="18">
        <f>'P0-3_Scorecard'!M45</f>
        <v/>
      </c>
      <c r="G382" s="18">
        <f>'P0-3_Scorecard'!E45</f>
        <v/>
      </c>
      <c r="H382" s="18">
        <f>'P0-3_Scorecard'!H45</f>
        <v/>
      </c>
      <c r="I382" s="18">
        <f>IF(OR(D382="",E382=""),"INCOMPLETE",IF(AND(D382&gt;=70,E382&lt;60),"DEPENDENCY GAP",IF(AND(D382&gt;=70,G382&lt;F382),"REQUIRED MATURITY GAP","OK")))</f>
        <v/>
      </c>
      <c r="J382" s="18" t="inlineStr">
        <is>
          <t>Programme adaptation review</t>
        </is>
      </c>
    </row>
    <row r="383">
      <c r="A383" s="18" t="inlineStr">
        <is>
          <t>CD23</t>
        </is>
      </c>
      <c r="B383" s="18" t="inlineStr">
        <is>
          <t>D11-I07</t>
        </is>
      </c>
      <c r="C383" s="18" t="inlineStr">
        <is>
          <t>D04-I05</t>
        </is>
      </c>
      <c r="D383" s="18">
        <f>'P0-3_Scorecard'!L137</f>
        <v/>
      </c>
      <c r="E383" s="18">
        <f>'P0-3_Scorecard'!L47</f>
        <v/>
      </c>
      <c r="F383" s="18">
        <f>'P0-3_Scorecard'!M47</f>
        <v/>
      </c>
      <c r="G383" s="18">
        <f>'P0-3_Scorecard'!E47</f>
        <v/>
      </c>
      <c r="H383" s="18">
        <f>'P0-3_Scorecard'!H47</f>
        <v/>
      </c>
      <c r="I383" s="18">
        <f>IF(OR(D383="",E383=""),"INCOMPLETE",IF(AND(D383&gt;=70,E383&lt;60),"DEPENDENCY GAP",IF(AND(D383&gt;=70,G383&lt;F383),"REQUIRED MATURITY GAP","OK")))</f>
        <v/>
      </c>
      <c r="J383" s="18" t="inlineStr">
        <is>
          <t>Programme adaptation review</t>
        </is>
      </c>
    </row>
    <row r="384">
      <c r="A384" s="18" t="inlineStr">
        <is>
          <t>CD23</t>
        </is>
      </c>
      <c r="B384" s="18" t="inlineStr">
        <is>
          <t>D11-I07</t>
        </is>
      </c>
      <c r="C384" s="18" t="inlineStr">
        <is>
          <t>D04-I08</t>
        </is>
      </c>
      <c r="D384" s="18">
        <f>'P0-3_Scorecard'!L137</f>
        <v/>
      </c>
      <c r="E384" s="18">
        <f>'P0-3_Scorecard'!L50</f>
        <v/>
      </c>
      <c r="F384" s="18">
        <f>'P0-3_Scorecard'!M50</f>
        <v/>
      </c>
      <c r="G384" s="18">
        <f>'P0-3_Scorecard'!E50</f>
        <v/>
      </c>
      <c r="H384" s="18">
        <f>'P0-3_Scorecard'!H50</f>
        <v/>
      </c>
      <c r="I384" s="18">
        <f>IF(OR(D384="",E384=""),"INCOMPLETE",IF(AND(D384&gt;=70,E384&lt;60),"DEPENDENCY GAP",IF(AND(D384&gt;=70,G384&lt;F384),"REQUIRED MATURITY GAP","OK")))</f>
        <v/>
      </c>
      <c r="J384" s="18" t="inlineStr">
        <is>
          <t>Programme adaptation review</t>
        </is>
      </c>
    </row>
    <row r="385">
      <c r="A385" s="18" t="inlineStr">
        <is>
          <t>CD23</t>
        </is>
      </c>
      <c r="B385" s="18" t="inlineStr">
        <is>
          <t>D11-I07</t>
        </is>
      </c>
      <c r="C385" s="18" t="inlineStr">
        <is>
          <t>D04-I12</t>
        </is>
      </c>
      <c r="D385" s="18">
        <f>'P0-3_Scorecard'!L137</f>
        <v/>
      </c>
      <c r="E385" s="18">
        <f>'P0-3_Scorecard'!L54</f>
        <v/>
      </c>
      <c r="F385" s="18">
        <f>'P0-3_Scorecard'!M54</f>
        <v/>
      </c>
      <c r="G385" s="18">
        <f>'P0-3_Scorecard'!E54</f>
        <v/>
      </c>
      <c r="H385" s="18">
        <f>'P0-3_Scorecard'!H54</f>
        <v/>
      </c>
      <c r="I385" s="18">
        <f>IF(OR(D385="",E385=""),"INCOMPLETE",IF(AND(D385&gt;=70,E385&lt;60),"DEPENDENCY GAP",IF(AND(D385&gt;=70,G385&lt;F385),"REQUIRED MATURITY GAP","OK")))</f>
        <v/>
      </c>
      <c r="J385" s="18" t="inlineStr">
        <is>
          <t>Programme adaptation review</t>
        </is>
      </c>
    </row>
    <row r="386">
      <c r="A386" s="18" t="inlineStr">
        <is>
          <t>CD23</t>
        </is>
      </c>
      <c r="B386" s="18" t="inlineStr">
        <is>
          <t>D11-I09</t>
        </is>
      </c>
      <c r="C386" s="18" t="inlineStr">
        <is>
          <t>D04-I03</t>
        </is>
      </c>
      <c r="D386" s="18">
        <f>'P0-3_Scorecard'!L139</f>
        <v/>
      </c>
      <c r="E386" s="18">
        <f>'P0-3_Scorecard'!L45</f>
        <v/>
      </c>
      <c r="F386" s="18">
        <f>'P0-3_Scorecard'!M45</f>
        <v/>
      </c>
      <c r="G386" s="18">
        <f>'P0-3_Scorecard'!E45</f>
        <v/>
      </c>
      <c r="H386" s="18">
        <f>'P0-3_Scorecard'!H45</f>
        <v/>
      </c>
      <c r="I386" s="18">
        <f>IF(OR(D386="",E386=""),"INCOMPLETE",IF(AND(D386&gt;=70,E386&lt;60),"DEPENDENCY GAP",IF(AND(D386&gt;=70,G386&lt;F386),"REQUIRED MATURITY GAP","OK")))</f>
        <v/>
      </c>
      <c r="J386" s="18" t="inlineStr">
        <is>
          <t>Programme adaptation review</t>
        </is>
      </c>
    </row>
    <row r="387">
      <c r="A387" s="18" t="inlineStr">
        <is>
          <t>CD23</t>
        </is>
      </c>
      <c r="B387" s="18" t="inlineStr">
        <is>
          <t>D11-I09</t>
        </is>
      </c>
      <c r="C387" s="18" t="inlineStr">
        <is>
          <t>D04-I05</t>
        </is>
      </c>
      <c r="D387" s="18">
        <f>'P0-3_Scorecard'!L139</f>
        <v/>
      </c>
      <c r="E387" s="18">
        <f>'P0-3_Scorecard'!L47</f>
        <v/>
      </c>
      <c r="F387" s="18">
        <f>'P0-3_Scorecard'!M47</f>
        <v/>
      </c>
      <c r="G387" s="18">
        <f>'P0-3_Scorecard'!E47</f>
        <v/>
      </c>
      <c r="H387" s="18">
        <f>'P0-3_Scorecard'!H47</f>
        <v/>
      </c>
      <c r="I387" s="18">
        <f>IF(OR(D387="",E387=""),"INCOMPLETE",IF(AND(D387&gt;=70,E387&lt;60),"DEPENDENCY GAP",IF(AND(D387&gt;=70,G387&lt;F387),"REQUIRED MATURITY GAP","OK")))</f>
        <v/>
      </c>
      <c r="J387" s="18" t="inlineStr">
        <is>
          <t>Programme adaptation review</t>
        </is>
      </c>
    </row>
    <row r="388">
      <c r="A388" s="18" t="inlineStr">
        <is>
          <t>CD23</t>
        </is>
      </c>
      <c r="B388" s="18" t="inlineStr">
        <is>
          <t>D11-I09</t>
        </is>
      </c>
      <c r="C388" s="18" t="inlineStr">
        <is>
          <t>D04-I08</t>
        </is>
      </c>
      <c r="D388" s="18">
        <f>'P0-3_Scorecard'!L139</f>
        <v/>
      </c>
      <c r="E388" s="18">
        <f>'P0-3_Scorecard'!L50</f>
        <v/>
      </c>
      <c r="F388" s="18">
        <f>'P0-3_Scorecard'!M50</f>
        <v/>
      </c>
      <c r="G388" s="18">
        <f>'P0-3_Scorecard'!E50</f>
        <v/>
      </c>
      <c r="H388" s="18">
        <f>'P0-3_Scorecard'!H50</f>
        <v/>
      </c>
      <c r="I388" s="18">
        <f>IF(OR(D388="",E388=""),"INCOMPLETE",IF(AND(D388&gt;=70,E388&lt;60),"DEPENDENCY GAP",IF(AND(D388&gt;=70,G388&lt;F388),"REQUIRED MATURITY GAP","OK")))</f>
        <v/>
      </c>
      <c r="J388" s="18" t="inlineStr">
        <is>
          <t>Programme adaptation review</t>
        </is>
      </c>
    </row>
    <row r="389">
      <c r="A389" s="18" t="inlineStr">
        <is>
          <t>CD23</t>
        </is>
      </c>
      <c r="B389" s="18" t="inlineStr">
        <is>
          <t>D11-I09</t>
        </is>
      </c>
      <c r="C389" s="18" t="inlineStr">
        <is>
          <t>D04-I12</t>
        </is>
      </c>
      <c r="D389" s="18">
        <f>'P0-3_Scorecard'!L139</f>
        <v/>
      </c>
      <c r="E389" s="18">
        <f>'P0-3_Scorecard'!L54</f>
        <v/>
      </c>
      <c r="F389" s="18">
        <f>'P0-3_Scorecard'!M54</f>
        <v/>
      </c>
      <c r="G389" s="18">
        <f>'P0-3_Scorecard'!E54</f>
        <v/>
      </c>
      <c r="H389" s="18">
        <f>'P0-3_Scorecard'!H54</f>
        <v/>
      </c>
      <c r="I389" s="18">
        <f>IF(OR(D389="",E389=""),"INCOMPLETE",IF(AND(D389&gt;=70,E389&lt;60),"DEPENDENCY GAP",IF(AND(D389&gt;=70,G389&lt;F389),"REQUIRED MATURITY GAP","OK")))</f>
        <v/>
      </c>
      <c r="J389" s="18" t="inlineStr">
        <is>
          <t>Programme adaptation review</t>
        </is>
      </c>
    </row>
    <row r="390">
      <c r="A390" s="18" t="inlineStr">
        <is>
          <t>CD23</t>
        </is>
      </c>
      <c r="B390" s="18" t="inlineStr">
        <is>
          <t>D11-I10</t>
        </is>
      </c>
      <c r="C390" s="18" t="inlineStr">
        <is>
          <t>D04-I03</t>
        </is>
      </c>
      <c r="D390" s="18">
        <f>'P0-3_Scorecard'!L140</f>
        <v/>
      </c>
      <c r="E390" s="18">
        <f>'P0-3_Scorecard'!L45</f>
        <v/>
      </c>
      <c r="F390" s="18">
        <f>'P0-3_Scorecard'!M45</f>
        <v/>
      </c>
      <c r="G390" s="18">
        <f>'P0-3_Scorecard'!E45</f>
        <v/>
      </c>
      <c r="H390" s="18">
        <f>'P0-3_Scorecard'!H45</f>
        <v/>
      </c>
      <c r="I390" s="18">
        <f>IF(OR(D390="",E390=""),"INCOMPLETE",IF(AND(D390&gt;=70,E390&lt;60),"DEPENDENCY GAP",IF(AND(D390&gt;=70,G390&lt;F390),"REQUIRED MATURITY GAP","OK")))</f>
        <v/>
      </c>
      <c r="J390" s="18" t="inlineStr">
        <is>
          <t>Programme adaptation review</t>
        </is>
      </c>
    </row>
    <row r="391">
      <c r="A391" s="18" t="inlineStr">
        <is>
          <t>CD23</t>
        </is>
      </c>
      <c r="B391" s="18" t="inlineStr">
        <is>
          <t>D11-I10</t>
        </is>
      </c>
      <c r="C391" s="18" t="inlineStr">
        <is>
          <t>D04-I05</t>
        </is>
      </c>
      <c r="D391" s="18">
        <f>'P0-3_Scorecard'!L140</f>
        <v/>
      </c>
      <c r="E391" s="18">
        <f>'P0-3_Scorecard'!L47</f>
        <v/>
      </c>
      <c r="F391" s="18">
        <f>'P0-3_Scorecard'!M47</f>
        <v/>
      </c>
      <c r="G391" s="18">
        <f>'P0-3_Scorecard'!E47</f>
        <v/>
      </c>
      <c r="H391" s="18">
        <f>'P0-3_Scorecard'!H47</f>
        <v/>
      </c>
      <c r="I391" s="18">
        <f>IF(OR(D391="",E391=""),"INCOMPLETE",IF(AND(D391&gt;=70,E391&lt;60),"DEPENDENCY GAP",IF(AND(D391&gt;=70,G391&lt;F391),"REQUIRED MATURITY GAP","OK")))</f>
        <v/>
      </c>
      <c r="J391" s="18" t="inlineStr">
        <is>
          <t>Programme adaptation review</t>
        </is>
      </c>
    </row>
    <row r="392">
      <c r="A392" s="18" t="inlineStr">
        <is>
          <t>CD23</t>
        </is>
      </c>
      <c r="B392" s="18" t="inlineStr">
        <is>
          <t>D11-I10</t>
        </is>
      </c>
      <c r="C392" s="18" t="inlineStr">
        <is>
          <t>D04-I08</t>
        </is>
      </c>
      <c r="D392" s="18">
        <f>'P0-3_Scorecard'!L140</f>
        <v/>
      </c>
      <c r="E392" s="18">
        <f>'P0-3_Scorecard'!L50</f>
        <v/>
      </c>
      <c r="F392" s="18">
        <f>'P0-3_Scorecard'!M50</f>
        <v/>
      </c>
      <c r="G392" s="18">
        <f>'P0-3_Scorecard'!E50</f>
        <v/>
      </c>
      <c r="H392" s="18">
        <f>'P0-3_Scorecard'!H50</f>
        <v/>
      </c>
      <c r="I392" s="18">
        <f>IF(OR(D392="",E392=""),"INCOMPLETE",IF(AND(D392&gt;=70,E392&lt;60),"DEPENDENCY GAP",IF(AND(D392&gt;=70,G392&lt;F392),"REQUIRED MATURITY GAP","OK")))</f>
        <v/>
      </c>
      <c r="J392" s="18" t="inlineStr">
        <is>
          <t>Programme adaptation review</t>
        </is>
      </c>
    </row>
    <row r="393">
      <c r="A393" s="18" t="inlineStr">
        <is>
          <t>CD23</t>
        </is>
      </c>
      <c r="B393" s="18" t="inlineStr">
        <is>
          <t>D11-I10</t>
        </is>
      </c>
      <c r="C393" s="18" t="inlineStr">
        <is>
          <t>D04-I12</t>
        </is>
      </c>
      <c r="D393" s="18">
        <f>'P0-3_Scorecard'!L140</f>
        <v/>
      </c>
      <c r="E393" s="18">
        <f>'P0-3_Scorecard'!L54</f>
        <v/>
      </c>
      <c r="F393" s="18">
        <f>'P0-3_Scorecard'!M54</f>
        <v/>
      </c>
      <c r="G393" s="18">
        <f>'P0-3_Scorecard'!E54</f>
        <v/>
      </c>
      <c r="H393" s="18">
        <f>'P0-3_Scorecard'!H54</f>
        <v/>
      </c>
      <c r="I393" s="18">
        <f>IF(OR(D393="",E393=""),"INCOMPLETE",IF(AND(D393&gt;=70,E393&lt;60),"DEPENDENCY GAP",IF(AND(D393&gt;=70,G393&lt;F393),"REQUIRED MATURITY GAP","OK")))</f>
        <v/>
      </c>
      <c r="J393" s="18" t="inlineStr">
        <is>
          <t>Programme adaptation review</t>
        </is>
      </c>
    </row>
    <row r="394">
      <c r="A394" s="18" t="inlineStr">
        <is>
          <t>CD24</t>
        </is>
      </c>
      <c r="B394" s="18" t="inlineStr">
        <is>
          <t>D11-I02</t>
        </is>
      </c>
      <c r="C394" s="18" t="inlineStr">
        <is>
          <t>D05-I08</t>
        </is>
      </c>
      <c r="D394" s="18">
        <f>'P0-3_Scorecard'!L132</f>
        <v/>
      </c>
      <c r="E394" s="18">
        <f>'P0-3_Scorecard'!L62</f>
        <v/>
      </c>
      <c r="F394" s="18">
        <f>'P0-3_Scorecard'!M62</f>
        <v/>
      </c>
      <c r="G394" s="18">
        <f>'P0-3_Scorecard'!E62</f>
        <v/>
      </c>
      <c r="H394" s="18">
        <f>'P0-3_Scorecard'!H62</f>
        <v/>
      </c>
      <c r="I394" s="18">
        <f>IF(OR(D394="",E394=""),"INCOMPLETE",IF(AND(D394&gt;=70,E394&lt;60),"DEPENDENCY GAP",IF(AND(D394&gt;=70,G394&lt;F394),"REQUIRED MATURITY GAP","OK")))</f>
        <v/>
      </c>
      <c r="J394" s="18" t="inlineStr">
        <is>
          <t>Academic workforce review</t>
        </is>
      </c>
    </row>
    <row r="395">
      <c r="A395" s="18" t="inlineStr">
        <is>
          <t>CD24</t>
        </is>
      </c>
      <c r="B395" s="18" t="inlineStr">
        <is>
          <t>D11-I02</t>
        </is>
      </c>
      <c r="C395" s="18" t="inlineStr">
        <is>
          <t>D05-I09</t>
        </is>
      </c>
      <c r="D395" s="18">
        <f>'P0-3_Scorecard'!L132</f>
        <v/>
      </c>
      <c r="E395" s="18">
        <f>'P0-3_Scorecard'!L63</f>
        <v/>
      </c>
      <c r="F395" s="18">
        <f>'P0-3_Scorecard'!M63</f>
        <v/>
      </c>
      <c r="G395" s="18">
        <f>'P0-3_Scorecard'!E63</f>
        <v/>
      </c>
      <c r="H395" s="18">
        <f>'P0-3_Scorecard'!H63</f>
        <v/>
      </c>
      <c r="I395" s="18">
        <f>IF(OR(D395="",E395=""),"INCOMPLETE",IF(AND(D395&gt;=70,E395&lt;60),"DEPENDENCY GAP",IF(AND(D395&gt;=70,G395&lt;F395),"REQUIRED MATURITY GAP","OK")))</f>
        <v/>
      </c>
      <c r="J395" s="18" t="inlineStr">
        <is>
          <t>Academic workforce review</t>
        </is>
      </c>
    </row>
    <row r="396">
      <c r="A396" s="18" t="inlineStr">
        <is>
          <t>CD24</t>
        </is>
      </c>
      <c r="B396" s="18" t="inlineStr">
        <is>
          <t>D11-I02</t>
        </is>
      </c>
      <c r="C396" s="18" t="inlineStr">
        <is>
          <t>D05-I10</t>
        </is>
      </c>
      <c r="D396" s="18">
        <f>'P0-3_Scorecard'!L132</f>
        <v/>
      </c>
      <c r="E396" s="18">
        <f>'P0-3_Scorecard'!L64</f>
        <v/>
      </c>
      <c r="F396" s="18">
        <f>'P0-3_Scorecard'!M64</f>
        <v/>
      </c>
      <c r="G396" s="18">
        <f>'P0-3_Scorecard'!E64</f>
        <v/>
      </c>
      <c r="H396" s="18">
        <f>'P0-3_Scorecard'!H64</f>
        <v/>
      </c>
      <c r="I396" s="18">
        <f>IF(OR(D396="",E396=""),"INCOMPLETE",IF(AND(D396&gt;=70,E396&lt;60),"DEPENDENCY GAP",IF(AND(D396&gt;=70,G396&lt;F396),"REQUIRED MATURITY GAP","OK")))</f>
        <v/>
      </c>
      <c r="J396" s="18" t="inlineStr">
        <is>
          <t>Academic workforce review</t>
        </is>
      </c>
    </row>
    <row r="397">
      <c r="A397" s="18" t="inlineStr">
        <is>
          <t>CD24</t>
        </is>
      </c>
      <c r="B397" s="18" t="inlineStr">
        <is>
          <t>D11-I02</t>
        </is>
      </c>
      <c r="C397" s="18" t="inlineStr">
        <is>
          <t>D05-I12</t>
        </is>
      </c>
      <c r="D397" s="18">
        <f>'P0-3_Scorecard'!L132</f>
        <v/>
      </c>
      <c r="E397" s="18">
        <f>'P0-3_Scorecard'!L66</f>
        <v/>
      </c>
      <c r="F397" s="18">
        <f>'P0-3_Scorecard'!M66</f>
        <v/>
      </c>
      <c r="G397" s="18">
        <f>'P0-3_Scorecard'!E66</f>
        <v/>
      </c>
      <c r="H397" s="18">
        <f>'P0-3_Scorecard'!H66</f>
        <v/>
      </c>
      <c r="I397" s="18">
        <f>IF(OR(D397="",E397=""),"INCOMPLETE",IF(AND(D397&gt;=70,E397&lt;60),"DEPENDENCY GAP",IF(AND(D397&gt;=70,G397&lt;F397),"REQUIRED MATURITY GAP","OK")))</f>
        <v/>
      </c>
      <c r="J397" s="18" t="inlineStr">
        <is>
          <t>Academic workforce review</t>
        </is>
      </c>
    </row>
    <row r="398">
      <c r="A398" s="18" t="inlineStr">
        <is>
          <t>CD24</t>
        </is>
      </c>
      <c r="B398" s="18" t="inlineStr">
        <is>
          <t>D11-I07</t>
        </is>
      </c>
      <c r="C398" s="18" t="inlineStr">
        <is>
          <t>D05-I08</t>
        </is>
      </c>
      <c r="D398" s="18">
        <f>'P0-3_Scorecard'!L137</f>
        <v/>
      </c>
      <c r="E398" s="18">
        <f>'P0-3_Scorecard'!L62</f>
        <v/>
      </c>
      <c r="F398" s="18">
        <f>'P0-3_Scorecard'!M62</f>
        <v/>
      </c>
      <c r="G398" s="18">
        <f>'P0-3_Scorecard'!E62</f>
        <v/>
      </c>
      <c r="H398" s="18">
        <f>'P0-3_Scorecard'!H62</f>
        <v/>
      </c>
      <c r="I398" s="18">
        <f>IF(OR(D398="",E398=""),"INCOMPLETE",IF(AND(D398&gt;=70,E398&lt;60),"DEPENDENCY GAP",IF(AND(D398&gt;=70,G398&lt;F398),"REQUIRED MATURITY GAP","OK")))</f>
        <v/>
      </c>
      <c r="J398" s="18" t="inlineStr">
        <is>
          <t>Academic workforce review</t>
        </is>
      </c>
    </row>
    <row r="399">
      <c r="A399" s="18" t="inlineStr">
        <is>
          <t>CD24</t>
        </is>
      </c>
      <c r="B399" s="18" t="inlineStr">
        <is>
          <t>D11-I07</t>
        </is>
      </c>
      <c r="C399" s="18" t="inlineStr">
        <is>
          <t>D05-I09</t>
        </is>
      </c>
      <c r="D399" s="18">
        <f>'P0-3_Scorecard'!L137</f>
        <v/>
      </c>
      <c r="E399" s="18">
        <f>'P0-3_Scorecard'!L63</f>
        <v/>
      </c>
      <c r="F399" s="18">
        <f>'P0-3_Scorecard'!M63</f>
        <v/>
      </c>
      <c r="G399" s="18">
        <f>'P0-3_Scorecard'!E63</f>
        <v/>
      </c>
      <c r="H399" s="18">
        <f>'P0-3_Scorecard'!H63</f>
        <v/>
      </c>
      <c r="I399" s="18">
        <f>IF(OR(D399="",E399=""),"INCOMPLETE",IF(AND(D399&gt;=70,E399&lt;60),"DEPENDENCY GAP",IF(AND(D399&gt;=70,G399&lt;F399),"REQUIRED MATURITY GAP","OK")))</f>
        <v/>
      </c>
      <c r="J399" s="18" t="inlineStr">
        <is>
          <t>Academic workforce review</t>
        </is>
      </c>
    </row>
    <row r="400">
      <c r="A400" s="18" t="inlineStr">
        <is>
          <t>CD24</t>
        </is>
      </c>
      <c r="B400" s="18" t="inlineStr">
        <is>
          <t>D11-I07</t>
        </is>
      </c>
      <c r="C400" s="18" t="inlineStr">
        <is>
          <t>D05-I10</t>
        </is>
      </c>
      <c r="D400" s="18">
        <f>'P0-3_Scorecard'!L137</f>
        <v/>
      </c>
      <c r="E400" s="18">
        <f>'P0-3_Scorecard'!L64</f>
        <v/>
      </c>
      <c r="F400" s="18">
        <f>'P0-3_Scorecard'!M64</f>
        <v/>
      </c>
      <c r="G400" s="18">
        <f>'P0-3_Scorecard'!E64</f>
        <v/>
      </c>
      <c r="H400" s="18">
        <f>'P0-3_Scorecard'!H64</f>
        <v/>
      </c>
      <c r="I400" s="18">
        <f>IF(OR(D400="",E400=""),"INCOMPLETE",IF(AND(D400&gt;=70,E400&lt;60),"DEPENDENCY GAP",IF(AND(D400&gt;=70,G400&lt;F400),"REQUIRED MATURITY GAP","OK")))</f>
        <v/>
      </c>
      <c r="J400" s="18" t="inlineStr">
        <is>
          <t>Academic workforce review</t>
        </is>
      </c>
    </row>
    <row r="401">
      <c r="A401" s="18" t="inlineStr">
        <is>
          <t>CD24</t>
        </is>
      </c>
      <c r="B401" s="18" t="inlineStr">
        <is>
          <t>D11-I07</t>
        </is>
      </c>
      <c r="C401" s="18" t="inlineStr">
        <is>
          <t>D05-I12</t>
        </is>
      </c>
      <c r="D401" s="18">
        <f>'P0-3_Scorecard'!L137</f>
        <v/>
      </c>
      <c r="E401" s="18">
        <f>'P0-3_Scorecard'!L66</f>
        <v/>
      </c>
      <c r="F401" s="18">
        <f>'P0-3_Scorecard'!M66</f>
        <v/>
      </c>
      <c r="G401" s="18">
        <f>'P0-3_Scorecard'!E66</f>
        <v/>
      </c>
      <c r="H401" s="18">
        <f>'P0-3_Scorecard'!H66</f>
        <v/>
      </c>
      <c r="I401" s="18">
        <f>IF(OR(D401="",E401=""),"INCOMPLETE",IF(AND(D401&gt;=70,E401&lt;60),"DEPENDENCY GAP",IF(AND(D401&gt;=70,G401&lt;F401),"REQUIRED MATURITY GAP","OK")))</f>
        <v/>
      </c>
      <c r="J401" s="18" t="inlineStr">
        <is>
          <t>Academic workforce review</t>
        </is>
      </c>
    </row>
    <row r="402">
      <c r="A402" s="18" t="inlineStr">
        <is>
          <t>CD24</t>
        </is>
      </c>
      <c r="B402" s="18" t="inlineStr">
        <is>
          <t>D11-I08</t>
        </is>
      </c>
      <c r="C402" s="18" t="inlineStr">
        <is>
          <t>D05-I08</t>
        </is>
      </c>
      <c r="D402" s="18">
        <f>'P0-3_Scorecard'!L138</f>
        <v/>
      </c>
      <c r="E402" s="18">
        <f>'P0-3_Scorecard'!L62</f>
        <v/>
      </c>
      <c r="F402" s="18">
        <f>'P0-3_Scorecard'!M62</f>
        <v/>
      </c>
      <c r="G402" s="18">
        <f>'P0-3_Scorecard'!E62</f>
        <v/>
      </c>
      <c r="H402" s="18">
        <f>'P0-3_Scorecard'!H62</f>
        <v/>
      </c>
      <c r="I402" s="18">
        <f>IF(OR(D402="",E402=""),"INCOMPLETE",IF(AND(D402&gt;=70,E402&lt;60),"DEPENDENCY GAP",IF(AND(D402&gt;=70,G402&lt;F402),"REQUIRED MATURITY GAP","OK")))</f>
        <v/>
      </c>
      <c r="J402" s="18" t="inlineStr">
        <is>
          <t>Academic workforce review</t>
        </is>
      </c>
    </row>
    <row r="403">
      <c r="A403" s="18" t="inlineStr">
        <is>
          <t>CD24</t>
        </is>
      </c>
      <c r="B403" s="18" t="inlineStr">
        <is>
          <t>D11-I08</t>
        </is>
      </c>
      <c r="C403" s="18" t="inlineStr">
        <is>
          <t>D05-I09</t>
        </is>
      </c>
      <c r="D403" s="18">
        <f>'P0-3_Scorecard'!L138</f>
        <v/>
      </c>
      <c r="E403" s="18">
        <f>'P0-3_Scorecard'!L63</f>
        <v/>
      </c>
      <c r="F403" s="18">
        <f>'P0-3_Scorecard'!M63</f>
        <v/>
      </c>
      <c r="G403" s="18">
        <f>'P0-3_Scorecard'!E63</f>
        <v/>
      </c>
      <c r="H403" s="18">
        <f>'P0-3_Scorecard'!H63</f>
        <v/>
      </c>
      <c r="I403" s="18">
        <f>IF(OR(D403="",E403=""),"INCOMPLETE",IF(AND(D403&gt;=70,E403&lt;60),"DEPENDENCY GAP",IF(AND(D403&gt;=70,G403&lt;F403),"REQUIRED MATURITY GAP","OK")))</f>
        <v/>
      </c>
      <c r="J403" s="18" t="inlineStr">
        <is>
          <t>Academic workforce review</t>
        </is>
      </c>
    </row>
    <row r="404">
      <c r="A404" s="18" t="inlineStr">
        <is>
          <t>CD24</t>
        </is>
      </c>
      <c r="B404" s="18" t="inlineStr">
        <is>
          <t>D11-I08</t>
        </is>
      </c>
      <c r="C404" s="18" t="inlineStr">
        <is>
          <t>D05-I10</t>
        </is>
      </c>
      <c r="D404" s="18">
        <f>'P0-3_Scorecard'!L138</f>
        <v/>
      </c>
      <c r="E404" s="18">
        <f>'P0-3_Scorecard'!L64</f>
        <v/>
      </c>
      <c r="F404" s="18">
        <f>'P0-3_Scorecard'!M64</f>
        <v/>
      </c>
      <c r="G404" s="18">
        <f>'P0-3_Scorecard'!E64</f>
        <v/>
      </c>
      <c r="H404" s="18">
        <f>'P0-3_Scorecard'!H64</f>
        <v/>
      </c>
      <c r="I404" s="18">
        <f>IF(OR(D404="",E404=""),"INCOMPLETE",IF(AND(D404&gt;=70,E404&lt;60),"DEPENDENCY GAP",IF(AND(D404&gt;=70,G404&lt;F404),"REQUIRED MATURITY GAP","OK")))</f>
        <v/>
      </c>
      <c r="J404" s="18" t="inlineStr">
        <is>
          <t>Academic workforce review</t>
        </is>
      </c>
    </row>
    <row r="405">
      <c r="A405" s="18" t="inlineStr">
        <is>
          <t>CD24</t>
        </is>
      </c>
      <c r="B405" s="18" t="inlineStr">
        <is>
          <t>D11-I08</t>
        </is>
      </c>
      <c r="C405" s="18" t="inlineStr">
        <is>
          <t>D05-I12</t>
        </is>
      </c>
      <c r="D405" s="18">
        <f>'P0-3_Scorecard'!L138</f>
        <v/>
      </c>
      <c r="E405" s="18">
        <f>'P0-3_Scorecard'!L66</f>
        <v/>
      </c>
      <c r="F405" s="18">
        <f>'P0-3_Scorecard'!M66</f>
        <v/>
      </c>
      <c r="G405" s="18">
        <f>'P0-3_Scorecard'!E66</f>
        <v/>
      </c>
      <c r="H405" s="18">
        <f>'P0-3_Scorecard'!H66</f>
        <v/>
      </c>
      <c r="I405" s="18">
        <f>IF(OR(D405="",E405=""),"INCOMPLETE",IF(AND(D405&gt;=70,E405&lt;60),"DEPENDENCY GAP",IF(AND(D405&gt;=70,G405&lt;F405),"REQUIRED MATURITY GAP","OK")))</f>
        <v/>
      </c>
      <c r="J405" s="18" t="inlineStr">
        <is>
          <t>Academic workforce review</t>
        </is>
      </c>
    </row>
    <row r="406">
      <c r="A406" s="18" t="inlineStr">
        <is>
          <t>CD25</t>
        </is>
      </c>
      <c r="B406" s="18" t="inlineStr">
        <is>
          <t>D11-I09</t>
        </is>
      </c>
      <c r="C406" s="18" t="inlineStr">
        <is>
          <t>D06-I08</t>
        </is>
      </c>
      <c r="D406" s="18">
        <f>'P0-3_Scorecard'!L139</f>
        <v/>
      </c>
      <c r="E406" s="18">
        <f>'P0-3_Scorecard'!L74</f>
        <v/>
      </c>
      <c r="F406" s="18">
        <f>'P0-3_Scorecard'!M74</f>
        <v/>
      </c>
      <c r="G406" s="18">
        <f>'P0-3_Scorecard'!E74</f>
        <v/>
      </c>
      <c r="H406" s="18">
        <f>'P0-3_Scorecard'!H74</f>
        <v/>
      </c>
      <c r="I406" s="18">
        <f>IF(OR(D406="",E406=""),"INCOMPLETE",IF(AND(D406&gt;=70,E406&lt;60),"DEPENDENCY GAP",IF(AND(D406&gt;=70,G406&lt;F406),"REQUIRED MATURITY GAP","OK")))</f>
        <v/>
      </c>
      <c r="J406" s="18" t="inlineStr">
        <is>
          <t>Learner response review</t>
        </is>
      </c>
    </row>
    <row r="407">
      <c r="A407" s="18" t="inlineStr">
        <is>
          <t>CD25</t>
        </is>
      </c>
      <c r="B407" s="18" t="inlineStr">
        <is>
          <t>D11-I09</t>
        </is>
      </c>
      <c r="C407" s="18" t="inlineStr">
        <is>
          <t>D06-I10</t>
        </is>
      </c>
      <c r="D407" s="18">
        <f>'P0-3_Scorecard'!L139</f>
        <v/>
      </c>
      <c r="E407" s="18">
        <f>'P0-3_Scorecard'!L76</f>
        <v/>
      </c>
      <c r="F407" s="18">
        <f>'P0-3_Scorecard'!M76</f>
        <v/>
      </c>
      <c r="G407" s="18">
        <f>'P0-3_Scorecard'!E76</f>
        <v/>
      </c>
      <c r="H407" s="18">
        <f>'P0-3_Scorecard'!H76</f>
        <v/>
      </c>
      <c r="I407" s="18">
        <f>IF(OR(D407="",E407=""),"INCOMPLETE",IF(AND(D407&gt;=70,E407&lt;60),"DEPENDENCY GAP",IF(AND(D407&gt;=70,G407&lt;F407),"REQUIRED MATURITY GAP","OK")))</f>
        <v/>
      </c>
      <c r="J407" s="18" t="inlineStr">
        <is>
          <t>Learner response review</t>
        </is>
      </c>
    </row>
    <row r="408">
      <c r="A408" s="18" t="inlineStr">
        <is>
          <t>CD25</t>
        </is>
      </c>
      <c r="B408" s="18" t="inlineStr">
        <is>
          <t>D11-I09</t>
        </is>
      </c>
      <c r="C408" s="18" t="inlineStr">
        <is>
          <t>D06-I14</t>
        </is>
      </c>
      <c r="D408" s="18">
        <f>'P0-3_Scorecard'!L139</f>
        <v/>
      </c>
      <c r="E408" s="18">
        <f>'P0-3_Scorecard'!L80</f>
        <v/>
      </c>
      <c r="F408" s="18">
        <f>'P0-3_Scorecard'!M80</f>
        <v/>
      </c>
      <c r="G408" s="18">
        <f>'P0-3_Scorecard'!E80</f>
        <v/>
      </c>
      <c r="H408" s="18">
        <f>'P0-3_Scorecard'!H80</f>
        <v/>
      </c>
      <c r="I408" s="18">
        <f>IF(OR(D408="",E408=""),"INCOMPLETE",IF(AND(D408&gt;=70,E408&lt;60),"DEPENDENCY GAP",IF(AND(D408&gt;=70,G408&lt;F408),"REQUIRED MATURITY GAP","OK")))</f>
        <v/>
      </c>
      <c r="J408" s="18" t="inlineStr">
        <is>
          <t>Learner response review</t>
        </is>
      </c>
    </row>
    <row r="409">
      <c r="A409" s="18" t="inlineStr">
        <is>
          <t>CD25</t>
        </is>
      </c>
      <c r="B409" s="18" t="inlineStr">
        <is>
          <t>D11-I10</t>
        </is>
      </c>
      <c r="C409" s="18" t="inlineStr">
        <is>
          <t>D06-I08</t>
        </is>
      </c>
      <c r="D409" s="18">
        <f>'P0-3_Scorecard'!L140</f>
        <v/>
      </c>
      <c r="E409" s="18">
        <f>'P0-3_Scorecard'!L74</f>
        <v/>
      </c>
      <c r="F409" s="18">
        <f>'P0-3_Scorecard'!M74</f>
        <v/>
      </c>
      <c r="G409" s="18">
        <f>'P0-3_Scorecard'!E74</f>
        <v/>
      </c>
      <c r="H409" s="18">
        <f>'P0-3_Scorecard'!H74</f>
        <v/>
      </c>
      <c r="I409" s="18">
        <f>IF(OR(D409="",E409=""),"INCOMPLETE",IF(AND(D409&gt;=70,E409&lt;60),"DEPENDENCY GAP",IF(AND(D409&gt;=70,G409&lt;F409),"REQUIRED MATURITY GAP","OK")))</f>
        <v/>
      </c>
      <c r="J409" s="18" t="inlineStr">
        <is>
          <t>Learner response review</t>
        </is>
      </c>
    </row>
    <row r="410">
      <c r="A410" s="18" t="inlineStr">
        <is>
          <t>CD25</t>
        </is>
      </c>
      <c r="B410" s="18" t="inlineStr">
        <is>
          <t>D11-I10</t>
        </is>
      </c>
      <c r="C410" s="18" t="inlineStr">
        <is>
          <t>D06-I10</t>
        </is>
      </c>
      <c r="D410" s="18">
        <f>'P0-3_Scorecard'!L140</f>
        <v/>
      </c>
      <c r="E410" s="18">
        <f>'P0-3_Scorecard'!L76</f>
        <v/>
      </c>
      <c r="F410" s="18">
        <f>'P0-3_Scorecard'!M76</f>
        <v/>
      </c>
      <c r="G410" s="18">
        <f>'P0-3_Scorecard'!E76</f>
        <v/>
      </c>
      <c r="H410" s="18">
        <f>'P0-3_Scorecard'!H76</f>
        <v/>
      </c>
      <c r="I410" s="18">
        <f>IF(OR(D410="",E410=""),"INCOMPLETE",IF(AND(D410&gt;=70,E410&lt;60),"DEPENDENCY GAP",IF(AND(D410&gt;=70,G410&lt;F410),"REQUIRED MATURITY GAP","OK")))</f>
        <v/>
      </c>
      <c r="J410" s="18" t="inlineStr">
        <is>
          <t>Learner response review</t>
        </is>
      </c>
    </row>
    <row r="411">
      <c r="A411" s="18" t="inlineStr">
        <is>
          <t>CD25</t>
        </is>
      </c>
      <c r="B411" s="18" t="inlineStr">
        <is>
          <t>D11-I10</t>
        </is>
      </c>
      <c r="C411" s="18" t="inlineStr">
        <is>
          <t>D06-I14</t>
        </is>
      </c>
      <c r="D411" s="18">
        <f>'P0-3_Scorecard'!L140</f>
        <v/>
      </c>
      <c r="E411" s="18">
        <f>'P0-3_Scorecard'!L80</f>
        <v/>
      </c>
      <c r="F411" s="18">
        <f>'P0-3_Scorecard'!M80</f>
        <v/>
      </c>
      <c r="G411" s="18">
        <f>'P0-3_Scorecard'!E80</f>
        <v/>
      </c>
      <c r="H411" s="18">
        <f>'P0-3_Scorecard'!H80</f>
        <v/>
      </c>
      <c r="I411" s="18">
        <f>IF(OR(D411="",E411=""),"INCOMPLETE",IF(AND(D411&gt;=70,E411&lt;60),"DEPENDENCY GAP",IF(AND(D411&gt;=70,G411&lt;F411),"REQUIRED MATURITY GAP","OK")))</f>
        <v/>
      </c>
      <c r="J411" s="18" t="inlineStr">
        <is>
          <t>Learner response review</t>
        </is>
      </c>
    </row>
    <row r="412">
      <c r="A412" s="18" t="inlineStr">
        <is>
          <t>CD25</t>
        </is>
      </c>
      <c r="B412" s="18" t="inlineStr">
        <is>
          <t>D11-I13</t>
        </is>
      </c>
      <c r="C412" s="18" t="inlineStr">
        <is>
          <t>D06-I08</t>
        </is>
      </c>
      <c r="D412" s="18">
        <f>'P0-3_Scorecard'!L143</f>
        <v/>
      </c>
      <c r="E412" s="18">
        <f>'P0-3_Scorecard'!L74</f>
        <v/>
      </c>
      <c r="F412" s="18">
        <f>'P0-3_Scorecard'!M74</f>
        <v/>
      </c>
      <c r="G412" s="18">
        <f>'P0-3_Scorecard'!E74</f>
        <v/>
      </c>
      <c r="H412" s="18">
        <f>'P0-3_Scorecard'!H74</f>
        <v/>
      </c>
      <c r="I412" s="18">
        <f>IF(OR(D412="",E412=""),"INCOMPLETE",IF(AND(D412&gt;=70,E412&lt;60),"DEPENDENCY GAP",IF(AND(D412&gt;=70,G412&lt;F412),"REQUIRED MATURITY GAP","OK")))</f>
        <v/>
      </c>
      <c r="J412" s="18" t="inlineStr">
        <is>
          <t>Learner response review</t>
        </is>
      </c>
    </row>
    <row r="413">
      <c r="A413" s="18" t="inlineStr">
        <is>
          <t>CD25</t>
        </is>
      </c>
      <c r="B413" s="18" t="inlineStr">
        <is>
          <t>D11-I13</t>
        </is>
      </c>
      <c r="C413" s="18" t="inlineStr">
        <is>
          <t>D06-I10</t>
        </is>
      </c>
      <c r="D413" s="18">
        <f>'P0-3_Scorecard'!L143</f>
        <v/>
      </c>
      <c r="E413" s="18">
        <f>'P0-3_Scorecard'!L76</f>
        <v/>
      </c>
      <c r="F413" s="18">
        <f>'P0-3_Scorecard'!M76</f>
        <v/>
      </c>
      <c r="G413" s="18">
        <f>'P0-3_Scorecard'!E76</f>
        <v/>
      </c>
      <c r="H413" s="18">
        <f>'P0-3_Scorecard'!H76</f>
        <v/>
      </c>
      <c r="I413" s="18">
        <f>IF(OR(D413="",E413=""),"INCOMPLETE",IF(AND(D413&gt;=70,E413&lt;60),"DEPENDENCY GAP",IF(AND(D413&gt;=70,G413&lt;F413),"REQUIRED MATURITY GAP","OK")))</f>
        <v/>
      </c>
      <c r="J413" s="18" t="inlineStr">
        <is>
          <t>Learner response review</t>
        </is>
      </c>
    </row>
    <row r="414">
      <c r="A414" s="18" t="inlineStr">
        <is>
          <t>CD25</t>
        </is>
      </c>
      <c r="B414" s="18" t="inlineStr">
        <is>
          <t>D11-I13</t>
        </is>
      </c>
      <c r="C414" s="18" t="inlineStr">
        <is>
          <t>D06-I14</t>
        </is>
      </c>
      <c r="D414" s="18">
        <f>'P0-3_Scorecard'!L143</f>
        <v/>
      </c>
      <c r="E414" s="18">
        <f>'P0-3_Scorecard'!L80</f>
        <v/>
      </c>
      <c r="F414" s="18">
        <f>'P0-3_Scorecard'!M80</f>
        <v/>
      </c>
      <c r="G414" s="18">
        <f>'P0-3_Scorecard'!E80</f>
        <v/>
      </c>
      <c r="H414" s="18">
        <f>'P0-3_Scorecard'!H80</f>
        <v/>
      </c>
      <c r="I414" s="18">
        <f>IF(OR(D414="",E414=""),"INCOMPLETE",IF(AND(D414&gt;=70,E414&lt;60),"DEPENDENCY GAP",IF(AND(D414&gt;=70,G414&lt;F414),"REQUIRED MATURITY GAP","OK")))</f>
        <v/>
      </c>
      <c r="J414" s="18" t="inlineStr">
        <is>
          <t>Learner response review</t>
        </is>
      </c>
    </row>
  </sheetData>
  <autoFilter ref="A1:J414"/>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72" customWidth="1" min="4" max="4"/>
    <col width="78" customWidth="1" min="5" max="5"/>
  </cols>
  <sheetData>
    <row r="1">
      <c r="A1" s="17" t="inlineStr">
        <is>
          <t>Protection ID</t>
        </is>
      </c>
      <c r="B1" s="17" t="inlineStr">
        <is>
          <t>Shared Event/Construct</t>
        </is>
      </c>
      <c r="C1" s="17" t="inlineStr">
        <is>
          <t>Boundary</t>
        </is>
      </c>
      <c r="D1" s="17" t="inlineStr">
        <is>
          <t>Primary Ownership Rule</t>
        </is>
      </c>
      <c r="E1" s="17" t="inlineStr">
        <is>
          <t>Anti-Double-Count Rule</t>
        </is>
      </c>
    </row>
    <row r="2">
      <c r="A2" s="18" t="inlineStr">
        <is>
          <t>DC01</t>
        </is>
      </c>
      <c r="B2" s="18" t="inlineStr">
        <is>
          <t>Programme review/change event</t>
        </is>
      </c>
      <c r="C2" s="18" t="inlineStr">
        <is>
          <t>D01 vs D04</t>
        </is>
      </c>
      <c r="D2" s="18" t="inlineStr">
        <is>
          <t>D01 scores strategic portfolio foresight/decision; D04 scores programme review mechanics and implementation.</t>
        </is>
      </c>
      <c r="E2" s="18" t="inlineStr">
        <is>
          <t>Same event cannot be used as evidence for both scores unless separate evidence establishes separate constructs.</t>
        </is>
      </c>
    </row>
    <row r="3">
      <c r="A3" s="18" t="inlineStr">
        <is>
          <t>DC02</t>
        </is>
      </c>
      <c r="B3" s="18" t="inlineStr">
        <is>
          <t>Assessment integrity governance</t>
        </is>
      </c>
      <c r="C3" s="18" t="inlineStr">
        <is>
          <t>D02 vs D07</t>
        </is>
      </c>
      <c r="D3" s="18" t="inlineStr">
        <is>
          <t>D02 scores governance/control; D07 scores actual assessment architecture/evidence.</t>
        </is>
      </c>
      <c r="E3" s="18" t="inlineStr">
        <is>
          <t>Policy alone cannot uplift D07.</t>
        </is>
      </c>
    </row>
    <row r="4">
      <c r="A4" s="18" t="inlineStr">
        <is>
          <t>DC03</t>
        </is>
      </c>
      <c r="B4" s="18" t="inlineStr">
        <is>
          <t>Human capability architecture</t>
        </is>
      </c>
      <c r="C4" s="18" t="inlineStr">
        <is>
          <t>D03 vs D06</t>
        </is>
      </c>
      <c r="D4" s="18" t="inlineStr">
        <is>
          <t>D03 scores institutional capability design; D06 scores student lived capability/agency.</t>
        </is>
      </c>
      <c r="E4" s="18" t="inlineStr">
        <is>
          <t>Student outcomes do not automatically uplift D03.</t>
        </is>
      </c>
    </row>
    <row r="5">
      <c r="A5" s="18" t="inlineStr">
        <is>
          <t>DC04</t>
        </is>
      </c>
      <c r="B5" s="18" t="inlineStr">
        <is>
          <t>Faculty assessment redesign</t>
        </is>
      </c>
      <c r="C5" s="18" t="inlineStr">
        <is>
          <t>D05 vs D07</t>
        </is>
      </c>
      <c r="D5" s="18" t="inlineStr">
        <is>
          <t>D05 scores faculty capability/practice; D07 scores assessment system quality.</t>
        </is>
      </c>
      <c r="E5" s="18" t="inlineStr">
        <is>
          <t>Training completion is not assessment quality.</t>
        </is>
      </c>
    </row>
    <row r="6">
      <c r="A6" s="18" t="inlineStr">
        <is>
          <t>DC05</t>
        </is>
      </c>
      <c r="B6" s="18" t="inlineStr">
        <is>
          <t>Employer signal</t>
        </is>
      </c>
      <c r="C6" s="18" t="inlineStr">
        <is>
          <t>D04 vs D09</t>
        </is>
      </c>
      <c r="D6" s="18" t="inlineStr">
        <is>
          <t>D09 owns external employer signal; D04 may use it as an input to programme change.</t>
        </is>
      </c>
      <c r="E6" s="18" t="inlineStr">
        <is>
          <t>Do not score the same employer evidence as both external relevance and programme adaptation.</t>
        </is>
      </c>
    </row>
    <row r="7">
      <c r="A7" s="18" t="inlineStr">
        <is>
          <t>DC06</t>
        </is>
      </c>
      <c r="B7" s="18" t="inlineStr">
        <is>
          <t>Data/digital enablement</t>
        </is>
      </c>
      <c r="C7" s="18" t="inlineStr">
        <is>
          <t>D08 vs D07</t>
        </is>
      </c>
      <c r="D7" s="18" t="inlineStr">
        <is>
          <t>D08 scores digital/data capability; D07 scores evidence quality.</t>
        </is>
      </c>
      <c r="E7" s="18" t="inlineStr">
        <is>
          <t>Availability of a system does not prove learning evidence quality.</t>
        </is>
      </c>
    </row>
    <row r="8">
      <c r="A8" s="18" t="inlineStr">
        <is>
          <t>DC07</t>
        </is>
      </c>
      <c r="B8" s="18" t="inlineStr">
        <is>
          <t>Research impact</t>
        </is>
      </c>
      <c r="C8" s="18" t="inlineStr">
        <is>
          <t>D10 vs D09</t>
        </is>
      </c>
      <c r="D8" s="18" t="inlineStr">
        <is>
          <t>D10 owns research/innovation value; D09 owns external employability/economic relevance.</t>
        </is>
      </c>
      <c r="E8" s="18" t="inlineStr">
        <is>
          <t>A research output is not automatically an employability outcome.</t>
        </is>
      </c>
    </row>
    <row r="9">
      <c r="A9" s="18" t="inlineStr">
        <is>
          <t>DC08</t>
        </is>
      </c>
      <c r="B9" s="18" t="inlineStr">
        <is>
          <t>Institutional adaptation</t>
        </is>
      </c>
      <c r="C9" s="18" t="inlineStr">
        <is>
          <t>D11 vs all domains</t>
        </is>
      </c>
      <c r="D9" s="18" t="inlineStr">
        <is>
          <t>D11 scores institutional ability to sense, decide, reallocate, experiment and learn.</t>
        </is>
      </c>
      <c r="E9" s="18" t="inlineStr">
        <is>
          <t>A local improvement does not automatically establish institutional adaptability.</t>
        </is>
      </c>
    </row>
  </sheetData>
  <autoFilter ref="A1:E9"/>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60" customWidth="1" min="3" max="3"/>
    <col width="25" customWidth="1" min="4" max="4"/>
    <col width="45" customWidth="1" min="5" max="5"/>
  </cols>
  <sheetData>
    <row r="1">
      <c r="A1" s="17" t="inlineStr">
        <is>
          <t>Diagnostic</t>
        </is>
      </c>
      <c r="B1" s="17" t="inlineStr">
        <is>
          <t>Definition</t>
        </is>
      </c>
      <c r="C1" s="17" t="inlineStr">
        <is>
          <t>How Triggered</t>
        </is>
      </c>
      <c r="D1" s="17" t="inlineStr">
        <is>
          <t>Score Effect</t>
        </is>
      </c>
      <c r="E1" s="17" t="inlineStr">
        <is>
          <t>Recommended Use</t>
        </is>
      </c>
    </row>
    <row r="2">
      <c r="A2" s="18" t="inlineStr">
        <is>
          <t>Institutional Coherence</t>
        </is>
      </c>
      <c r="B2" s="18" t="inlineStr">
        <is>
          <t>Degree to which linked domains support rather than contradict one another.</t>
        </is>
      </c>
      <c r="C2" s="18" t="inlineStr">
        <is>
          <t>Count HIGH contradictions and MEDIUM dependency gaps in P0-5_Contradiction_Engine.</t>
        </is>
      </c>
      <c r="D2" s="18" t="inlineStr">
        <is>
          <t>NO DIRECT SCORE EFFECT</t>
        </is>
      </c>
      <c r="E2" s="18" t="inlineStr">
        <is>
          <t>Prioritise verification/deep-dive.</t>
        </is>
      </c>
    </row>
    <row r="3">
      <c r="A3" s="18" t="inlineStr">
        <is>
          <t>Strategy-to-Execution Coherence</t>
        </is>
      </c>
      <c r="B3" s="18" t="inlineStr">
        <is>
          <t>Whether strategy claims are visible in governance, programmes, capability and adaptation.</t>
        </is>
      </c>
      <c r="C3" s="18" t="inlineStr">
        <is>
          <t>CD01–CD04 triggers.</t>
        </is>
      </c>
      <c r="D3" s="18" t="inlineStr">
        <is>
          <t>NO DIRECT SCORE EFFECT</t>
        </is>
      </c>
      <c r="E3" s="18" t="inlineStr">
        <is>
          <t>Board/leadership diagnosis.</t>
        </is>
      </c>
    </row>
    <row r="4">
      <c r="A4" s="18" t="inlineStr">
        <is>
          <t>Capability-to-Proof Coherence</t>
        </is>
      </c>
      <c r="B4" s="18" t="inlineStr">
        <is>
          <t>Whether intended human capabilities are operationalised and demonstrated.</t>
        </is>
      </c>
      <c r="C4" s="18" t="inlineStr">
        <is>
          <t>CD08–CD12 triggers.</t>
        </is>
      </c>
      <c r="D4" s="18" t="inlineStr">
        <is>
          <t>NO DIRECT SCORE EFFECT</t>
        </is>
      </c>
      <c r="E4" s="18" t="inlineStr">
        <is>
          <t>Curriculum/faculty/assessment diagnosis.</t>
        </is>
      </c>
    </row>
    <row r="5">
      <c r="A5" s="18" t="inlineStr">
        <is>
          <t>Capability-to-Career Coherence</t>
        </is>
      </c>
      <c r="B5" s="18" t="inlineStr">
        <is>
          <t>Whether student capability translates into external relevance and outcomes.</t>
        </is>
      </c>
      <c r="C5" s="18" t="inlineStr">
        <is>
          <t>CD13 and CD18 triggers.</t>
        </is>
      </c>
      <c r="D5" s="18" t="inlineStr">
        <is>
          <t>NO DIRECT SCORE EFFECT</t>
        </is>
      </c>
      <c r="E5" s="18" t="inlineStr">
        <is>
          <t>Employability diagnosis.</t>
        </is>
      </c>
    </row>
    <row r="6">
      <c r="A6" s="18" t="inlineStr">
        <is>
          <t>Intelligence-to-Action Coherence</t>
        </is>
      </c>
      <c r="B6" s="18" t="inlineStr">
        <is>
          <t>Whether data, employer, research and external signals lead to institutional action.</t>
        </is>
      </c>
      <c r="C6" s="18" t="inlineStr">
        <is>
          <t>CD14–CD16 and CD19–CD25 triggers.</t>
        </is>
      </c>
      <c r="D6" s="18" t="inlineStr">
        <is>
          <t>NO DIRECT SCORE EFFECT</t>
        </is>
      </c>
      <c r="E6" s="18" t="inlineStr">
        <is>
          <t>Transformation diagnosis.</t>
        </is>
      </c>
    </row>
    <row r="7">
      <c r="A7" s="18" t="inlineStr">
        <is>
          <t>Governance-to-Practice Coherence</t>
        </is>
      </c>
      <c r="B7" s="18" t="inlineStr">
        <is>
          <t>Whether policy/control architecture is visible in actual operational practice.</t>
        </is>
      </c>
      <c r="C7" s="18" t="inlineStr">
        <is>
          <t>CD05–CD07 triggers.</t>
        </is>
      </c>
      <c r="D7" s="18" t="inlineStr">
        <is>
          <t>NO DIRECT SCORE EFFECT</t>
        </is>
      </c>
      <c r="E7" s="18" t="inlineStr">
        <is>
          <t>Risk and assurance diagnosis.</t>
        </is>
      </c>
    </row>
  </sheetData>
  <autoFilter ref="A1:E7"/>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78" customWidth="1" min="3" max="3"/>
    <col width="48" customWidth="1" min="4" max="4"/>
  </cols>
  <sheetData>
    <row r="1">
      <c r="A1" s="17" t="inlineStr">
        <is>
          <t>Indicator</t>
        </is>
      </c>
      <c r="B1" s="17" t="inlineStr">
        <is>
          <t>Value</t>
        </is>
      </c>
      <c r="C1" s="17" t="inlineStr">
        <is>
          <t>Interpretation</t>
        </is>
      </c>
      <c r="D1" s="17" t="inlineStr">
        <is>
          <t>Action</t>
        </is>
      </c>
    </row>
    <row r="2">
      <c r="A2" s="18" t="inlineStr">
        <is>
          <t>Total linkage checks</t>
        </is>
      </c>
      <c r="B2" s="18">
        <f>COUNTA('P0-5_Contradiction_Engine'!A2:A5000)</f>
        <v/>
      </c>
      <c r="C2" s="18" t="inlineStr">
        <is>
          <t>All explicit metric-to-metric dependency checks generated.</t>
        </is>
      </c>
      <c r="D2" s="18" t="inlineStr">
        <is>
          <t>Review coverage; no score effect.</t>
        </is>
      </c>
    </row>
    <row r="3">
      <c r="A3" s="18" t="inlineStr">
        <is>
          <t>HIGH contradictions</t>
        </is>
      </c>
      <c r="B3" s="18">
        <f>COUNTIF('P0-5_Contradiction_Engine'!K2:K5000,"HIGH")</f>
        <v/>
      </c>
      <c r="C3" s="18" t="inlineStr">
        <is>
          <t>Strong upstream claim with materially weak linked downstream capability.</t>
        </is>
      </c>
      <c r="D3" s="18" t="inlineStr">
        <is>
          <t>Priority verification.</t>
        </is>
      </c>
    </row>
    <row r="4">
      <c r="A4" s="18" t="inlineStr">
        <is>
          <t>MEDIUM dependency gaps</t>
        </is>
      </c>
      <c r="B4" s="18">
        <f>COUNTIF('P0-5_Contradiction_Engine'!K2:K5000,"MEDIUM")</f>
        <v/>
      </c>
      <c r="C4" s="18" t="inlineStr">
        <is>
          <t>Upstream strength is not matched by downstream strength.</t>
        </is>
      </c>
      <c r="D4" s="18" t="inlineStr">
        <is>
          <t>Targeted deep-dive.</t>
        </is>
      </c>
    </row>
    <row r="5">
      <c r="A5" s="18" t="inlineStr">
        <is>
          <t>Incomplete linkage checks</t>
        </is>
      </c>
      <c r="B5" s="18">
        <f>COUNTIF('P0-5_Contradiction_Engine'!J2:J5000,"INCOMPLETE")</f>
        <v/>
      </c>
      <c r="C5" s="18" t="inlineStr">
        <is>
          <t>Insufficient score inputs for a cross-domain conclusion.</t>
        </is>
      </c>
      <c r="D5" s="18" t="inlineStr">
        <is>
          <t>Complete assessment; do not infer.</t>
        </is>
      </c>
    </row>
    <row r="6">
      <c r="A6" s="18" t="inlineStr">
        <is>
          <t>No-trigger checks</t>
        </is>
      </c>
      <c r="B6" s="18">
        <f>COUNTIF('P0-5_Contradiction_Engine'!J2:J5000,"NO TRIGGER")</f>
        <v/>
      </c>
      <c r="C6" s="18" t="inlineStr">
        <is>
          <t>Linked metrics currently show no contradiction/dependency trigger.</t>
        </is>
      </c>
      <c r="D6" s="18" t="inlineStr">
        <is>
          <t>No additional action from this rule.</t>
        </is>
      </c>
    </row>
    <row r="7">
      <c r="A7" s="18" t="inlineStr">
        <is>
          <t>Cross-domain integrity status</t>
        </is>
      </c>
      <c r="B7" s="18">
        <f>IF(B3&gt;0,"REVIEW REQUIRED",IF(B4&gt;0,"DATA COMPLETION REQUIRED","COHERENT — SUBJECT TO EVIDENCE"))</f>
        <v/>
      </c>
      <c r="C7" s="18" t="inlineStr">
        <is>
          <t>Diagnostic coherence status; not an accreditation result.</t>
        </is>
      </c>
      <c r="D7" s="18" t="inlineStr">
        <is>
          <t>Use with assessor judgement.</t>
        </is>
      </c>
    </row>
    <row r="8">
      <c r="A8" s="18" t="inlineStr">
        <is>
          <t>Score adjustment</t>
        </is>
      </c>
      <c r="B8" s="18">
        <f>0</f>
        <v/>
      </c>
      <c r="C8" s="18" t="inlineStr">
        <is>
          <t>Cross-domain rules never add or subtract ARUI score.</t>
        </is>
      </c>
      <c r="D8" s="18" t="inlineStr">
        <is>
          <t>Protect index integrity.</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8" customWidth="1" min="3" max="3"/>
    <col width="75" customWidth="1" min="4" max="4"/>
    <col width="45" customWidth="1" min="5" max="5"/>
  </cols>
  <sheetData>
    <row r="1">
      <c r="A1" s="17" t="inlineStr">
        <is>
          <t>Gate</t>
        </is>
      </c>
      <c r="B1" s="17" t="inlineStr">
        <is>
          <t>Requirement</t>
        </is>
      </c>
      <c r="C1" s="17" t="inlineStr">
        <is>
          <t>Status</t>
        </is>
      </c>
      <c r="D1" s="17" t="inlineStr">
        <is>
          <t>Test / Evidence</t>
        </is>
      </c>
      <c r="E1" s="17" t="inlineStr">
        <is>
          <t>Release Rule</t>
        </is>
      </c>
    </row>
    <row r="2">
      <c r="A2" s="18" t="inlineStr">
        <is>
          <t>P0-5-G01</t>
        </is>
      </c>
      <c r="B2" s="18" t="inlineStr">
        <is>
          <t>Every cross-domain relationship has explicit metric-level linkage</t>
        </is>
      </c>
      <c r="C2" s="18" t="inlineStr">
        <is>
          <t>PASS</t>
        </is>
      </c>
      <c r="D2" s="18" t="inlineStr">
        <is>
          <t>413 metric-pair link rows generated from 25 canonical rules.</t>
        </is>
      </c>
      <c r="E2" s="18" t="inlineStr">
        <is>
          <t>Required before P0-5 release.</t>
        </is>
      </c>
    </row>
    <row r="3">
      <c r="A3" s="18" t="inlineStr">
        <is>
          <t>P0-5-G02</t>
        </is>
      </c>
      <c r="B3" s="18" t="inlineStr">
        <is>
          <t>Contradiction logic is executable</t>
        </is>
      </c>
      <c r="C3" s="18" t="inlineStr">
        <is>
          <t>PASS</t>
        </is>
      </c>
      <c r="D3" s="18" t="inlineStr">
        <is>
          <t>Each linked metric pair has formula-based contradiction/dependency trigger.</t>
        </is>
      </c>
      <c r="E3" s="18" t="inlineStr">
        <is>
          <t>Required before P0-5 release.</t>
        </is>
      </c>
    </row>
    <row r="4">
      <c r="A4" s="18" t="inlineStr">
        <is>
          <t>P0-5-G03</t>
        </is>
      </c>
      <c r="B4" s="18" t="inlineStr">
        <is>
          <t>Cross-domain rules do not alter metric/domain scores</t>
        </is>
      </c>
      <c r="C4" s="18" t="inlineStr">
        <is>
          <t>PASS</t>
        </is>
      </c>
      <c r="D4" s="18" t="inlineStr">
        <is>
          <t>Diagnostic sheets contain no score-adjustment formulas; explicit Score adjustment = 0.</t>
        </is>
      </c>
      <c r="E4" s="18" t="inlineStr">
        <is>
          <t>Non-negotiable.</t>
        </is>
      </c>
    </row>
    <row r="5">
      <c r="A5" s="18" t="inlineStr">
        <is>
          <t>P0-5-G04</t>
        </is>
      </c>
      <c r="B5" s="18" t="inlineStr">
        <is>
          <t>Double-count boundaries are explicit</t>
        </is>
      </c>
      <c r="C5" s="18" t="inlineStr">
        <is>
          <t>PASS</t>
        </is>
      </c>
      <c r="D5" s="18" t="inlineStr">
        <is>
          <t>Eight canonical protection rules.</t>
        </is>
      </c>
      <c r="E5" s="18" t="inlineStr">
        <is>
          <t>Required before P0-5 release.</t>
        </is>
      </c>
    </row>
    <row r="6">
      <c r="A6" s="18" t="inlineStr">
        <is>
          <t>P0-5-G05</t>
        </is>
      </c>
      <c r="B6" s="18" t="inlineStr">
        <is>
          <t>Incomplete inputs are not inferred</t>
        </is>
      </c>
      <c r="C6" s="18" t="inlineStr">
        <is>
          <t>PASS</t>
        </is>
      </c>
      <c r="D6" s="18" t="inlineStr">
        <is>
          <t>INCOMPLETE is explicit state; no automatic score substitution.</t>
        </is>
      </c>
      <c r="E6" s="18" t="inlineStr">
        <is>
          <t>Non-negotiable.</t>
        </is>
      </c>
    </row>
    <row r="7">
      <c r="A7" s="18" t="inlineStr">
        <is>
          <t>P0-5-G06</t>
        </is>
      </c>
      <c r="B7" s="18" t="inlineStr">
        <is>
          <t>Empirical validation</t>
        </is>
      </c>
      <c r="C7" s="18" t="inlineStr">
        <is>
          <t>PENDING</t>
        </is>
      </c>
      <c r="D7" s="18" t="inlineStr">
        <is>
          <t>Pilot, assessor calibration, inter-rater/test-retest and known-groups validation remain necessary.</t>
        </is>
      </c>
      <c r="E7" s="18" t="inlineStr">
        <is>
          <t>Do not claim validated public benchmark.</t>
        </is>
      </c>
    </row>
  </sheetData>
  <autoFilter ref="A1:E7"/>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7" t="inlineStr">
        <is>
          <t>Item</t>
        </is>
      </c>
      <c r="B1" s="17" t="inlineStr">
        <is>
          <t>Specification</t>
        </is>
      </c>
    </row>
    <row r="2">
      <c r="A2" s="18" t="inlineStr">
        <is>
          <t>Purpose</t>
        </is>
      </c>
      <c r="B2" s="18" t="inlineStr">
        <is>
          <t>Convert the 11-domain model from parallel scoring into an institutional coherence and contradiction-detection engine.</t>
        </is>
      </c>
    </row>
    <row r="3">
      <c r="A3" s="18" t="inlineStr">
        <is>
          <t>Core principle</t>
        </is>
      </c>
      <c r="B3" s="18" t="inlineStr">
        <is>
          <t>Cross-domain intelligence diagnoses contradictions/dependencies; it does not directly change scores.</t>
        </is>
      </c>
    </row>
    <row r="4">
      <c r="A4" s="18" t="inlineStr">
        <is>
          <t>Trigger tiers</t>
        </is>
      </c>
      <c r="B4" s="18" t="inlineStr">
        <is>
          <t>CONTRADICTION = upstream metric score ≥80 and linked downstream score &lt;50. DEPENDENCY GAP = upstream ≥70 and downstream &lt;70. REQUIRED MATURITY GAP = upstream ≥70 while downstream maturity is below its context-derived required maturity.</t>
        </is>
      </c>
    </row>
    <row r="5">
      <c r="A5" s="18" t="inlineStr">
        <is>
          <t>Incomplete handling</t>
        </is>
      </c>
      <c r="B5" s="18" t="inlineStr">
        <is>
          <t>If required score inputs are absent, status is INCOMPLETE. The engine never treats missing evidence as contradiction.</t>
        </is>
      </c>
    </row>
    <row r="6">
      <c r="A6" s="18" t="inlineStr">
        <is>
          <t>Double counting</t>
        </is>
      </c>
      <c r="B6" s="18" t="inlineStr">
        <is>
          <t>Shared events remain owned by the canonical domain boundary. Cross-domain evidence can validate relationships without being counted twice.</t>
        </is>
      </c>
    </row>
    <row r="7">
      <c r="A7" s="18" t="inlineStr">
        <is>
          <t>Evidence logic</t>
        </is>
      </c>
      <c r="B7" s="18" t="inlineStr">
        <is>
          <t>The cross-domain engine uses the scorecard outputs; evidence confidence remains separate from capability score. High-confidence contradiction conclusions still require assessor verification.</t>
        </is>
      </c>
    </row>
    <row r="8">
      <c r="A8" s="18" t="inlineStr">
        <is>
          <t>No score manipulation</t>
        </is>
      </c>
      <c r="B8" s="18" t="inlineStr">
        <is>
          <t>No bonus, penalty or automatic redistribution is applied from cross-domain flags. The purpose is diagnostic integrity and targeted verification.</t>
        </is>
      </c>
    </row>
    <row r="9">
      <c r="A9" s="18" t="inlineStr">
        <is>
          <t>Validation requirement</t>
        </is>
      </c>
      <c r="B9" s="18" t="inlineStr">
        <is>
          <t>Thresholds and linkage pairs are methodology synthesis and must be pilot-tested for sensitivity, false positives, assessor agreement and usefulness.</t>
        </is>
      </c>
    </row>
  </sheetData>
  <autoFilter ref="A1:B9"/>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75" customWidth="1" min="2" max="2"/>
    <col width="70" customWidth="1" min="3" max="3"/>
  </cols>
  <sheetData>
    <row r="1">
      <c r="A1" s="17" t="inlineStr">
        <is>
          <t>Version</t>
        </is>
      </c>
      <c r="B1" s="17" t="inlineStr">
        <is>
          <t>Change</t>
        </is>
      </c>
      <c r="C1" s="17" t="inlineStr">
        <is>
          <t>Reason</t>
        </is>
      </c>
    </row>
    <row r="2">
      <c r="A2" s="18" t="inlineStr">
        <is>
          <t>P0-5</t>
        </is>
      </c>
      <c r="B2" s="18" t="inlineStr">
        <is>
          <t>Added 25 canonical cross-domain rules with metric-level executable linkages.</t>
        </is>
      </c>
      <c r="C2" s="18" t="inlineStr">
        <is>
          <t>Convert narrative relationships into executable diagnostics.</t>
        </is>
      </c>
    </row>
    <row r="3">
      <c r="A3" s="18" t="inlineStr">
        <is>
          <t>P0-5</t>
        </is>
      </c>
      <c r="B3" s="18" t="inlineStr">
        <is>
          <t>Added contradiction, dependency and required-maturity-gap detection.</t>
        </is>
      </c>
      <c r="C3" s="18" t="inlineStr">
        <is>
          <t>Detect unsupported institutional claims and downstream capability gaps.</t>
        </is>
      </c>
    </row>
    <row r="4">
      <c r="A4" s="18" t="inlineStr">
        <is>
          <t>P0-5</t>
        </is>
      </c>
      <c r="B4" s="18" t="inlineStr">
        <is>
          <t>Added double-count protection matrix.</t>
        </is>
      </c>
      <c r="C4" s="18" t="inlineStr">
        <is>
          <t>Prevent the same event/evidence from inflating multiple domains.</t>
        </is>
      </c>
    </row>
    <row r="5">
      <c r="A5" s="18" t="inlineStr">
        <is>
          <t>P0-5</t>
        </is>
      </c>
      <c r="B5" s="18" t="inlineStr">
        <is>
          <t>Added executive diagnostic summary and acceptance gates.</t>
        </is>
      </c>
      <c r="C5" s="18" t="inlineStr">
        <is>
          <t>Make the engine usable for assessor/leadership diagnosis while keeping scoring independent.</t>
        </is>
      </c>
    </row>
  </sheetData>
  <autoFilter ref="A1:C5"/>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R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46" customWidth="1" min="3" max="3"/>
    <col width="37" customWidth="1" min="4" max="4"/>
    <col width="24" customWidth="1" min="5" max="5"/>
    <col width="47"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4" customWidth="1" min="15" max="15"/>
    <col width="55" customWidth="1" min="16" max="16"/>
    <col width="32" customWidth="1" min="17" max="17"/>
    <col width="12" customWidth="1" min="18" max="18"/>
  </cols>
  <sheetData>
    <row r="1">
      <c r="A1" s="19" t="inlineStr">
        <is>
          <t>Domain</t>
        </is>
      </c>
      <c r="B1" s="19" t="inlineStr">
        <is>
          <t>Metric ID</t>
        </is>
      </c>
      <c r="C1" s="19" t="inlineStr">
        <is>
          <t>Metric</t>
        </is>
      </c>
      <c r="D1" s="19" t="inlineStr">
        <is>
          <t>Evidence Gate</t>
        </is>
      </c>
      <c r="E1" s="19" t="inlineStr">
        <is>
          <t>Minimum Evidence Level</t>
        </is>
      </c>
      <c r="F1" s="19" t="inlineStr">
        <is>
          <t>Primary Evidence Type</t>
        </is>
      </c>
      <c r="G1" s="19" t="inlineStr">
        <is>
          <t>Required Evidence</t>
        </is>
      </c>
      <c r="H1" s="19" t="inlineStr">
        <is>
          <t>Recency Rule</t>
        </is>
      </c>
      <c r="I1" s="19" t="inlineStr">
        <is>
          <t>Triangulation Rule</t>
        </is>
      </c>
      <c r="J1" s="19" t="inlineStr">
        <is>
          <t>Independence Rule</t>
        </is>
      </c>
      <c r="K1" s="19" t="inlineStr">
        <is>
          <t>Evidence Reuse Rule</t>
        </is>
      </c>
      <c r="L1" s="19" t="inlineStr">
        <is>
          <t>Temporal Validity</t>
        </is>
      </c>
      <c r="M1" s="19" t="inlineStr">
        <is>
          <t>Outcome Evidence Eligibility</t>
        </is>
      </c>
      <c r="N1" s="19" t="inlineStr">
        <is>
          <t>Anti-Gaming Test</t>
        </is>
      </c>
      <c r="O1" s="19" t="inlineStr">
        <is>
          <t>Cross-Domain Consistency</t>
        </is>
      </c>
      <c r="P1" s="19" t="inlineStr">
        <is>
          <t>Confidence Output</t>
        </is>
      </c>
      <c r="Q1" s="19" t="inlineStr">
        <is>
          <t>Owner</t>
        </is>
      </c>
      <c r="R1" s="19" t="inlineStr">
        <is>
          <t>Status</t>
        </is>
      </c>
    </row>
    <row r="2">
      <c r="A2" t="inlineStr">
        <is>
          <t>D01</t>
        </is>
      </c>
      <c r="B2" t="inlineStr">
        <is>
          <t>I01</t>
        </is>
      </c>
      <c r="C2" t="inlineStr">
        <is>
          <t>Strategic AI Integration</t>
        </is>
      </c>
      <c r="D2" t="inlineStr">
        <is>
          <t>Required for validated metric score</t>
        </is>
      </c>
      <c r="E2" t="inlineStr">
        <is>
          <t>E1</t>
        </is>
      </c>
      <c r="F2" t="inlineStr">
        <is>
          <t>Institutional artifact + operational evidence</t>
        </is>
      </c>
      <c r="G2" t="inlineStr">
        <is>
          <t>Evidence must directly substantiate the construct; prefer operational and outcome evidence where logically applicable</t>
        </is>
      </c>
      <c r="H2" t="inlineStr">
        <is>
          <t>Current assessment cycle preferred; stale evidence requires justification</t>
        </is>
      </c>
      <c r="I2" t="inlineStr">
        <is>
          <t>2 corroborating sources for high-consequence or high-score claims</t>
        </is>
      </c>
      <c r="J2" t="inlineStr">
        <is>
          <t>Independent source preferred for E3/E4 and high-score claims</t>
        </is>
      </c>
      <c r="K2" t="inlineStr">
        <is>
          <t>Reuse allowed only with construct-specific field mapping; otherwise flag</t>
        </is>
      </c>
      <c r="L2" t="inlineStr">
        <is>
          <t>Policy/ops 12–24 months; outcomes 24–36 months unless metric-specific</t>
        </is>
      </c>
      <c r="M2" t="inlineStr">
        <is>
          <t>Only where observable outcome logically belongs to the construct</t>
        </is>
      </c>
      <c r="N2" t="inlineStr">
        <is>
          <t>Claim-only, policy-only, duplicate or unverifiable evidence cannot create strong confidence</t>
        </is>
      </c>
      <c r="O2" t="inlineStr">
        <is>
          <t>Check P0-5 linked-domain contradictions/dependencies</t>
        </is>
      </c>
      <c r="P2" t="inlineStr">
        <is>
          <t>Report confidence separately; never multiply capability score by confidence</t>
        </is>
      </c>
      <c r="Q2" t="inlineStr">
        <is>
          <t>Assessment / Verification Lead</t>
        </is>
      </c>
      <c r="R2" t="inlineStr">
        <is>
          <t>GREEN</t>
        </is>
      </c>
    </row>
    <row r="3">
      <c r="A3" t="inlineStr">
        <is>
          <t>D01</t>
        </is>
      </c>
      <c r="B3" t="inlineStr">
        <is>
          <t>I02</t>
        </is>
      </c>
      <c r="C3" t="inlineStr">
        <is>
          <t>Future Foresight Maturity</t>
        </is>
      </c>
      <c r="D3" t="inlineStr">
        <is>
          <t>Required for validated metric score</t>
        </is>
      </c>
      <c r="E3" t="inlineStr">
        <is>
          <t>E1</t>
        </is>
      </c>
      <c r="F3" t="inlineStr">
        <is>
          <t>Institutional artifact + operational evidence</t>
        </is>
      </c>
      <c r="G3" t="inlineStr">
        <is>
          <t>Evidence must directly substantiate the construct; prefer operational and outcome evidence where logically applicable</t>
        </is>
      </c>
      <c r="H3" t="inlineStr">
        <is>
          <t>Current assessment cycle preferred; stale evidence requires justification</t>
        </is>
      </c>
      <c r="I3" t="inlineStr">
        <is>
          <t>2 corroborating sources for high-consequence or high-score claims</t>
        </is>
      </c>
      <c r="J3" t="inlineStr">
        <is>
          <t>Independent source preferred for E3/E4 and high-score claims</t>
        </is>
      </c>
      <c r="K3" t="inlineStr">
        <is>
          <t>Reuse allowed only with construct-specific field mapping; otherwise flag</t>
        </is>
      </c>
      <c r="L3" t="inlineStr">
        <is>
          <t>Policy/ops 12–24 months; outcomes 24–36 months unless metric-specific</t>
        </is>
      </c>
      <c r="M3" t="inlineStr">
        <is>
          <t>Only where observable outcome logically belongs to the construct</t>
        </is>
      </c>
      <c r="N3" t="inlineStr">
        <is>
          <t>Claim-only, policy-only, duplicate or unverifiable evidence cannot create strong confidence</t>
        </is>
      </c>
      <c r="O3" t="inlineStr">
        <is>
          <t>Check P0-5 linked-domain contradictions/dependencies</t>
        </is>
      </c>
      <c r="P3" t="inlineStr">
        <is>
          <t>Report confidence separately; never multiply capability score by confidence</t>
        </is>
      </c>
      <c r="Q3" t="inlineStr">
        <is>
          <t>Assessment / Verification Lead</t>
        </is>
      </c>
      <c r="R3" t="inlineStr">
        <is>
          <t>GREEN</t>
        </is>
      </c>
    </row>
    <row r="4">
      <c r="A4" t="inlineStr">
        <is>
          <t>D01</t>
        </is>
      </c>
      <c r="B4" t="inlineStr">
        <is>
          <t>I03</t>
        </is>
      </c>
      <c r="C4" t="inlineStr">
        <is>
          <t>Strategic Translation Rate</t>
        </is>
      </c>
      <c r="D4" t="inlineStr">
        <is>
          <t>Required for validated metric score</t>
        </is>
      </c>
      <c r="E4" t="inlineStr">
        <is>
          <t>E1</t>
        </is>
      </c>
      <c r="F4" t="inlineStr">
        <is>
          <t>Institutional artifact + operational evidence</t>
        </is>
      </c>
      <c r="G4" t="inlineStr">
        <is>
          <t>Evidence must directly substantiate the construct; prefer operational and outcome evidence where logically applicable</t>
        </is>
      </c>
      <c r="H4" t="inlineStr">
        <is>
          <t>Current assessment cycle preferred; stale evidence requires justification</t>
        </is>
      </c>
      <c r="I4" t="inlineStr">
        <is>
          <t>2 corroborating sources for high-consequence or high-score claims</t>
        </is>
      </c>
      <c r="J4" t="inlineStr">
        <is>
          <t>Independent source preferred for E3/E4 and high-score claims</t>
        </is>
      </c>
      <c r="K4" t="inlineStr">
        <is>
          <t>Reuse allowed only with construct-specific field mapping; otherwise flag</t>
        </is>
      </c>
      <c r="L4" t="inlineStr">
        <is>
          <t>Policy/ops 12–24 months; outcomes 24–36 months unless metric-specific</t>
        </is>
      </c>
      <c r="M4" t="inlineStr">
        <is>
          <t>Only where observable outcome logically belongs to the construct</t>
        </is>
      </c>
      <c r="N4" t="inlineStr">
        <is>
          <t>Claim-only, policy-only, duplicate or unverifiable evidence cannot create strong confidence</t>
        </is>
      </c>
      <c r="O4" t="inlineStr">
        <is>
          <t>Check P0-5 linked-domain contradictions/dependencies</t>
        </is>
      </c>
      <c r="P4" t="inlineStr">
        <is>
          <t>Report confidence separately; never multiply capability score by confidence</t>
        </is>
      </c>
      <c r="Q4" t="inlineStr">
        <is>
          <t>Assessment / Verification Lead</t>
        </is>
      </c>
      <c r="R4" t="inlineStr">
        <is>
          <t>GREEN</t>
        </is>
      </c>
    </row>
    <row r="5">
      <c r="A5" t="inlineStr">
        <is>
          <t>D01</t>
        </is>
      </c>
      <c r="B5" t="inlineStr">
        <is>
          <t>I04</t>
        </is>
      </c>
      <c r="C5" t="inlineStr">
        <is>
          <t>Programme Future-Review Coverage</t>
        </is>
      </c>
      <c r="D5" t="inlineStr">
        <is>
          <t>Required for validated metric score</t>
        </is>
      </c>
      <c r="E5" t="inlineStr">
        <is>
          <t>E1</t>
        </is>
      </c>
      <c r="F5" t="inlineStr">
        <is>
          <t>Institutional artifact + operational evidence</t>
        </is>
      </c>
      <c r="G5" t="inlineStr">
        <is>
          <t>Evidence must directly substantiate the construct; prefer operational and outcome evidence where logically applicable</t>
        </is>
      </c>
      <c r="H5" t="inlineStr">
        <is>
          <t>Current assessment cycle preferred; stale evidence requires justification</t>
        </is>
      </c>
      <c r="I5" t="inlineStr">
        <is>
          <t>2 corroborating sources for high-consequence or high-score claims</t>
        </is>
      </c>
      <c r="J5" t="inlineStr">
        <is>
          <t>Independent source preferred for E3/E4 and high-score claims</t>
        </is>
      </c>
      <c r="K5" t="inlineStr">
        <is>
          <t>Reuse allowed only with construct-specific field mapping; otherwise flag</t>
        </is>
      </c>
      <c r="L5" t="inlineStr">
        <is>
          <t>Policy/ops 12–24 months; outcomes 24–36 months unless metric-specific</t>
        </is>
      </c>
      <c r="M5" t="inlineStr">
        <is>
          <t>Only where observable outcome logically belongs to the construct</t>
        </is>
      </c>
      <c r="N5" t="inlineStr">
        <is>
          <t>Claim-only, policy-only, duplicate or unverifiable evidence cannot create strong confidence</t>
        </is>
      </c>
      <c r="O5" t="inlineStr">
        <is>
          <t>Check P0-5 linked-domain contradictions/dependencies</t>
        </is>
      </c>
      <c r="P5" t="inlineStr">
        <is>
          <t>Report confidence separately; never multiply capability score by confidence</t>
        </is>
      </c>
      <c r="Q5" t="inlineStr">
        <is>
          <t>Assessment / Verification Lead</t>
        </is>
      </c>
      <c r="R5" t="inlineStr">
        <is>
          <t>GREEN</t>
        </is>
      </c>
    </row>
    <row r="6">
      <c r="A6" t="inlineStr">
        <is>
          <t>D01</t>
        </is>
      </c>
      <c r="B6" t="inlineStr">
        <is>
          <t>I05</t>
        </is>
      </c>
      <c r="C6" t="inlineStr">
        <is>
          <t>Strategic Differentiation Clarity</t>
        </is>
      </c>
      <c r="D6" t="inlineStr">
        <is>
          <t>Required for validated metric score</t>
        </is>
      </c>
      <c r="E6" t="inlineStr">
        <is>
          <t>E1</t>
        </is>
      </c>
      <c r="F6" t="inlineStr">
        <is>
          <t>Institutional artifact + operational evidence</t>
        </is>
      </c>
      <c r="G6" t="inlineStr">
        <is>
          <t>Evidence must directly substantiate the construct; prefer operational and outcome evidence where logically applicable</t>
        </is>
      </c>
      <c r="H6" t="inlineStr">
        <is>
          <t>Current assessment cycle preferred; stale evidence requires justification</t>
        </is>
      </c>
      <c r="I6" t="inlineStr">
        <is>
          <t>2 corroborating sources for high-consequence or high-score claims</t>
        </is>
      </c>
      <c r="J6" t="inlineStr">
        <is>
          <t>Independent source preferred for E3/E4 and high-score claims</t>
        </is>
      </c>
      <c r="K6" t="inlineStr">
        <is>
          <t>Reuse allowed only with construct-specific field mapping; otherwise flag</t>
        </is>
      </c>
      <c r="L6" t="inlineStr">
        <is>
          <t>Policy/ops 12–24 months; outcomes 24–36 months unless metric-specific</t>
        </is>
      </c>
      <c r="M6" t="inlineStr">
        <is>
          <t>Only where observable outcome logically belongs to the construct</t>
        </is>
      </c>
      <c r="N6" t="inlineStr">
        <is>
          <t>Claim-only, policy-only, duplicate or unverifiable evidence cannot create strong confidence</t>
        </is>
      </c>
      <c r="O6" t="inlineStr">
        <is>
          <t>Check P0-5 linked-domain contradictions/dependencies</t>
        </is>
      </c>
      <c r="P6" t="inlineStr">
        <is>
          <t>Report confidence separately; never multiply capability score by confidence</t>
        </is>
      </c>
      <c r="Q6" t="inlineStr">
        <is>
          <t>Assessment / Verification Lead</t>
        </is>
      </c>
      <c r="R6" t="inlineStr">
        <is>
          <t>GREEN</t>
        </is>
      </c>
    </row>
    <row r="7">
      <c r="A7" t="inlineStr">
        <is>
          <t>D01</t>
        </is>
      </c>
      <c r="B7" t="inlineStr">
        <is>
          <t>I06</t>
        </is>
      </c>
      <c r="C7" t="inlineStr">
        <is>
          <t>Foresight Response Architecture</t>
        </is>
      </c>
      <c r="D7" t="inlineStr">
        <is>
          <t>Required for validated metric score</t>
        </is>
      </c>
      <c r="E7" t="inlineStr">
        <is>
          <t>E1</t>
        </is>
      </c>
      <c r="F7" t="inlineStr">
        <is>
          <t>Institutional artifact + operational evidence</t>
        </is>
      </c>
      <c r="G7" t="inlineStr">
        <is>
          <t>Evidence must directly substantiate the construct; prefer operational and outcome evidence where logically applicable</t>
        </is>
      </c>
      <c r="H7" t="inlineStr">
        <is>
          <t>Current assessment cycle preferred; stale evidence requires justification</t>
        </is>
      </c>
      <c r="I7" t="inlineStr">
        <is>
          <t>2 corroborating sources for high-consequence or high-score claims</t>
        </is>
      </c>
      <c r="J7" t="inlineStr">
        <is>
          <t>Independent source preferred for E3/E4 and high-score claims</t>
        </is>
      </c>
      <c r="K7" t="inlineStr">
        <is>
          <t>Reuse allowed only with construct-specific field mapping; otherwise flag</t>
        </is>
      </c>
      <c r="L7" t="inlineStr">
        <is>
          <t>Policy/ops 12–24 months; outcomes 24–36 months unless metric-specific</t>
        </is>
      </c>
      <c r="M7" t="inlineStr">
        <is>
          <t>Only where observable outcome logically belongs to the construct</t>
        </is>
      </c>
      <c r="N7" t="inlineStr">
        <is>
          <t>Claim-only, policy-only, duplicate or unverifiable evidence cannot create strong confidence</t>
        </is>
      </c>
      <c r="O7" t="inlineStr">
        <is>
          <t>Check P0-5 linked-domain contradictions/dependencies</t>
        </is>
      </c>
      <c r="P7" t="inlineStr">
        <is>
          <t>Report confidence separately; never multiply capability score by confidence</t>
        </is>
      </c>
      <c r="Q7" t="inlineStr">
        <is>
          <t>Assessment / Verification Lead</t>
        </is>
      </c>
      <c r="R7" t="inlineStr">
        <is>
          <t>GREEN</t>
        </is>
      </c>
    </row>
    <row r="8">
      <c r="A8" t="inlineStr">
        <is>
          <t>D01</t>
        </is>
      </c>
      <c r="B8" t="inlineStr">
        <is>
          <t>I07</t>
        </is>
      </c>
      <c r="C8" t="inlineStr">
        <is>
          <t>Resource Alignment</t>
        </is>
      </c>
      <c r="D8" t="inlineStr">
        <is>
          <t>Required for validated metric score</t>
        </is>
      </c>
      <c r="E8" t="inlineStr">
        <is>
          <t>E1</t>
        </is>
      </c>
      <c r="F8" t="inlineStr">
        <is>
          <t>Institutional artifact + operational evidence</t>
        </is>
      </c>
      <c r="G8" t="inlineStr">
        <is>
          <t>Evidence must directly substantiate the construct; prefer operational and outcome evidence where logically applicable</t>
        </is>
      </c>
      <c r="H8" t="inlineStr">
        <is>
          <t>Current assessment cycle preferred; stale evidence requires justification</t>
        </is>
      </c>
      <c r="I8" t="inlineStr">
        <is>
          <t>2 corroborating sources for high-consequence or high-score claims</t>
        </is>
      </c>
      <c r="J8" t="inlineStr">
        <is>
          <t>Independent source preferred for E3/E4 and high-score claims</t>
        </is>
      </c>
      <c r="K8" t="inlineStr">
        <is>
          <t>Reuse allowed only with construct-specific field mapping; otherwise flag</t>
        </is>
      </c>
      <c r="L8" t="inlineStr">
        <is>
          <t>Policy/ops 12–24 months; outcomes 24–36 months unless metric-specific</t>
        </is>
      </c>
      <c r="M8" t="inlineStr">
        <is>
          <t>Only where observable outcome logically belongs to the construct</t>
        </is>
      </c>
      <c r="N8" t="inlineStr">
        <is>
          <t>Claim-only, policy-only, duplicate or unverifiable evidence cannot create strong confidence</t>
        </is>
      </c>
      <c r="O8" t="inlineStr">
        <is>
          <t>Check P0-5 linked-domain contradictions/dependencies</t>
        </is>
      </c>
      <c r="P8" t="inlineStr">
        <is>
          <t>Report confidence separately; never multiply capability score by confidence</t>
        </is>
      </c>
      <c r="Q8" t="inlineStr">
        <is>
          <t>Assessment / Verification Lead</t>
        </is>
      </c>
      <c r="R8" t="inlineStr">
        <is>
          <t>GREEN</t>
        </is>
      </c>
    </row>
    <row r="9">
      <c r="A9" t="inlineStr">
        <is>
          <t>D01</t>
        </is>
      </c>
      <c r="B9" t="inlineStr">
        <is>
          <t>I08</t>
        </is>
      </c>
      <c r="C9" t="inlineStr">
        <is>
          <t>Leadership Alignment</t>
        </is>
      </c>
      <c r="D9" t="inlineStr">
        <is>
          <t>Required for validated metric score</t>
        </is>
      </c>
      <c r="E9" t="inlineStr">
        <is>
          <t>E1</t>
        </is>
      </c>
      <c r="F9" t="inlineStr">
        <is>
          <t>Institutional artifact + operational evidence</t>
        </is>
      </c>
      <c r="G9" t="inlineStr">
        <is>
          <t>Evidence must directly substantiate the construct; prefer operational and outcome evidence where logically applicable</t>
        </is>
      </c>
      <c r="H9" t="inlineStr">
        <is>
          <t>Current assessment cycle preferred; stale evidence requires justification</t>
        </is>
      </c>
      <c r="I9" t="inlineStr">
        <is>
          <t>2 corroborating sources for high-consequence or high-score claims</t>
        </is>
      </c>
      <c r="J9" t="inlineStr">
        <is>
          <t>Independent source preferred for E3/E4 and high-score claims</t>
        </is>
      </c>
      <c r="K9" t="inlineStr">
        <is>
          <t>Reuse allowed only with construct-specific field mapping; otherwise flag</t>
        </is>
      </c>
      <c r="L9" t="inlineStr">
        <is>
          <t>Policy/ops 12–24 months; outcomes 24–36 months unless metric-specific</t>
        </is>
      </c>
      <c r="M9" t="inlineStr">
        <is>
          <t>Only where observable outcome logically belongs to the construct</t>
        </is>
      </c>
      <c r="N9" t="inlineStr">
        <is>
          <t>Claim-only, policy-only, duplicate or unverifiable evidence cannot create strong confidence</t>
        </is>
      </c>
      <c r="O9" t="inlineStr">
        <is>
          <t>Check P0-5 linked-domain contradictions/dependencies</t>
        </is>
      </c>
      <c r="P9" t="inlineStr">
        <is>
          <t>Report confidence separately; never multiply capability score by confidence</t>
        </is>
      </c>
      <c r="Q9" t="inlineStr">
        <is>
          <t>Assessment / Verification Lead</t>
        </is>
      </c>
      <c r="R9" t="inlineStr">
        <is>
          <t>GREEN</t>
        </is>
      </c>
    </row>
    <row r="10">
      <c r="A10" t="inlineStr">
        <is>
          <t>D01</t>
        </is>
      </c>
      <c r="B10" t="inlineStr">
        <is>
          <t>I09</t>
        </is>
      </c>
      <c r="C10" t="inlineStr">
        <is>
          <t>Experimentation Effectiveness</t>
        </is>
      </c>
      <c r="D10" t="inlineStr">
        <is>
          <t>Required for validated metric score</t>
        </is>
      </c>
      <c r="E10" t="inlineStr">
        <is>
          <t>E1</t>
        </is>
      </c>
      <c r="F10" t="inlineStr">
        <is>
          <t>Institutional artifact + operational evidence</t>
        </is>
      </c>
      <c r="G10" t="inlineStr">
        <is>
          <t>Evidence must directly substantiate the construct; prefer operational and outcome evidence where logically applicable</t>
        </is>
      </c>
      <c r="H10" t="inlineStr">
        <is>
          <t>Current assessment cycle preferred; stale evidence requires justification</t>
        </is>
      </c>
      <c r="I10" t="inlineStr">
        <is>
          <t>2 corroborating sources for high-consequence or high-score claims</t>
        </is>
      </c>
      <c r="J10" t="inlineStr">
        <is>
          <t>Independent source preferred for E3/E4 and high-score claims</t>
        </is>
      </c>
      <c r="K10" t="inlineStr">
        <is>
          <t>Reuse allowed only with construct-specific field mapping; otherwise flag</t>
        </is>
      </c>
      <c r="L10" t="inlineStr">
        <is>
          <t>Policy/ops 12–24 months; outcomes 24–36 months unless metric-specific</t>
        </is>
      </c>
      <c r="M10" t="inlineStr">
        <is>
          <t>Only where observable outcome logically belongs to the construct</t>
        </is>
      </c>
      <c r="N10" t="inlineStr">
        <is>
          <t>Claim-only, policy-only, duplicate or unverifiable evidence cannot create strong confidence</t>
        </is>
      </c>
      <c r="O10" t="inlineStr">
        <is>
          <t>Check P0-5 linked-domain contradictions/dependencies</t>
        </is>
      </c>
      <c r="P10" t="inlineStr">
        <is>
          <t>Report confidence separately; never multiply capability score by confidence</t>
        </is>
      </c>
      <c r="Q10" t="inlineStr">
        <is>
          <t>Assessment / Verification Lead</t>
        </is>
      </c>
      <c r="R10" t="inlineStr">
        <is>
          <t>GREEN</t>
        </is>
      </c>
    </row>
    <row r="11">
      <c r="A11" t="inlineStr">
        <is>
          <t>D01</t>
        </is>
      </c>
      <c r="B11" t="inlineStr">
        <is>
          <t>I10</t>
        </is>
      </c>
      <c r="C11" t="inlineStr">
        <is>
          <t>Strategic Learning Rate</t>
        </is>
      </c>
      <c r="D11" t="inlineStr">
        <is>
          <t>Required for validated metric score</t>
        </is>
      </c>
      <c r="E11" t="inlineStr">
        <is>
          <t>E1</t>
        </is>
      </c>
      <c r="F11" t="inlineStr">
        <is>
          <t>Institutional artifact + operational evidence</t>
        </is>
      </c>
      <c r="G11" t="inlineStr">
        <is>
          <t>Evidence must directly substantiate the construct; prefer operational and outcome evidence where logically applicable</t>
        </is>
      </c>
      <c r="H11" t="inlineStr">
        <is>
          <t>Current assessment cycle preferred; stale evidence requires justification</t>
        </is>
      </c>
      <c r="I11" t="inlineStr">
        <is>
          <t>2 corroborating sources for high-consequence or high-score claims</t>
        </is>
      </c>
      <c r="J11" t="inlineStr">
        <is>
          <t>Independent source preferred for E3/E4 and high-score claims</t>
        </is>
      </c>
      <c r="K11" t="inlineStr">
        <is>
          <t>Reuse allowed only with construct-specific field mapping; otherwise flag</t>
        </is>
      </c>
      <c r="L11" t="inlineStr">
        <is>
          <t>Policy/ops 12–24 months; outcomes 24–36 months unless metric-specific</t>
        </is>
      </c>
      <c r="M11" t="inlineStr">
        <is>
          <t>Only where observable outcome logically belongs to the construct</t>
        </is>
      </c>
      <c r="N11" t="inlineStr">
        <is>
          <t>Claim-only, policy-only, duplicate or unverifiable evidence cannot create strong confidence</t>
        </is>
      </c>
      <c r="O11" t="inlineStr">
        <is>
          <t>Check P0-5 linked-domain contradictions/dependencies</t>
        </is>
      </c>
      <c r="P11" t="inlineStr">
        <is>
          <t>Report confidence separately; never multiply capability score by confidence</t>
        </is>
      </c>
      <c r="Q11" t="inlineStr">
        <is>
          <t>Assessment / Verification Lead</t>
        </is>
      </c>
      <c r="R11" t="inlineStr">
        <is>
          <t>GREEN</t>
        </is>
      </c>
    </row>
    <row r="12">
      <c r="A12" t="inlineStr">
        <is>
          <t>D02</t>
        </is>
      </c>
      <c r="B12" t="inlineStr">
        <is>
          <t>I01</t>
        </is>
      </c>
      <c r="C12" t="inlineStr">
        <is>
          <t>Governance Ownership</t>
        </is>
      </c>
      <c r="D12" t="inlineStr">
        <is>
          <t>Required for validated metric score</t>
        </is>
      </c>
      <c r="E12" t="inlineStr">
        <is>
          <t>E1</t>
        </is>
      </c>
      <c r="F12" t="inlineStr">
        <is>
          <t>Institutional artifact + operational evidence</t>
        </is>
      </c>
      <c r="G12" t="inlineStr">
        <is>
          <t>Evidence must directly substantiate the construct; prefer operational and outcome evidence where logically applicable</t>
        </is>
      </c>
      <c r="H12" t="inlineStr">
        <is>
          <t>Current assessment cycle preferred; stale evidence requires justification</t>
        </is>
      </c>
      <c r="I12" t="inlineStr">
        <is>
          <t>2 corroborating sources for high-consequence or high-score claims</t>
        </is>
      </c>
      <c r="J12" t="inlineStr">
        <is>
          <t>Independent source preferred for E3/E4 and high-score claims</t>
        </is>
      </c>
      <c r="K12" t="inlineStr">
        <is>
          <t>Reuse allowed only with construct-specific field mapping; otherwise flag</t>
        </is>
      </c>
      <c r="L12" t="inlineStr">
        <is>
          <t>Policy/ops 12–24 months; outcomes 24–36 months unless metric-specific</t>
        </is>
      </c>
      <c r="M12" t="inlineStr">
        <is>
          <t>Only where observable outcome logically belongs to the construct</t>
        </is>
      </c>
      <c r="N12" t="inlineStr">
        <is>
          <t>Claim-only, policy-only, duplicate or unverifiable evidence cannot create strong confidence</t>
        </is>
      </c>
      <c r="O12" t="inlineStr">
        <is>
          <t>Check P0-5 linked-domain contradictions/dependencies</t>
        </is>
      </c>
      <c r="P12" t="inlineStr">
        <is>
          <t>Report confidence separately; never multiply capability score by confidence</t>
        </is>
      </c>
      <c r="Q12" t="inlineStr">
        <is>
          <t>Assessment / Verification Lead</t>
        </is>
      </c>
      <c r="R12" t="inlineStr">
        <is>
          <t>GREEN</t>
        </is>
      </c>
    </row>
    <row r="13">
      <c r="A13" t="inlineStr">
        <is>
          <t>D02</t>
        </is>
      </c>
      <c r="B13" t="inlineStr">
        <is>
          <t>I02</t>
        </is>
      </c>
      <c r="C13" t="inlineStr">
        <is>
          <t>Decision Architecture</t>
        </is>
      </c>
      <c r="D13" t="inlineStr">
        <is>
          <t>Required for validated metric score</t>
        </is>
      </c>
      <c r="E13" t="inlineStr">
        <is>
          <t>E1</t>
        </is>
      </c>
      <c r="F13" t="inlineStr">
        <is>
          <t>Institutional artifact + operational evidence</t>
        </is>
      </c>
      <c r="G13" t="inlineStr">
        <is>
          <t>Evidence must directly substantiate the construct; prefer operational and outcome evidence where logically applicable</t>
        </is>
      </c>
      <c r="H13" t="inlineStr">
        <is>
          <t>Current assessment cycle preferred; stale evidence requires justification</t>
        </is>
      </c>
      <c r="I13" t="inlineStr">
        <is>
          <t>2 corroborating sources for high-consequence or high-score claims</t>
        </is>
      </c>
      <c r="J13" t="inlineStr">
        <is>
          <t>Independent source preferred for E3/E4 and high-score claims</t>
        </is>
      </c>
      <c r="K13" t="inlineStr">
        <is>
          <t>Reuse allowed only with construct-specific field mapping; otherwise flag</t>
        </is>
      </c>
      <c r="L13" t="inlineStr">
        <is>
          <t>Policy/ops 12–24 months; outcomes 24–36 months unless metric-specific</t>
        </is>
      </c>
      <c r="M13" t="inlineStr">
        <is>
          <t>Only where observable outcome logically belongs to the construct</t>
        </is>
      </c>
      <c r="N13" t="inlineStr">
        <is>
          <t>Claim-only, policy-only, duplicate or unverifiable evidence cannot create strong confidence</t>
        </is>
      </c>
      <c r="O13" t="inlineStr">
        <is>
          <t>Check P0-5 linked-domain contradictions/dependencies</t>
        </is>
      </c>
      <c r="P13" t="inlineStr">
        <is>
          <t>Report confidence separately; never multiply capability score by confidence</t>
        </is>
      </c>
      <c r="Q13" t="inlineStr">
        <is>
          <t>Assessment / Verification Lead</t>
        </is>
      </c>
      <c r="R13" t="inlineStr">
        <is>
          <t>GREEN</t>
        </is>
      </c>
    </row>
    <row r="14">
      <c r="A14" t="inlineStr">
        <is>
          <t>D02</t>
        </is>
      </c>
      <c r="B14" t="inlineStr">
        <is>
          <t>I03</t>
        </is>
      </c>
      <c r="C14" t="inlineStr">
        <is>
          <t>Responsible AI Maturity</t>
        </is>
      </c>
      <c r="D14" t="inlineStr">
        <is>
          <t>Required for validated metric score</t>
        </is>
      </c>
      <c r="E14" t="inlineStr">
        <is>
          <t>E1</t>
        </is>
      </c>
      <c r="F14" t="inlineStr">
        <is>
          <t>Institutional artifact + operational evidence</t>
        </is>
      </c>
      <c r="G14" t="inlineStr">
        <is>
          <t>Evidence must directly substantiate the construct; prefer operational and outcome evidence where logically applicable</t>
        </is>
      </c>
      <c r="H14" t="inlineStr">
        <is>
          <t>Current assessment cycle preferred; stale evidence requires justification</t>
        </is>
      </c>
      <c r="I14" t="inlineStr">
        <is>
          <t>2 corroborating sources for high-consequence or high-score claims</t>
        </is>
      </c>
      <c r="J14" t="inlineStr">
        <is>
          <t>Independent source preferred for E3/E4 and high-score claims</t>
        </is>
      </c>
      <c r="K14" t="inlineStr">
        <is>
          <t>Reuse allowed only with construct-specific field mapping; otherwise flag</t>
        </is>
      </c>
      <c r="L14" t="inlineStr">
        <is>
          <t>Policy/ops 12–24 months; outcomes 24–36 months unless metric-specific</t>
        </is>
      </c>
      <c r="M14" t="inlineStr">
        <is>
          <t>Only where observable outcome logically belongs to the construct</t>
        </is>
      </c>
      <c r="N14" t="inlineStr">
        <is>
          <t>Claim-only, policy-only, duplicate or unverifiable evidence cannot create strong confidence</t>
        </is>
      </c>
      <c r="O14" t="inlineStr">
        <is>
          <t>Check P0-5 linked-domain contradictions/dependencies</t>
        </is>
      </c>
      <c r="P14" t="inlineStr">
        <is>
          <t>Report confidence separately; never multiply capability score by confidence</t>
        </is>
      </c>
      <c r="Q14" t="inlineStr">
        <is>
          <t>Assessment / Verification Lead</t>
        </is>
      </c>
      <c r="R14" t="inlineStr">
        <is>
          <t>GREEN</t>
        </is>
      </c>
    </row>
    <row r="15">
      <c r="A15" t="inlineStr">
        <is>
          <t>D02</t>
        </is>
      </c>
      <c r="B15" t="inlineStr">
        <is>
          <t>I04</t>
        </is>
      </c>
      <c r="C15" t="inlineStr">
        <is>
          <t>Data Governance Readiness</t>
        </is>
      </c>
      <c r="D15" t="inlineStr">
        <is>
          <t>Required for validated metric score</t>
        </is>
      </c>
      <c r="E15" t="inlineStr">
        <is>
          <t>E1</t>
        </is>
      </c>
      <c r="F15" t="inlineStr">
        <is>
          <t>Institutional artifact + operational evidence</t>
        </is>
      </c>
      <c r="G15" t="inlineStr">
        <is>
          <t>Evidence must directly substantiate the construct; prefer operational and outcome evidence where logically applicable</t>
        </is>
      </c>
      <c r="H15" t="inlineStr">
        <is>
          <t>Current assessment cycle preferred; stale evidence requires justification</t>
        </is>
      </c>
      <c r="I15" t="inlineStr">
        <is>
          <t>2 corroborating sources for high-consequence or high-score claims</t>
        </is>
      </c>
      <c r="J15" t="inlineStr">
        <is>
          <t>Independent source preferred for E3/E4 and high-score claims</t>
        </is>
      </c>
      <c r="K15" t="inlineStr">
        <is>
          <t>Reuse allowed only with construct-specific field mapping; otherwise flag</t>
        </is>
      </c>
      <c r="L15" t="inlineStr">
        <is>
          <t>Policy/ops 12–24 months; outcomes 24–36 months unless metric-specific</t>
        </is>
      </c>
      <c r="M15" t="inlineStr">
        <is>
          <t>Only where observable outcome logically belongs to the construct</t>
        </is>
      </c>
      <c r="N15" t="inlineStr">
        <is>
          <t>Claim-only, policy-only, duplicate or unverifiable evidence cannot create strong confidence</t>
        </is>
      </c>
      <c r="O15" t="inlineStr">
        <is>
          <t>Check P0-5 linked-domain contradictions/dependencies</t>
        </is>
      </c>
      <c r="P15" t="inlineStr">
        <is>
          <t>Report confidence separately; never multiply capability score by confidence</t>
        </is>
      </c>
      <c r="Q15" t="inlineStr">
        <is>
          <t>Assessment / Verification Lead</t>
        </is>
      </c>
      <c r="R15" t="inlineStr">
        <is>
          <t>GREEN</t>
        </is>
      </c>
    </row>
    <row r="16">
      <c r="A16" t="inlineStr">
        <is>
          <t>D02</t>
        </is>
      </c>
      <c r="B16" t="inlineStr">
        <is>
          <t>I05</t>
        </is>
      </c>
      <c r="C16" t="inlineStr">
        <is>
          <t>Academic Integrity Governance</t>
        </is>
      </c>
      <c r="D16" t="inlineStr">
        <is>
          <t>Required for validated metric score</t>
        </is>
      </c>
      <c r="E16" t="inlineStr">
        <is>
          <t>E1</t>
        </is>
      </c>
      <c r="F16" t="inlineStr">
        <is>
          <t>Institutional artifact + operational evidence</t>
        </is>
      </c>
      <c r="G16" t="inlineStr">
        <is>
          <t>Evidence must directly substantiate the construct; prefer operational and outcome evidence where logically applicable</t>
        </is>
      </c>
      <c r="H16" t="inlineStr">
        <is>
          <t>Current assessment cycle preferred; stale evidence requires justification</t>
        </is>
      </c>
      <c r="I16" t="inlineStr">
        <is>
          <t>2 corroborating sources for high-consequence or high-score claims</t>
        </is>
      </c>
      <c r="J16" t="inlineStr">
        <is>
          <t>Independent source preferred for E3/E4 and high-score claims</t>
        </is>
      </c>
      <c r="K16" t="inlineStr">
        <is>
          <t>Reuse allowed only with construct-specific field mapping; otherwise flag</t>
        </is>
      </c>
      <c r="L16" t="inlineStr">
        <is>
          <t>Policy/ops 12–24 months; outcomes 24–36 months unless metric-specific</t>
        </is>
      </c>
      <c r="M16" t="inlineStr">
        <is>
          <t>Only where observable outcome logically belongs to the construct</t>
        </is>
      </c>
      <c r="N16" t="inlineStr">
        <is>
          <t>Claim-only, policy-only, duplicate or unverifiable evidence cannot create strong confidence</t>
        </is>
      </c>
      <c r="O16" t="inlineStr">
        <is>
          <t>Check P0-5 linked-domain contradictions/dependencies</t>
        </is>
      </c>
      <c r="P16" t="inlineStr">
        <is>
          <t>Report confidence separately; never multiply capability score by confidence</t>
        </is>
      </c>
      <c r="Q16" t="inlineStr">
        <is>
          <t>Assessment / Verification Lead</t>
        </is>
      </c>
      <c r="R16" t="inlineStr">
        <is>
          <t>GREEN</t>
        </is>
      </c>
    </row>
    <row r="17">
      <c r="A17" t="inlineStr">
        <is>
          <t>D02</t>
        </is>
      </c>
      <c r="B17" t="inlineStr">
        <is>
          <t>I06</t>
        </is>
      </c>
      <c r="C17" t="inlineStr">
        <is>
          <t>Assessment Governance</t>
        </is>
      </c>
      <c r="D17" t="inlineStr">
        <is>
          <t>Required for validated metric score</t>
        </is>
      </c>
      <c r="E17" t="inlineStr">
        <is>
          <t>E1</t>
        </is>
      </c>
      <c r="F17" t="inlineStr">
        <is>
          <t>Institutional artifact + operational evidence</t>
        </is>
      </c>
      <c r="G17" t="inlineStr">
        <is>
          <t>Evidence must directly substantiate the construct; prefer operational and outcome evidence where logically applicable</t>
        </is>
      </c>
      <c r="H17" t="inlineStr">
        <is>
          <t>Current assessment cycle preferred; stale evidence requires justification</t>
        </is>
      </c>
      <c r="I17" t="inlineStr">
        <is>
          <t>2 corroborating sources for high-consequence or high-score claims</t>
        </is>
      </c>
      <c r="J17" t="inlineStr">
        <is>
          <t>Independent source preferred for E3/E4 and high-score claims</t>
        </is>
      </c>
      <c r="K17" t="inlineStr">
        <is>
          <t>Reuse allowed only with construct-specific field mapping; otherwise flag</t>
        </is>
      </c>
      <c r="L17" t="inlineStr">
        <is>
          <t>Policy/ops 12–24 months; outcomes 24–36 months unless metric-specific</t>
        </is>
      </c>
      <c r="M17" t="inlineStr">
        <is>
          <t>Only where observable outcome logically belongs to the construct</t>
        </is>
      </c>
      <c r="N17" t="inlineStr">
        <is>
          <t>Claim-only, policy-only, duplicate or unverifiable evidence cannot create strong confidence</t>
        </is>
      </c>
      <c r="O17" t="inlineStr">
        <is>
          <t>Check P0-5 linked-domain contradictions/dependencies</t>
        </is>
      </c>
      <c r="P17" t="inlineStr">
        <is>
          <t>Report confidence separately; never multiply capability score by confidence</t>
        </is>
      </c>
      <c r="Q17" t="inlineStr">
        <is>
          <t>Assessment / Verification Lead</t>
        </is>
      </c>
      <c r="R17" t="inlineStr">
        <is>
          <t>GREEN</t>
        </is>
      </c>
    </row>
    <row r="18">
      <c r="A18" t="inlineStr">
        <is>
          <t>D02</t>
        </is>
      </c>
      <c r="B18" t="inlineStr">
        <is>
          <t>I07</t>
        </is>
      </c>
      <c r="C18" t="inlineStr">
        <is>
          <t>AI Risk Management</t>
        </is>
      </c>
      <c r="D18" t="inlineStr">
        <is>
          <t>Required for validated metric score</t>
        </is>
      </c>
      <c r="E18" t="inlineStr">
        <is>
          <t>E1</t>
        </is>
      </c>
      <c r="F18" t="inlineStr">
        <is>
          <t>Institutional artifact + operational evidence</t>
        </is>
      </c>
      <c r="G18" t="inlineStr">
        <is>
          <t>Evidence must directly substantiate the construct; prefer operational and outcome evidence where logically applicable</t>
        </is>
      </c>
      <c r="H18" t="inlineStr">
        <is>
          <t>Current assessment cycle preferred; stale evidence requires justification</t>
        </is>
      </c>
      <c r="I18" t="inlineStr">
        <is>
          <t>2 corroborating sources for high-consequence or high-score claims</t>
        </is>
      </c>
      <c r="J18" t="inlineStr">
        <is>
          <t>Independent source preferred for E3/E4 and high-score claims</t>
        </is>
      </c>
      <c r="K18" t="inlineStr">
        <is>
          <t>Reuse allowed only with construct-specific field mapping; otherwise flag</t>
        </is>
      </c>
      <c r="L18" t="inlineStr">
        <is>
          <t>Policy/ops 12–24 months; outcomes 24–36 months unless metric-specific</t>
        </is>
      </c>
      <c r="M18" t="inlineStr">
        <is>
          <t>Only where observable outcome logically belongs to the construct</t>
        </is>
      </c>
      <c r="N18" t="inlineStr">
        <is>
          <t>Claim-only, policy-only, duplicate or unverifiable evidence cannot create strong confidence</t>
        </is>
      </c>
      <c r="O18" t="inlineStr">
        <is>
          <t>Check P0-5 linked-domain contradictions/dependencies</t>
        </is>
      </c>
      <c r="P18" t="inlineStr">
        <is>
          <t>Report confidence separately; never multiply capability score by confidence</t>
        </is>
      </c>
      <c r="Q18" t="inlineStr">
        <is>
          <t>Assessment / Verification Lead</t>
        </is>
      </c>
      <c r="R18" t="inlineStr">
        <is>
          <t>GREEN</t>
        </is>
      </c>
    </row>
    <row r="19">
      <c r="A19" t="inlineStr">
        <is>
          <t>D02</t>
        </is>
      </c>
      <c r="B19" t="inlineStr">
        <is>
          <t>I08</t>
        </is>
      </c>
      <c r="C19" t="inlineStr">
        <is>
          <t>Incident Responsiveness</t>
        </is>
      </c>
      <c r="D19" t="inlineStr">
        <is>
          <t>Required for validated metric score</t>
        </is>
      </c>
      <c r="E19" t="inlineStr">
        <is>
          <t>E1</t>
        </is>
      </c>
      <c r="F19" t="inlineStr">
        <is>
          <t>Institutional artifact + operational evidence</t>
        </is>
      </c>
      <c r="G19" t="inlineStr">
        <is>
          <t>Evidence must directly substantiate the construct; prefer operational and outcome evidence where logically applicable</t>
        </is>
      </c>
      <c r="H19" t="inlineStr">
        <is>
          <t>Current assessment cycle preferred; stale evidence requires justification</t>
        </is>
      </c>
      <c r="I19" t="inlineStr">
        <is>
          <t>2 corroborating sources for high-consequence or high-score claims</t>
        </is>
      </c>
      <c r="J19" t="inlineStr">
        <is>
          <t>Independent source preferred for E3/E4 and high-score claims</t>
        </is>
      </c>
      <c r="K19" t="inlineStr">
        <is>
          <t>Reuse allowed only with construct-specific field mapping; otherwise flag</t>
        </is>
      </c>
      <c r="L19" t="inlineStr">
        <is>
          <t>Policy/ops 12–24 months; outcomes 24–36 months unless metric-specific</t>
        </is>
      </c>
      <c r="M19" t="inlineStr">
        <is>
          <t>Only where observable outcome logically belongs to the construct</t>
        </is>
      </c>
      <c r="N19" t="inlineStr">
        <is>
          <t>Claim-only, policy-only, duplicate or unverifiable evidence cannot create strong confidence</t>
        </is>
      </c>
      <c r="O19" t="inlineStr">
        <is>
          <t>Check P0-5 linked-domain contradictions/dependencies</t>
        </is>
      </c>
      <c r="P19" t="inlineStr">
        <is>
          <t>Report confidence separately; never multiply capability score by confidence</t>
        </is>
      </c>
      <c r="Q19" t="inlineStr">
        <is>
          <t>Assessment / Verification Lead</t>
        </is>
      </c>
      <c r="R19" t="inlineStr">
        <is>
          <t>GREEN</t>
        </is>
      </c>
    </row>
    <row r="20">
      <c r="A20" t="inlineStr">
        <is>
          <t>D02</t>
        </is>
      </c>
      <c r="B20" t="inlineStr">
        <is>
          <t>I09</t>
        </is>
      </c>
      <c r="C20" t="inlineStr">
        <is>
          <t>Human Accountability</t>
        </is>
      </c>
      <c r="D20" t="inlineStr">
        <is>
          <t>Required for validated metric score</t>
        </is>
      </c>
      <c r="E20" t="inlineStr">
        <is>
          <t>E1</t>
        </is>
      </c>
      <c r="F20" t="inlineStr">
        <is>
          <t>Institutional artifact + operational evidence</t>
        </is>
      </c>
      <c r="G20" t="inlineStr">
        <is>
          <t>Evidence must directly substantiate the construct; prefer operational and outcome evidence where logically applicable</t>
        </is>
      </c>
      <c r="H20" t="inlineStr">
        <is>
          <t>Current assessment cycle preferred; stale evidence requires justification</t>
        </is>
      </c>
      <c r="I20" t="inlineStr">
        <is>
          <t>2 corroborating sources for high-consequence or high-score claims</t>
        </is>
      </c>
      <c r="J20" t="inlineStr">
        <is>
          <t>Independent source preferred for E3/E4 and high-score claims</t>
        </is>
      </c>
      <c r="K20" t="inlineStr">
        <is>
          <t>Reuse allowed only with construct-specific field mapping; otherwise flag</t>
        </is>
      </c>
      <c r="L20" t="inlineStr">
        <is>
          <t>Policy/ops 12–24 months; outcomes 24–36 months unless metric-specific</t>
        </is>
      </c>
      <c r="M20" t="inlineStr">
        <is>
          <t>Only where observable outcome logically belongs to the construct</t>
        </is>
      </c>
      <c r="N20" t="inlineStr">
        <is>
          <t>Claim-only, policy-only, duplicate or unverifiable evidence cannot create strong confidence</t>
        </is>
      </c>
      <c r="O20" t="inlineStr">
        <is>
          <t>Check P0-5 linked-domain contradictions/dependencies</t>
        </is>
      </c>
      <c r="P20" t="inlineStr">
        <is>
          <t>Report confidence separately; never multiply capability score by confidence</t>
        </is>
      </c>
      <c r="Q20" t="inlineStr">
        <is>
          <t>Assessment / Verification Lead</t>
        </is>
      </c>
      <c r="R20" t="inlineStr">
        <is>
          <t>GREEN</t>
        </is>
      </c>
    </row>
    <row r="21">
      <c r="A21" t="inlineStr">
        <is>
          <t>D02</t>
        </is>
      </c>
      <c r="B21" t="inlineStr">
        <is>
          <t>I10</t>
        </is>
      </c>
      <c r="C21" t="inlineStr">
        <is>
          <t>Vendor/Tool Governance</t>
        </is>
      </c>
      <c r="D21" t="inlineStr">
        <is>
          <t>Required for validated metric score</t>
        </is>
      </c>
      <c r="E21" t="inlineStr">
        <is>
          <t>E1</t>
        </is>
      </c>
      <c r="F21" t="inlineStr">
        <is>
          <t>Institutional artifact + operational evidence</t>
        </is>
      </c>
      <c r="G21" t="inlineStr">
        <is>
          <t>Evidence must directly substantiate the construct; prefer operational and outcome evidence where logically applicable</t>
        </is>
      </c>
      <c r="H21" t="inlineStr">
        <is>
          <t>Current assessment cycle preferred; stale evidence requires justification</t>
        </is>
      </c>
      <c r="I21" t="inlineStr">
        <is>
          <t>2 corroborating sources for high-consequence or high-score claims</t>
        </is>
      </c>
      <c r="J21" t="inlineStr">
        <is>
          <t>Independent source preferred for E3/E4 and high-score claims</t>
        </is>
      </c>
      <c r="K21" t="inlineStr">
        <is>
          <t>Reuse allowed only with construct-specific field mapping; otherwise flag</t>
        </is>
      </c>
      <c r="L21" t="inlineStr">
        <is>
          <t>Policy/ops 12–24 months; outcomes 24–36 months unless metric-specific</t>
        </is>
      </c>
      <c r="M21" t="inlineStr">
        <is>
          <t>Only where observable outcome logically belongs to the construct</t>
        </is>
      </c>
      <c r="N21" t="inlineStr">
        <is>
          <t>Claim-only, policy-only, duplicate or unverifiable evidence cannot create strong confidence</t>
        </is>
      </c>
      <c r="O21" t="inlineStr">
        <is>
          <t>Check P0-5 linked-domain contradictions/dependencies</t>
        </is>
      </c>
      <c r="P21" t="inlineStr">
        <is>
          <t>Report confidence separately; never multiply capability score by confidence</t>
        </is>
      </c>
      <c r="Q21" t="inlineStr">
        <is>
          <t>Assessment / Verification Lead</t>
        </is>
      </c>
      <c r="R21" t="inlineStr">
        <is>
          <t>GREEN</t>
        </is>
      </c>
    </row>
    <row r="22">
      <c r="A22" t="inlineStr">
        <is>
          <t>D02</t>
        </is>
      </c>
      <c r="B22" t="inlineStr">
        <is>
          <t>I11</t>
        </is>
      </c>
      <c r="C22" t="inlineStr">
        <is>
          <t>IP Governance</t>
        </is>
      </c>
      <c r="D22" t="inlineStr">
        <is>
          <t>Required for validated metric score</t>
        </is>
      </c>
      <c r="E22" t="inlineStr">
        <is>
          <t>E1</t>
        </is>
      </c>
      <c r="F22" t="inlineStr">
        <is>
          <t>Institutional artifact + operational evidence</t>
        </is>
      </c>
      <c r="G22" t="inlineStr">
        <is>
          <t>Evidence must directly substantiate the construct; prefer operational and outcome evidence where logically applicable</t>
        </is>
      </c>
      <c r="H22" t="inlineStr">
        <is>
          <t>Current assessment cycle preferred; stale evidence requires justification</t>
        </is>
      </c>
      <c r="I22" t="inlineStr">
        <is>
          <t>2 corroborating sources for high-consequence or high-score claims</t>
        </is>
      </c>
      <c r="J22" t="inlineStr">
        <is>
          <t>Independent source preferred for E3/E4 and high-score claims</t>
        </is>
      </c>
      <c r="K22" t="inlineStr">
        <is>
          <t>Reuse allowed only with construct-specific field mapping; otherwise flag</t>
        </is>
      </c>
      <c r="L22" t="inlineStr">
        <is>
          <t>Policy/ops 12–24 months; outcomes 24–36 months unless metric-specific</t>
        </is>
      </c>
      <c r="M22" t="inlineStr">
        <is>
          <t>Only where observable outcome logically belongs to the construct</t>
        </is>
      </c>
      <c r="N22" t="inlineStr">
        <is>
          <t>Claim-only, policy-only, duplicate or unverifiable evidence cannot create strong confidence</t>
        </is>
      </c>
      <c r="O22" t="inlineStr">
        <is>
          <t>Check P0-5 linked-domain contradictions/dependencies</t>
        </is>
      </c>
      <c r="P22" t="inlineStr">
        <is>
          <t>Report confidence separately; never multiply capability score by confidence</t>
        </is>
      </c>
      <c r="Q22" t="inlineStr">
        <is>
          <t>Assessment / Verification Lead</t>
        </is>
      </c>
      <c r="R22" t="inlineStr">
        <is>
          <t>GREEN</t>
        </is>
      </c>
    </row>
    <row r="23">
      <c r="A23" t="inlineStr">
        <is>
          <t>D02</t>
        </is>
      </c>
      <c r="B23" t="inlineStr">
        <is>
          <t>I12</t>
        </is>
      </c>
      <c r="C23" t="inlineStr">
        <is>
          <t>Research AI Governance</t>
        </is>
      </c>
      <c r="D23" t="inlineStr">
        <is>
          <t>Required for validated metric score</t>
        </is>
      </c>
      <c r="E23" t="inlineStr">
        <is>
          <t>E1</t>
        </is>
      </c>
      <c r="F23" t="inlineStr">
        <is>
          <t>Institutional artifact + operational evidence</t>
        </is>
      </c>
      <c r="G23" t="inlineStr">
        <is>
          <t>Evidence must directly substantiate the construct; prefer operational and outcome evidence where logically applicable</t>
        </is>
      </c>
      <c r="H23" t="inlineStr">
        <is>
          <t>Current assessment cycle preferred; stale evidence requires justification</t>
        </is>
      </c>
      <c r="I23" t="inlineStr">
        <is>
          <t>2 corroborating sources for high-consequence or high-score claims</t>
        </is>
      </c>
      <c r="J23" t="inlineStr">
        <is>
          <t>Independent source preferred for E3/E4 and high-score claims</t>
        </is>
      </c>
      <c r="K23" t="inlineStr">
        <is>
          <t>Reuse allowed only with construct-specific field mapping; otherwise flag</t>
        </is>
      </c>
      <c r="L23" t="inlineStr">
        <is>
          <t>Policy/ops 12–24 months; outcomes 24–36 months unless metric-specific</t>
        </is>
      </c>
      <c r="M23" t="inlineStr">
        <is>
          <t>Only where observable outcome logically belongs to the construct</t>
        </is>
      </c>
      <c r="N23" t="inlineStr">
        <is>
          <t>Claim-only, policy-only, duplicate or unverifiable evidence cannot create strong confidence</t>
        </is>
      </c>
      <c r="O23" t="inlineStr">
        <is>
          <t>Check P0-5 linked-domain contradictions/dependencies</t>
        </is>
      </c>
      <c r="P23" t="inlineStr">
        <is>
          <t>Report confidence separately; never multiply capability score by confidence</t>
        </is>
      </c>
      <c r="Q23" t="inlineStr">
        <is>
          <t>Assessment / Verification Lead</t>
        </is>
      </c>
      <c r="R23" t="inlineStr">
        <is>
          <t>GREEN</t>
        </is>
      </c>
    </row>
    <row r="24">
      <c r="A24" t="inlineStr">
        <is>
          <t>D02</t>
        </is>
      </c>
      <c r="B24" t="inlineStr">
        <is>
          <t>I13</t>
        </is>
      </c>
      <c r="C24" t="inlineStr">
        <is>
          <t>Governance Review Adaptability</t>
        </is>
      </c>
      <c r="D24" t="inlineStr">
        <is>
          <t>Required for validated metric score</t>
        </is>
      </c>
      <c r="E24" t="inlineStr">
        <is>
          <t>E1</t>
        </is>
      </c>
      <c r="F24" t="inlineStr">
        <is>
          <t>Institutional artifact + operational evidence</t>
        </is>
      </c>
      <c r="G24" t="inlineStr">
        <is>
          <t>Evidence must directly substantiate the construct; prefer operational and outcome evidence where logically applicable</t>
        </is>
      </c>
      <c r="H24" t="inlineStr">
        <is>
          <t>Current assessment cycle preferred; stale evidence requires justification</t>
        </is>
      </c>
      <c r="I24" t="inlineStr">
        <is>
          <t>2 corroborating sources for high-consequence or high-score claims</t>
        </is>
      </c>
      <c r="J24" t="inlineStr">
        <is>
          <t>Independent source preferred for E3/E4 and high-score claims</t>
        </is>
      </c>
      <c r="K24" t="inlineStr">
        <is>
          <t>Reuse allowed only with construct-specific field mapping; otherwise flag</t>
        </is>
      </c>
      <c r="L24" t="inlineStr">
        <is>
          <t>Policy/ops 12–24 months; outcomes 24–36 months unless metric-specific</t>
        </is>
      </c>
      <c r="M24" t="inlineStr">
        <is>
          <t>Only where observable outcome logically belongs to the construct</t>
        </is>
      </c>
      <c r="N24" t="inlineStr">
        <is>
          <t>Claim-only, policy-only, duplicate or unverifiable evidence cannot create strong confidence</t>
        </is>
      </c>
      <c r="O24" t="inlineStr">
        <is>
          <t>Check P0-5 linked-domain contradictions/dependencies</t>
        </is>
      </c>
      <c r="P24" t="inlineStr">
        <is>
          <t>Report confidence separately; never multiply capability score by confidence</t>
        </is>
      </c>
      <c r="Q24" t="inlineStr">
        <is>
          <t>Assessment / Verification Lead</t>
        </is>
      </c>
      <c r="R24" t="inlineStr">
        <is>
          <t>GREEN</t>
        </is>
      </c>
    </row>
    <row r="25">
      <c r="A25" t="inlineStr">
        <is>
          <t>D02</t>
        </is>
      </c>
      <c r="B25" t="inlineStr">
        <is>
          <t>I14</t>
        </is>
      </c>
      <c r="C25" t="inlineStr">
        <is>
          <t>Governance Effectiveness</t>
        </is>
      </c>
      <c r="D25" t="inlineStr">
        <is>
          <t>Required for validated metric score</t>
        </is>
      </c>
      <c r="E25" t="inlineStr">
        <is>
          <t>E1</t>
        </is>
      </c>
      <c r="F25" t="inlineStr">
        <is>
          <t>Institutional artifact + operational evidence</t>
        </is>
      </c>
      <c r="G25" t="inlineStr">
        <is>
          <t>Evidence must directly substantiate the construct; prefer operational and outcome evidence where logically applicable</t>
        </is>
      </c>
      <c r="H25" t="inlineStr">
        <is>
          <t>Current assessment cycle preferred; stale evidence requires justification</t>
        </is>
      </c>
      <c r="I25" t="inlineStr">
        <is>
          <t>2 corroborating sources for high-consequence or high-score claims</t>
        </is>
      </c>
      <c r="J25" t="inlineStr">
        <is>
          <t>Independent source preferred for E3/E4 and high-score claims</t>
        </is>
      </c>
      <c r="K25" t="inlineStr">
        <is>
          <t>Reuse allowed only with construct-specific field mapping; otherwise flag</t>
        </is>
      </c>
      <c r="L25" t="inlineStr">
        <is>
          <t>Policy/ops 12–24 months; outcomes 24–36 months unless metric-specific</t>
        </is>
      </c>
      <c r="M25" t="inlineStr">
        <is>
          <t>Only where observable outcome logically belongs to the construct</t>
        </is>
      </c>
      <c r="N25" t="inlineStr">
        <is>
          <t>Claim-only, policy-only, duplicate or unverifiable evidence cannot create strong confidence</t>
        </is>
      </c>
      <c r="O25" t="inlineStr">
        <is>
          <t>Check P0-5 linked-domain contradictions/dependencies</t>
        </is>
      </c>
      <c r="P25" t="inlineStr">
        <is>
          <t>Report confidence separately; never multiply capability score by confidence</t>
        </is>
      </c>
      <c r="Q25" t="inlineStr">
        <is>
          <t>Assessment / Verification Lead</t>
        </is>
      </c>
      <c r="R25" t="inlineStr">
        <is>
          <t>GREEN</t>
        </is>
      </c>
    </row>
    <row r="26">
      <c r="A26" t="inlineStr">
        <is>
          <t>D03</t>
        </is>
      </c>
      <c r="B26" t="inlineStr">
        <is>
          <t>I01</t>
        </is>
      </c>
      <c r="C26" t="inlineStr">
        <is>
          <t>Foundational Knowledge Depth</t>
        </is>
      </c>
      <c r="D26" t="inlineStr">
        <is>
          <t>Required for validated metric score</t>
        </is>
      </c>
      <c r="E26" t="inlineStr">
        <is>
          <t>E1</t>
        </is>
      </c>
      <c r="F26" t="inlineStr">
        <is>
          <t>Institutional artifact + operational evidence</t>
        </is>
      </c>
      <c r="G26" t="inlineStr">
        <is>
          <t>Evidence must directly substantiate the construct; prefer operational and outcome evidence where logically applicable</t>
        </is>
      </c>
      <c r="H26" t="inlineStr">
        <is>
          <t>Current assessment cycle preferred; stale evidence requires justification</t>
        </is>
      </c>
      <c r="I26" t="inlineStr">
        <is>
          <t>2 corroborating sources for high-consequence or high-score claims</t>
        </is>
      </c>
      <c r="J26" t="inlineStr">
        <is>
          <t>Independent source preferred for E3/E4 and high-score claims</t>
        </is>
      </c>
      <c r="K26" t="inlineStr">
        <is>
          <t>Reuse allowed only with construct-specific field mapping; otherwise flag</t>
        </is>
      </c>
      <c r="L26" t="inlineStr">
        <is>
          <t>Policy/ops 12–24 months; outcomes 24–36 months unless metric-specific</t>
        </is>
      </c>
      <c r="M26" t="inlineStr">
        <is>
          <t>Only where observable outcome logically belongs to the construct</t>
        </is>
      </c>
      <c r="N26" t="inlineStr">
        <is>
          <t>Claim-only, policy-only, duplicate or unverifiable evidence cannot create strong confidence</t>
        </is>
      </c>
      <c r="O26" t="inlineStr">
        <is>
          <t>Check P0-5 linked-domain contradictions/dependencies</t>
        </is>
      </c>
      <c r="P26" t="inlineStr">
        <is>
          <t>Report confidence separately; never multiply capability score by confidence</t>
        </is>
      </c>
      <c r="Q26" t="inlineStr">
        <is>
          <t>Assessment / Verification Lead</t>
        </is>
      </c>
      <c r="R26" t="inlineStr">
        <is>
          <t>GREEN</t>
        </is>
      </c>
    </row>
    <row r="27">
      <c r="A27" t="inlineStr">
        <is>
          <t>D03</t>
        </is>
      </c>
      <c r="B27" t="inlineStr">
        <is>
          <t>I02</t>
        </is>
      </c>
      <c r="C27" t="inlineStr">
        <is>
          <t>Critical Reasoning Development</t>
        </is>
      </c>
      <c r="D27" t="inlineStr">
        <is>
          <t>Required for validated metric score</t>
        </is>
      </c>
      <c r="E27" t="inlineStr">
        <is>
          <t>E1</t>
        </is>
      </c>
      <c r="F27" t="inlineStr">
        <is>
          <t>Institutional artifact + operational evidence</t>
        </is>
      </c>
      <c r="G27" t="inlineStr">
        <is>
          <t>Evidence must directly substantiate the construct; prefer operational and outcome evidence where logically applicable</t>
        </is>
      </c>
      <c r="H27" t="inlineStr">
        <is>
          <t>Current assessment cycle preferred; stale evidence requires justification</t>
        </is>
      </c>
      <c r="I27" t="inlineStr">
        <is>
          <t>2 corroborating sources for high-consequence or high-score claims</t>
        </is>
      </c>
      <c r="J27" t="inlineStr">
        <is>
          <t>Independent source preferred for E3/E4 and high-score claims</t>
        </is>
      </c>
      <c r="K27" t="inlineStr">
        <is>
          <t>Reuse allowed only with construct-specific field mapping; otherwise flag</t>
        </is>
      </c>
      <c r="L27" t="inlineStr">
        <is>
          <t>Policy/ops 12–24 months; outcomes 24–36 months unless metric-specific</t>
        </is>
      </c>
      <c r="M27" t="inlineStr">
        <is>
          <t>Only where observable outcome logically belongs to the construct</t>
        </is>
      </c>
      <c r="N27" t="inlineStr">
        <is>
          <t>Claim-only, policy-only, duplicate or unverifiable evidence cannot create strong confidence</t>
        </is>
      </c>
      <c r="O27" t="inlineStr">
        <is>
          <t>Check P0-5 linked-domain contradictions/dependencies</t>
        </is>
      </c>
      <c r="P27" t="inlineStr">
        <is>
          <t>Report confidence separately; never multiply capability score by confidence</t>
        </is>
      </c>
      <c r="Q27" t="inlineStr">
        <is>
          <t>Assessment / Verification Lead</t>
        </is>
      </c>
      <c r="R27" t="inlineStr">
        <is>
          <t>GREEN</t>
        </is>
      </c>
    </row>
    <row r="28">
      <c r="A28" t="inlineStr">
        <is>
          <t>D03</t>
        </is>
      </c>
      <c r="B28" t="inlineStr">
        <is>
          <t>I03</t>
        </is>
      </c>
      <c r="C28" t="inlineStr">
        <is>
          <t>Question Formulation</t>
        </is>
      </c>
      <c r="D28" t="inlineStr">
        <is>
          <t>Required for validated metric score</t>
        </is>
      </c>
      <c r="E28" t="inlineStr">
        <is>
          <t>E1</t>
        </is>
      </c>
      <c r="F28" t="inlineStr">
        <is>
          <t>Institutional artifact + operational evidence</t>
        </is>
      </c>
      <c r="G28" t="inlineStr">
        <is>
          <t>Evidence must directly substantiate the construct; prefer operational and outcome evidence where logically applicable</t>
        </is>
      </c>
      <c r="H28" t="inlineStr">
        <is>
          <t>Current assessment cycle preferred; stale evidence requires justification</t>
        </is>
      </c>
      <c r="I28" t="inlineStr">
        <is>
          <t>2 corroborating sources for high-consequence or high-score claims</t>
        </is>
      </c>
      <c r="J28" t="inlineStr">
        <is>
          <t>Independent source preferred for E3/E4 and high-score claims</t>
        </is>
      </c>
      <c r="K28" t="inlineStr">
        <is>
          <t>Reuse allowed only with construct-specific field mapping; otherwise flag</t>
        </is>
      </c>
      <c r="L28" t="inlineStr">
        <is>
          <t>Policy/ops 12–24 months; outcomes 24–36 months unless metric-specific</t>
        </is>
      </c>
      <c r="M28" t="inlineStr">
        <is>
          <t>Only where observable outcome logically belongs to the construct</t>
        </is>
      </c>
      <c r="N28" t="inlineStr">
        <is>
          <t>Claim-only, policy-only, duplicate or unverifiable evidence cannot create strong confidence</t>
        </is>
      </c>
      <c r="O28" t="inlineStr">
        <is>
          <t>Check P0-5 linked-domain contradictions/dependencies</t>
        </is>
      </c>
      <c r="P28" t="inlineStr">
        <is>
          <t>Report confidence separately; never multiply capability score by confidence</t>
        </is>
      </c>
      <c r="Q28" t="inlineStr">
        <is>
          <t>Assessment / Verification Lead</t>
        </is>
      </c>
      <c r="R28" t="inlineStr">
        <is>
          <t>GREEN</t>
        </is>
      </c>
    </row>
    <row r="29">
      <c r="A29" t="inlineStr">
        <is>
          <t>D03</t>
        </is>
      </c>
      <c r="B29" t="inlineStr">
        <is>
          <t>I04</t>
        </is>
      </c>
      <c r="C29" t="inlineStr">
        <is>
          <t>Analytical Reasoning</t>
        </is>
      </c>
      <c r="D29" t="inlineStr">
        <is>
          <t>Required for validated metric score</t>
        </is>
      </c>
      <c r="E29" t="inlineStr">
        <is>
          <t>E1</t>
        </is>
      </c>
      <c r="F29" t="inlineStr">
        <is>
          <t>Institutional artifact + operational evidence</t>
        </is>
      </c>
      <c r="G29" t="inlineStr">
        <is>
          <t>Evidence must directly substantiate the construct; prefer operational and outcome evidence where logically applicable</t>
        </is>
      </c>
      <c r="H29" t="inlineStr">
        <is>
          <t>Current assessment cycle preferred; stale evidence requires justification</t>
        </is>
      </c>
      <c r="I29" t="inlineStr">
        <is>
          <t>2 corroborating sources for high-consequence or high-score claims</t>
        </is>
      </c>
      <c r="J29" t="inlineStr">
        <is>
          <t>Independent source preferred for E3/E4 and high-score claims</t>
        </is>
      </c>
      <c r="K29" t="inlineStr">
        <is>
          <t>Reuse allowed only with construct-specific field mapping; otherwise flag</t>
        </is>
      </c>
      <c r="L29" t="inlineStr">
        <is>
          <t>Policy/ops 12–24 months; outcomes 24–36 months unless metric-specific</t>
        </is>
      </c>
      <c r="M29" t="inlineStr">
        <is>
          <t>Only where observable outcome logically belongs to the construct</t>
        </is>
      </c>
      <c r="N29" t="inlineStr">
        <is>
          <t>Claim-only, policy-only, duplicate or unverifiable evidence cannot create strong confidence</t>
        </is>
      </c>
      <c r="O29" t="inlineStr">
        <is>
          <t>Check P0-5 linked-domain contradictions/dependencies</t>
        </is>
      </c>
      <c r="P29" t="inlineStr">
        <is>
          <t>Report confidence separately; never multiply capability score by confidence</t>
        </is>
      </c>
      <c r="Q29" t="inlineStr">
        <is>
          <t>Assessment / Verification Lead</t>
        </is>
      </c>
      <c r="R29" t="inlineStr">
        <is>
          <t>GREEN</t>
        </is>
      </c>
    </row>
    <row r="30">
      <c r="A30" t="inlineStr">
        <is>
          <t>D03</t>
        </is>
      </c>
      <c r="B30" t="inlineStr">
        <is>
          <t>I05</t>
        </is>
      </c>
      <c r="C30" t="inlineStr">
        <is>
          <t>Problem Formulation</t>
        </is>
      </c>
      <c r="D30" t="inlineStr">
        <is>
          <t>Required for validated metric score</t>
        </is>
      </c>
      <c r="E30" t="inlineStr">
        <is>
          <t>E1</t>
        </is>
      </c>
      <c r="F30" t="inlineStr">
        <is>
          <t>Institutional artifact + operational evidence</t>
        </is>
      </c>
      <c r="G30" t="inlineStr">
        <is>
          <t>Evidence must directly substantiate the construct; prefer operational and outcome evidence where logically applicable</t>
        </is>
      </c>
      <c r="H30" t="inlineStr">
        <is>
          <t>Current assessment cycle preferred; stale evidence requires justification</t>
        </is>
      </c>
      <c r="I30" t="inlineStr">
        <is>
          <t>2 corroborating sources for high-consequence or high-score claims</t>
        </is>
      </c>
      <c r="J30" t="inlineStr">
        <is>
          <t>Independent source preferred for E3/E4 and high-score claims</t>
        </is>
      </c>
      <c r="K30" t="inlineStr">
        <is>
          <t>Reuse allowed only with construct-specific field mapping; otherwise flag</t>
        </is>
      </c>
      <c r="L30" t="inlineStr">
        <is>
          <t>Policy/ops 12–24 months; outcomes 24–36 months unless metric-specific</t>
        </is>
      </c>
      <c r="M30" t="inlineStr">
        <is>
          <t>Only where observable outcome logically belongs to the construct</t>
        </is>
      </c>
      <c r="N30" t="inlineStr">
        <is>
          <t>Claim-only, policy-only, duplicate or unverifiable evidence cannot create strong confidence</t>
        </is>
      </c>
      <c r="O30" t="inlineStr">
        <is>
          <t>Check P0-5 linked-domain contradictions/dependencies</t>
        </is>
      </c>
      <c r="P30" t="inlineStr">
        <is>
          <t>Report confidence separately; never multiply capability score by confidence</t>
        </is>
      </c>
      <c r="Q30" t="inlineStr">
        <is>
          <t>Assessment / Verification Lead</t>
        </is>
      </c>
      <c r="R30" t="inlineStr">
        <is>
          <t>GREEN</t>
        </is>
      </c>
    </row>
    <row r="31">
      <c r="A31" t="inlineStr">
        <is>
          <t>D03</t>
        </is>
      </c>
      <c r="B31" t="inlineStr">
        <is>
          <t>I06</t>
        </is>
      </c>
      <c r="C31" t="inlineStr">
        <is>
          <t>Creativity &amp; Originality</t>
        </is>
      </c>
      <c r="D31" t="inlineStr">
        <is>
          <t>Required for validated metric score</t>
        </is>
      </c>
      <c r="E31" t="inlineStr">
        <is>
          <t>E1</t>
        </is>
      </c>
      <c r="F31" t="inlineStr">
        <is>
          <t>Institutional artifact + operational evidence</t>
        </is>
      </c>
      <c r="G31" t="inlineStr">
        <is>
          <t>Evidence must directly substantiate the construct; prefer operational and outcome evidence where logically applicable</t>
        </is>
      </c>
      <c r="H31" t="inlineStr">
        <is>
          <t>Current assessment cycle preferred; stale evidence requires justification</t>
        </is>
      </c>
      <c r="I31" t="inlineStr">
        <is>
          <t>2 corroborating sources for high-consequence or high-score claims</t>
        </is>
      </c>
      <c r="J31" t="inlineStr">
        <is>
          <t>Independent source preferred for E3/E4 and high-score claims</t>
        </is>
      </c>
      <c r="K31" t="inlineStr">
        <is>
          <t>Reuse allowed only with construct-specific field mapping; otherwise flag</t>
        </is>
      </c>
      <c r="L31" t="inlineStr">
        <is>
          <t>Policy/ops 12–24 months; outcomes 24–36 months unless metric-specific</t>
        </is>
      </c>
      <c r="M31" t="inlineStr">
        <is>
          <t>Only where observable outcome logically belongs to the construct</t>
        </is>
      </c>
      <c r="N31" t="inlineStr">
        <is>
          <t>Claim-only, policy-only, duplicate or unverifiable evidence cannot create strong confidence</t>
        </is>
      </c>
      <c r="O31" t="inlineStr">
        <is>
          <t>Check P0-5 linked-domain contradictions/dependencies</t>
        </is>
      </c>
      <c r="P31" t="inlineStr">
        <is>
          <t>Report confidence separately; never multiply capability score by confidence</t>
        </is>
      </c>
      <c r="Q31" t="inlineStr">
        <is>
          <t>Assessment / Verification Lead</t>
        </is>
      </c>
      <c r="R31" t="inlineStr">
        <is>
          <t>GREEN</t>
        </is>
      </c>
    </row>
    <row r="32">
      <c r="A32" t="inlineStr">
        <is>
          <t>D03</t>
        </is>
      </c>
      <c r="B32" t="inlineStr">
        <is>
          <t>I07</t>
        </is>
      </c>
      <c r="C32" t="inlineStr">
        <is>
          <t>Judgement Capability</t>
        </is>
      </c>
      <c r="D32" t="inlineStr">
        <is>
          <t>Required for validated metric score</t>
        </is>
      </c>
      <c r="E32" t="inlineStr">
        <is>
          <t>E1</t>
        </is>
      </c>
      <c r="F32" t="inlineStr">
        <is>
          <t>Institutional artifact + operational evidence</t>
        </is>
      </c>
      <c r="G32" t="inlineStr">
        <is>
          <t>Evidence must directly substantiate the construct; prefer operational and outcome evidence where logically applicable</t>
        </is>
      </c>
      <c r="H32" t="inlineStr">
        <is>
          <t>Current assessment cycle preferred; stale evidence requires justification</t>
        </is>
      </c>
      <c r="I32" t="inlineStr">
        <is>
          <t>2 corroborating sources for high-consequence or high-score claims</t>
        </is>
      </c>
      <c r="J32" t="inlineStr">
        <is>
          <t>Independent source preferred for E3/E4 and high-score claims</t>
        </is>
      </c>
      <c r="K32" t="inlineStr">
        <is>
          <t>Reuse allowed only with construct-specific field mapping; otherwise flag</t>
        </is>
      </c>
      <c r="L32" t="inlineStr">
        <is>
          <t>Policy/ops 12–24 months; outcomes 24–36 months unless metric-specific</t>
        </is>
      </c>
      <c r="M32" t="inlineStr">
        <is>
          <t>Only where observable outcome logically belongs to the construct</t>
        </is>
      </c>
      <c r="N32" t="inlineStr">
        <is>
          <t>Claim-only, policy-only, duplicate or unverifiable evidence cannot create strong confidence</t>
        </is>
      </c>
      <c r="O32" t="inlineStr">
        <is>
          <t>Check P0-5 linked-domain contradictions/dependencies</t>
        </is>
      </c>
      <c r="P32" t="inlineStr">
        <is>
          <t>Report confidence separately; never multiply capability score by confidence</t>
        </is>
      </c>
      <c r="Q32" t="inlineStr">
        <is>
          <t>Assessment / Verification Lead</t>
        </is>
      </c>
      <c r="R32" t="inlineStr">
        <is>
          <t>GREEN</t>
        </is>
      </c>
    </row>
    <row r="33">
      <c r="A33" t="inlineStr">
        <is>
          <t>D03</t>
        </is>
      </c>
      <c r="B33" t="inlineStr">
        <is>
          <t>I08</t>
        </is>
      </c>
      <c r="C33" t="inlineStr">
        <is>
          <t>AI Verification Capability</t>
        </is>
      </c>
      <c r="D33" t="inlineStr">
        <is>
          <t>Required for validated metric score</t>
        </is>
      </c>
      <c r="E33" t="inlineStr">
        <is>
          <t>E1</t>
        </is>
      </c>
      <c r="F33" t="inlineStr">
        <is>
          <t>Institutional artifact + operational evidence</t>
        </is>
      </c>
      <c r="G33" t="inlineStr">
        <is>
          <t>Evidence must directly substantiate the construct; prefer operational and outcome evidence where logically applicable</t>
        </is>
      </c>
      <c r="H33" t="inlineStr">
        <is>
          <t>Current assessment cycle preferred; stale evidence requires justification</t>
        </is>
      </c>
      <c r="I33" t="inlineStr">
        <is>
          <t>2 corroborating sources for high-consequence or high-score claims</t>
        </is>
      </c>
      <c r="J33" t="inlineStr">
        <is>
          <t>Independent source preferred for E3/E4 and high-score claims</t>
        </is>
      </c>
      <c r="K33" t="inlineStr">
        <is>
          <t>Reuse allowed only with construct-specific field mapping; otherwise flag</t>
        </is>
      </c>
      <c r="L33" t="inlineStr">
        <is>
          <t>Policy/ops 12–24 months; outcomes 24–36 months unless metric-specific</t>
        </is>
      </c>
      <c r="M33" t="inlineStr">
        <is>
          <t>Only where observable outcome logically belongs to the construct</t>
        </is>
      </c>
      <c r="N33" t="inlineStr">
        <is>
          <t>Claim-only, policy-only, duplicate or unverifiable evidence cannot create strong confidence</t>
        </is>
      </c>
      <c r="O33" t="inlineStr">
        <is>
          <t>Check P0-5 linked-domain contradictions/dependencies</t>
        </is>
      </c>
      <c r="P33" t="inlineStr">
        <is>
          <t>Report confidence separately; never multiply capability score by confidence</t>
        </is>
      </c>
      <c r="Q33" t="inlineStr">
        <is>
          <t>Assessment / Verification Lead</t>
        </is>
      </c>
      <c r="R33" t="inlineStr">
        <is>
          <t>GREEN</t>
        </is>
      </c>
    </row>
    <row r="34">
      <c r="A34" t="inlineStr">
        <is>
          <t>D03</t>
        </is>
      </c>
      <c r="B34" t="inlineStr">
        <is>
          <t>I09</t>
        </is>
      </c>
      <c r="C34" t="inlineStr">
        <is>
          <t>Metacognitive Capability</t>
        </is>
      </c>
      <c r="D34" t="inlineStr">
        <is>
          <t>Required for validated metric score</t>
        </is>
      </c>
      <c r="E34" t="inlineStr">
        <is>
          <t>E1</t>
        </is>
      </c>
      <c r="F34" t="inlineStr">
        <is>
          <t>Institutional artifact + operational evidence</t>
        </is>
      </c>
      <c r="G34" t="inlineStr">
        <is>
          <t>Evidence must directly substantiate the construct; prefer operational and outcome evidence where logically applicable</t>
        </is>
      </c>
      <c r="H34" t="inlineStr">
        <is>
          <t>Current assessment cycle preferred; stale evidence requires justification</t>
        </is>
      </c>
      <c r="I34" t="inlineStr">
        <is>
          <t>2 corroborating sources for high-consequence or high-score claims</t>
        </is>
      </c>
      <c r="J34" t="inlineStr">
        <is>
          <t>Independent source preferred for E3/E4 and high-score claims</t>
        </is>
      </c>
      <c r="K34" t="inlineStr">
        <is>
          <t>Reuse allowed only with construct-specific field mapping; otherwise flag</t>
        </is>
      </c>
      <c r="L34" t="inlineStr">
        <is>
          <t>Policy/ops 12–24 months; outcomes 24–36 months unless metric-specific</t>
        </is>
      </c>
      <c r="M34" t="inlineStr">
        <is>
          <t>Only where observable outcome logically belongs to the construct</t>
        </is>
      </c>
      <c r="N34" t="inlineStr">
        <is>
          <t>Claim-only, policy-only, duplicate or unverifiable evidence cannot create strong confidence</t>
        </is>
      </c>
      <c r="O34" t="inlineStr">
        <is>
          <t>Check P0-5 linked-domain contradictions/dependencies</t>
        </is>
      </c>
      <c r="P34" t="inlineStr">
        <is>
          <t>Report confidence separately; never multiply capability score by confidence</t>
        </is>
      </c>
      <c r="Q34" t="inlineStr">
        <is>
          <t>Assessment / Verification Lead</t>
        </is>
      </c>
      <c r="R34" t="inlineStr">
        <is>
          <t>GREEN</t>
        </is>
      </c>
    </row>
    <row r="35">
      <c r="A35" t="inlineStr">
        <is>
          <t>D03</t>
        </is>
      </c>
      <c r="B35" t="inlineStr">
        <is>
          <t>I10</t>
        </is>
      </c>
      <c r="C35" t="inlineStr">
        <is>
          <t>Human-AI Collaboration</t>
        </is>
      </c>
      <c r="D35" t="inlineStr">
        <is>
          <t>Required for validated metric score</t>
        </is>
      </c>
      <c r="E35" t="inlineStr">
        <is>
          <t>E1</t>
        </is>
      </c>
      <c r="F35" t="inlineStr">
        <is>
          <t>Institutional artifact + operational evidence</t>
        </is>
      </c>
      <c r="G35" t="inlineStr">
        <is>
          <t>Evidence must directly substantiate the construct; prefer operational and outcome evidence where logically applicable</t>
        </is>
      </c>
      <c r="H35" t="inlineStr">
        <is>
          <t>Current assessment cycle preferred; stale evidence requires justification</t>
        </is>
      </c>
      <c r="I35" t="inlineStr">
        <is>
          <t>2 corroborating sources for high-consequence or high-score claims</t>
        </is>
      </c>
      <c r="J35" t="inlineStr">
        <is>
          <t>Independent source preferred for E3/E4 and high-score claims</t>
        </is>
      </c>
      <c r="K35" t="inlineStr">
        <is>
          <t>Reuse allowed only with construct-specific field mapping; otherwise flag</t>
        </is>
      </c>
      <c r="L35" t="inlineStr">
        <is>
          <t>Policy/ops 12–24 months; outcomes 24–36 months unless metric-specific</t>
        </is>
      </c>
      <c r="M35" t="inlineStr">
        <is>
          <t>Only where observable outcome logically belongs to the construct</t>
        </is>
      </c>
      <c r="N35" t="inlineStr">
        <is>
          <t>Claim-only, policy-only, duplicate or unverifiable evidence cannot create strong confidence</t>
        </is>
      </c>
      <c r="O35" t="inlineStr">
        <is>
          <t>Check P0-5 linked-domain contradictions/dependencies</t>
        </is>
      </c>
      <c r="P35" t="inlineStr">
        <is>
          <t>Report confidence separately; never multiply capability score by confidence</t>
        </is>
      </c>
      <c r="Q35" t="inlineStr">
        <is>
          <t>Assessment / Verification Lead</t>
        </is>
      </c>
      <c r="R35" t="inlineStr">
        <is>
          <t>GREEN</t>
        </is>
      </c>
    </row>
    <row r="36">
      <c r="A36" t="inlineStr">
        <is>
          <t>D03</t>
        </is>
      </c>
      <c r="B36" t="inlineStr">
        <is>
          <t>I11</t>
        </is>
      </c>
      <c r="C36" t="inlineStr">
        <is>
          <t>Communication &amp; Defence</t>
        </is>
      </c>
      <c r="D36" t="inlineStr">
        <is>
          <t>Required for validated metric score</t>
        </is>
      </c>
      <c r="E36" t="inlineStr">
        <is>
          <t>E1</t>
        </is>
      </c>
      <c r="F36" t="inlineStr">
        <is>
          <t>Institutional artifact + operational evidence</t>
        </is>
      </c>
      <c r="G36" t="inlineStr">
        <is>
          <t>Evidence must directly substantiate the construct; prefer operational and outcome evidence where logically applicable</t>
        </is>
      </c>
      <c r="H36" t="inlineStr">
        <is>
          <t>Current assessment cycle preferred; stale evidence requires justification</t>
        </is>
      </c>
      <c r="I36" t="inlineStr">
        <is>
          <t>2 corroborating sources for high-consequence or high-score claims</t>
        </is>
      </c>
      <c r="J36" t="inlineStr">
        <is>
          <t>Independent source preferred for E3/E4 and high-score claims</t>
        </is>
      </c>
      <c r="K36" t="inlineStr">
        <is>
          <t>Reuse allowed only with construct-specific field mapping; otherwise flag</t>
        </is>
      </c>
      <c r="L36" t="inlineStr">
        <is>
          <t>Policy/ops 12–24 months; outcomes 24–36 months unless metric-specific</t>
        </is>
      </c>
      <c r="M36" t="inlineStr">
        <is>
          <t>Only where observable outcome logically belongs to the construct</t>
        </is>
      </c>
      <c r="N36" t="inlineStr">
        <is>
          <t>Claim-only, policy-only, duplicate or unverifiable evidence cannot create strong confidence</t>
        </is>
      </c>
      <c r="O36" t="inlineStr">
        <is>
          <t>Check P0-5 linked-domain contradictions/dependencies</t>
        </is>
      </c>
      <c r="P36" t="inlineStr">
        <is>
          <t>Report confidence separately; never multiply capability score by confidence</t>
        </is>
      </c>
      <c r="Q36" t="inlineStr">
        <is>
          <t>Assessment / Verification Lead</t>
        </is>
      </c>
      <c r="R36" t="inlineStr">
        <is>
          <t>GREEN</t>
        </is>
      </c>
    </row>
    <row r="37">
      <c r="A37" t="inlineStr">
        <is>
          <t>D03</t>
        </is>
      </c>
      <c r="B37" t="inlineStr">
        <is>
          <t>I12</t>
        </is>
      </c>
      <c r="C37" t="inlineStr">
        <is>
          <t>Collaboration Capability</t>
        </is>
      </c>
      <c r="D37" t="inlineStr">
        <is>
          <t>Required for validated metric score</t>
        </is>
      </c>
      <c r="E37" t="inlineStr">
        <is>
          <t>E1</t>
        </is>
      </c>
      <c r="F37" t="inlineStr">
        <is>
          <t>Institutional artifact + operational evidence</t>
        </is>
      </c>
      <c r="G37" t="inlineStr">
        <is>
          <t>Evidence must directly substantiate the construct; prefer operational and outcome evidence where logically applicable</t>
        </is>
      </c>
      <c r="H37" t="inlineStr">
        <is>
          <t>Current assessment cycle preferred; stale evidence requires justification</t>
        </is>
      </c>
      <c r="I37" t="inlineStr">
        <is>
          <t>2 corroborating sources for high-consequence or high-score claims</t>
        </is>
      </c>
      <c r="J37" t="inlineStr">
        <is>
          <t>Independent source preferred for E3/E4 and high-score claims</t>
        </is>
      </c>
      <c r="K37" t="inlineStr">
        <is>
          <t>Reuse allowed only with construct-specific field mapping; otherwise flag</t>
        </is>
      </c>
      <c r="L37" t="inlineStr">
        <is>
          <t>Policy/ops 12–24 months; outcomes 24–36 months unless metric-specific</t>
        </is>
      </c>
      <c r="M37" t="inlineStr">
        <is>
          <t>Only where observable outcome logically belongs to the construct</t>
        </is>
      </c>
      <c r="N37" t="inlineStr">
        <is>
          <t>Claim-only, policy-only, duplicate or unverifiable evidence cannot create strong confidence</t>
        </is>
      </c>
      <c r="O37" t="inlineStr">
        <is>
          <t>Check P0-5 linked-domain contradictions/dependencies</t>
        </is>
      </c>
      <c r="P37" t="inlineStr">
        <is>
          <t>Report confidence separately; never multiply capability score by confidence</t>
        </is>
      </c>
      <c r="Q37" t="inlineStr">
        <is>
          <t>Assessment / Verification Lead</t>
        </is>
      </c>
      <c r="R37" t="inlineStr">
        <is>
          <t>GREEN</t>
        </is>
      </c>
    </row>
    <row r="38">
      <c r="A38" t="inlineStr">
        <is>
          <t>D03</t>
        </is>
      </c>
      <c r="B38" t="inlineStr">
        <is>
          <t>I13</t>
        </is>
      </c>
      <c r="C38" t="inlineStr">
        <is>
          <t>Practical Capability</t>
        </is>
      </c>
      <c r="D38" t="inlineStr">
        <is>
          <t>Required for validated metric score</t>
        </is>
      </c>
      <c r="E38" t="inlineStr">
        <is>
          <t>E1</t>
        </is>
      </c>
      <c r="F38" t="inlineStr">
        <is>
          <t>Institutional artifact + operational evidence</t>
        </is>
      </c>
      <c r="G38" t="inlineStr">
        <is>
          <t>Evidence must directly substantiate the construct; prefer operational and outcome evidence where logically applicable</t>
        </is>
      </c>
      <c r="H38" t="inlineStr">
        <is>
          <t>Current assessment cycle preferred; stale evidence requires justification</t>
        </is>
      </c>
      <c r="I38" t="inlineStr">
        <is>
          <t>2 corroborating sources for high-consequence or high-score claims</t>
        </is>
      </c>
      <c r="J38" t="inlineStr">
        <is>
          <t>Independent source preferred for E3/E4 and high-score claims</t>
        </is>
      </c>
      <c r="K38" t="inlineStr">
        <is>
          <t>Reuse allowed only with construct-specific field mapping; otherwise flag</t>
        </is>
      </c>
      <c r="L38" t="inlineStr">
        <is>
          <t>Policy/ops 12–24 months; outcomes 24–36 months unless metric-specific</t>
        </is>
      </c>
      <c r="M38" t="inlineStr">
        <is>
          <t>Only where observable outcome logically belongs to the construct</t>
        </is>
      </c>
      <c r="N38" t="inlineStr">
        <is>
          <t>Claim-only, policy-only, duplicate or unverifiable evidence cannot create strong confidence</t>
        </is>
      </c>
      <c r="O38" t="inlineStr">
        <is>
          <t>Check P0-5 linked-domain contradictions/dependencies</t>
        </is>
      </c>
      <c r="P38" t="inlineStr">
        <is>
          <t>Report confidence separately; never multiply capability score by confidence</t>
        </is>
      </c>
      <c r="Q38" t="inlineStr">
        <is>
          <t>Assessment / Verification Lead</t>
        </is>
      </c>
      <c r="R38" t="inlineStr">
        <is>
          <t>GREEN</t>
        </is>
      </c>
    </row>
    <row r="39">
      <c r="A39" t="inlineStr">
        <is>
          <t>D03</t>
        </is>
      </c>
      <c r="B39" t="inlineStr">
        <is>
          <t>I14</t>
        </is>
      </c>
      <c r="C39" t="inlineStr">
        <is>
          <t>Ethical/Social Judgement</t>
        </is>
      </c>
      <c r="D39" t="inlineStr">
        <is>
          <t>Required for validated metric score</t>
        </is>
      </c>
      <c r="E39" t="inlineStr">
        <is>
          <t>E1</t>
        </is>
      </c>
      <c r="F39" t="inlineStr">
        <is>
          <t>Institutional artifact + operational evidence</t>
        </is>
      </c>
      <c r="G39" t="inlineStr">
        <is>
          <t>Evidence must directly substantiate the construct; prefer operational and outcome evidence where logically applicable</t>
        </is>
      </c>
      <c r="H39" t="inlineStr">
        <is>
          <t>Current assessment cycle preferred; stale evidence requires justification</t>
        </is>
      </c>
      <c r="I39" t="inlineStr">
        <is>
          <t>2 corroborating sources for high-consequence or high-score claims</t>
        </is>
      </c>
      <c r="J39" t="inlineStr">
        <is>
          <t>Independent source preferred for E3/E4 and high-score claims</t>
        </is>
      </c>
      <c r="K39" t="inlineStr">
        <is>
          <t>Reuse allowed only with construct-specific field mapping; otherwise flag</t>
        </is>
      </c>
      <c r="L39" t="inlineStr">
        <is>
          <t>Policy/ops 12–24 months; outcomes 24–36 months unless metric-specific</t>
        </is>
      </c>
      <c r="M39" t="inlineStr">
        <is>
          <t>Only where observable outcome logically belongs to the construct</t>
        </is>
      </c>
      <c r="N39" t="inlineStr">
        <is>
          <t>Claim-only, policy-only, duplicate or unverifiable evidence cannot create strong confidence</t>
        </is>
      </c>
      <c r="O39" t="inlineStr">
        <is>
          <t>Check P0-5 linked-domain contradictions/dependencies</t>
        </is>
      </c>
      <c r="P39" t="inlineStr">
        <is>
          <t>Report confidence separately; never multiply capability score by confidence</t>
        </is>
      </c>
      <c r="Q39" t="inlineStr">
        <is>
          <t>Assessment / Verification Lead</t>
        </is>
      </c>
      <c r="R39" t="inlineStr">
        <is>
          <t>GREEN</t>
        </is>
      </c>
    </row>
    <row r="40">
      <c r="A40" t="inlineStr">
        <is>
          <t>D03</t>
        </is>
      </c>
      <c r="B40" t="inlineStr">
        <is>
          <t>I15</t>
        </is>
      </c>
      <c r="C40" t="inlineStr">
        <is>
          <t>Intellectual Agency</t>
        </is>
      </c>
      <c r="D40" t="inlineStr">
        <is>
          <t>Required for validated metric score</t>
        </is>
      </c>
      <c r="E40" t="inlineStr">
        <is>
          <t>E1</t>
        </is>
      </c>
      <c r="F40" t="inlineStr">
        <is>
          <t>Institutional artifact + operational evidence</t>
        </is>
      </c>
      <c r="G40" t="inlineStr">
        <is>
          <t>Evidence must directly substantiate the construct; prefer operational and outcome evidence where logically applicable</t>
        </is>
      </c>
      <c r="H40" t="inlineStr">
        <is>
          <t>Current assessment cycle preferred; stale evidence requires justification</t>
        </is>
      </c>
      <c r="I40" t="inlineStr">
        <is>
          <t>2 corroborating sources for high-consequence or high-score claims</t>
        </is>
      </c>
      <c r="J40" t="inlineStr">
        <is>
          <t>Independent source preferred for E3/E4 and high-score claims</t>
        </is>
      </c>
      <c r="K40" t="inlineStr">
        <is>
          <t>Reuse allowed only with construct-specific field mapping; otherwise flag</t>
        </is>
      </c>
      <c r="L40" t="inlineStr">
        <is>
          <t>Policy/ops 12–24 months; outcomes 24–36 months unless metric-specific</t>
        </is>
      </c>
      <c r="M40" t="inlineStr">
        <is>
          <t>Only where observable outcome logically belongs to the construct</t>
        </is>
      </c>
      <c r="N40" t="inlineStr">
        <is>
          <t>Claim-only, policy-only, duplicate or unverifiable evidence cannot create strong confidence</t>
        </is>
      </c>
      <c r="O40" t="inlineStr">
        <is>
          <t>Check P0-5 linked-domain contradictions/dependencies</t>
        </is>
      </c>
      <c r="P40" t="inlineStr">
        <is>
          <t>Report confidence separately; never multiply capability score by confidence</t>
        </is>
      </c>
      <c r="Q40" t="inlineStr">
        <is>
          <t>Assessment / Verification Lead</t>
        </is>
      </c>
      <c r="R40" t="inlineStr">
        <is>
          <t>GREEN</t>
        </is>
      </c>
    </row>
    <row r="41">
      <c r="A41" t="inlineStr">
        <is>
          <t>D03</t>
        </is>
      </c>
      <c r="B41" t="inlineStr">
        <is>
          <t>I16</t>
        </is>
      </c>
      <c r="C41" t="inlineStr">
        <is>
          <t>Transfer Capability</t>
        </is>
      </c>
      <c r="D41" t="inlineStr">
        <is>
          <t>Required for validated metric score</t>
        </is>
      </c>
      <c r="E41" t="inlineStr">
        <is>
          <t>E1</t>
        </is>
      </c>
      <c r="F41" t="inlineStr">
        <is>
          <t>Institutional artifact + operational evidence</t>
        </is>
      </c>
      <c r="G41" t="inlineStr">
        <is>
          <t>Evidence must directly substantiate the construct; prefer operational and outcome evidence where logically applicable</t>
        </is>
      </c>
      <c r="H41" t="inlineStr">
        <is>
          <t>Current assessment cycle preferred; stale evidence requires justification</t>
        </is>
      </c>
      <c r="I41" t="inlineStr">
        <is>
          <t>2 corroborating sources for high-consequence or high-score claims</t>
        </is>
      </c>
      <c r="J41" t="inlineStr">
        <is>
          <t>Independent source preferred for E3/E4 and high-score claims</t>
        </is>
      </c>
      <c r="K41" t="inlineStr">
        <is>
          <t>Reuse allowed only with construct-specific field mapping; otherwise flag</t>
        </is>
      </c>
      <c r="L41" t="inlineStr">
        <is>
          <t>Policy/ops 12–24 months; outcomes 24–36 months unless metric-specific</t>
        </is>
      </c>
      <c r="M41" t="inlineStr">
        <is>
          <t>Only where observable outcome logically belongs to the construct</t>
        </is>
      </c>
      <c r="N41" t="inlineStr">
        <is>
          <t>Claim-only, policy-only, duplicate or unverifiable evidence cannot create strong confidence</t>
        </is>
      </c>
      <c r="O41" t="inlineStr">
        <is>
          <t>Check P0-5 linked-domain contradictions/dependencies</t>
        </is>
      </c>
      <c r="P41" t="inlineStr">
        <is>
          <t>Report confidence separately; never multiply capability score by confidence</t>
        </is>
      </c>
      <c r="Q41" t="inlineStr">
        <is>
          <t>Assessment / Verification Lead</t>
        </is>
      </c>
      <c r="R41" t="inlineStr">
        <is>
          <t>GREEN</t>
        </is>
      </c>
    </row>
    <row r="42">
      <c r="A42" t="inlineStr">
        <is>
          <t>D03</t>
        </is>
      </c>
      <c r="B42" t="inlineStr">
        <is>
          <t>I17</t>
        </is>
      </c>
      <c r="C42" t="inlineStr">
        <is>
          <t>Non-Technical Discipline AI Capability</t>
        </is>
      </c>
      <c r="D42" t="inlineStr">
        <is>
          <t>Required for validated metric score</t>
        </is>
      </c>
      <c r="E42" t="inlineStr">
        <is>
          <t>E1</t>
        </is>
      </c>
      <c r="F42" t="inlineStr">
        <is>
          <t>Institutional artifact + operational evidence</t>
        </is>
      </c>
      <c r="G42" t="inlineStr">
        <is>
          <t>Evidence must directly substantiate the construct; prefer operational and outcome evidence where logically applicable</t>
        </is>
      </c>
      <c r="H42" t="inlineStr">
        <is>
          <t>Current assessment cycle preferred; stale evidence requires justification</t>
        </is>
      </c>
      <c r="I42" t="inlineStr">
        <is>
          <t>2 corroborating sources for high-consequence or high-score claims</t>
        </is>
      </c>
      <c r="J42" t="inlineStr">
        <is>
          <t>Independent source preferred for E3/E4 and high-score claims</t>
        </is>
      </c>
      <c r="K42" t="inlineStr">
        <is>
          <t>Reuse allowed only with construct-specific field mapping; otherwise flag</t>
        </is>
      </c>
      <c r="L42" t="inlineStr">
        <is>
          <t>Policy/ops 12–24 months; outcomes 24–36 months unless metric-specific</t>
        </is>
      </c>
      <c r="M42" t="inlineStr">
        <is>
          <t>Only where observable outcome logically belongs to the construct</t>
        </is>
      </c>
      <c r="N42" t="inlineStr">
        <is>
          <t>Claim-only, policy-only, duplicate or unverifiable evidence cannot create strong confidence</t>
        </is>
      </c>
      <c r="O42" t="inlineStr">
        <is>
          <t>Check P0-5 linked-domain contradictions/dependencies</t>
        </is>
      </c>
      <c r="P42" t="inlineStr">
        <is>
          <t>Report confidence separately; never multiply capability score by confidence</t>
        </is>
      </c>
      <c r="Q42" t="inlineStr">
        <is>
          <t>Assessment / Verification Lead</t>
        </is>
      </c>
      <c r="R42" t="inlineStr">
        <is>
          <t>GREEN</t>
        </is>
      </c>
    </row>
    <row r="43">
      <c r="A43" t="inlineStr">
        <is>
          <t>D04</t>
        </is>
      </c>
      <c r="B43" t="inlineStr">
        <is>
          <t>I01</t>
        </is>
      </c>
      <c r="C43" t="inlineStr">
        <is>
          <t>Curriculum Sensing Maturity</t>
        </is>
      </c>
      <c r="D43" t="inlineStr">
        <is>
          <t>Required for validated metric score</t>
        </is>
      </c>
      <c r="E43" t="inlineStr">
        <is>
          <t>E1</t>
        </is>
      </c>
      <c r="F43" t="inlineStr">
        <is>
          <t>Institutional artifact + operational evidence</t>
        </is>
      </c>
      <c r="G43" t="inlineStr">
        <is>
          <t>Evidence must directly substantiate the construct; prefer operational and outcome evidence where logically applicable</t>
        </is>
      </c>
      <c r="H43" t="inlineStr">
        <is>
          <t>Current assessment cycle preferred; stale evidence requires justification</t>
        </is>
      </c>
      <c r="I43" t="inlineStr">
        <is>
          <t>2 corroborating sources for high-consequence or high-score claims</t>
        </is>
      </c>
      <c r="J43" t="inlineStr">
        <is>
          <t>Independent source preferred for E3/E4 and high-score claims</t>
        </is>
      </c>
      <c r="K43" t="inlineStr">
        <is>
          <t>Reuse allowed only with construct-specific field mapping; otherwise flag</t>
        </is>
      </c>
      <c r="L43" t="inlineStr">
        <is>
          <t>Policy/ops 12–24 months; outcomes 24–36 months unless metric-specific</t>
        </is>
      </c>
      <c r="M43" t="inlineStr">
        <is>
          <t>Only where observable outcome logically belongs to the construct</t>
        </is>
      </c>
      <c r="N43" t="inlineStr">
        <is>
          <t>Claim-only, policy-only, duplicate or unverifiable evidence cannot create strong confidence</t>
        </is>
      </c>
      <c r="O43" t="inlineStr">
        <is>
          <t>Check P0-5 linked-domain contradictions/dependencies</t>
        </is>
      </c>
      <c r="P43" t="inlineStr">
        <is>
          <t>Report confidence separately; never multiply capability score by confidence</t>
        </is>
      </c>
      <c r="Q43" t="inlineStr">
        <is>
          <t>Assessment / Verification Lead</t>
        </is>
      </c>
      <c r="R43" t="inlineStr">
        <is>
          <t>GREEN</t>
        </is>
      </c>
    </row>
    <row r="44">
      <c r="A44" t="inlineStr">
        <is>
          <t>D04</t>
        </is>
      </c>
      <c r="B44" t="inlineStr">
        <is>
          <t>I02</t>
        </is>
      </c>
      <c r="C44" t="inlineStr">
        <is>
          <t>Future Learning Outcome Alignment</t>
        </is>
      </c>
      <c r="D44" t="inlineStr">
        <is>
          <t>Required for validated metric score</t>
        </is>
      </c>
      <c r="E44" t="inlineStr">
        <is>
          <t>E1</t>
        </is>
      </c>
      <c r="F44" t="inlineStr">
        <is>
          <t>Institutional artifact + operational evidence</t>
        </is>
      </c>
      <c r="G44" t="inlineStr">
        <is>
          <t>Evidence must directly substantiate the construct; prefer operational and outcome evidence where logically applicable</t>
        </is>
      </c>
      <c r="H44" t="inlineStr">
        <is>
          <t>Current assessment cycle preferred; stale evidence requires justification</t>
        </is>
      </c>
      <c r="I44" t="inlineStr">
        <is>
          <t>2 corroborating sources for high-consequence or high-score claims</t>
        </is>
      </c>
      <c r="J44" t="inlineStr">
        <is>
          <t>Independent source preferred for E3/E4 and high-score claims</t>
        </is>
      </c>
      <c r="K44" t="inlineStr">
        <is>
          <t>Reuse allowed only with construct-specific field mapping; otherwise flag</t>
        </is>
      </c>
      <c r="L44" t="inlineStr">
        <is>
          <t>Policy/ops 12–24 months; outcomes 24–36 months unless metric-specific</t>
        </is>
      </c>
      <c r="M44" t="inlineStr">
        <is>
          <t>Only where observable outcome logically belongs to the construct</t>
        </is>
      </c>
      <c r="N44" t="inlineStr">
        <is>
          <t>Claim-only, policy-only, duplicate or unverifiable evidence cannot create strong confidence</t>
        </is>
      </c>
      <c r="O44" t="inlineStr">
        <is>
          <t>Check P0-5 linked-domain contradictions/dependencies</t>
        </is>
      </c>
      <c r="P44" t="inlineStr">
        <is>
          <t>Report confidence separately; never multiply capability score by confidence</t>
        </is>
      </c>
      <c r="Q44" t="inlineStr">
        <is>
          <t>Assessment / Verification Lead</t>
        </is>
      </c>
      <c r="R44" t="inlineStr">
        <is>
          <t>GREEN</t>
        </is>
      </c>
    </row>
    <row r="45">
      <c r="A45" t="inlineStr">
        <is>
          <t>D04</t>
        </is>
      </c>
      <c r="B45" t="inlineStr">
        <is>
          <t>I03</t>
        </is>
      </c>
      <c r="C45" t="inlineStr">
        <is>
          <t>Programme Review Effectiveness</t>
        </is>
      </c>
      <c r="D45" t="inlineStr">
        <is>
          <t>Required for validated metric score</t>
        </is>
      </c>
      <c r="E45" t="inlineStr">
        <is>
          <t>E1</t>
        </is>
      </c>
      <c r="F45" t="inlineStr">
        <is>
          <t>Institutional artifact + operational evidence</t>
        </is>
      </c>
      <c r="G45" t="inlineStr">
        <is>
          <t>Evidence must directly substantiate the construct; prefer operational and outcome evidence where logically applicable</t>
        </is>
      </c>
      <c r="H45" t="inlineStr">
        <is>
          <t>Current assessment cycle preferred; stale evidence requires justification</t>
        </is>
      </c>
      <c r="I45" t="inlineStr">
        <is>
          <t>2 corroborating sources for high-consequence or high-score claims</t>
        </is>
      </c>
      <c r="J45" t="inlineStr">
        <is>
          <t>Independent source preferred for E3/E4 and high-score claims</t>
        </is>
      </c>
      <c r="K45" t="inlineStr">
        <is>
          <t>Reuse allowed only with construct-specific field mapping; otherwise flag</t>
        </is>
      </c>
      <c r="L45" t="inlineStr">
        <is>
          <t>Policy/ops 12–24 months; outcomes 24–36 months unless metric-specific</t>
        </is>
      </c>
      <c r="M45" t="inlineStr">
        <is>
          <t>Only where observable outcome logically belongs to the construct</t>
        </is>
      </c>
      <c r="N45" t="inlineStr">
        <is>
          <t>Claim-only, policy-only, duplicate or unverifiable evidence cannot create strong confidence</t>
        </is>
      </c>
      <c r="O45" t="inlineStr">
        <is>
          <t>Check P0-5 linked-domain contradictions/dependencies</t>
        </is>
      </c>
      <c r="P45" t="inlineStr">
        <is>
          <t>Report confidence separately; never multiply capability score by confidence</t>
        </is>
      </c>
      <c r="Q45" t="inlineStr">
        <is>
          <t>Assessment / Verification Lead</t>
        </is>
      </c>
      <c r="R45" t="inlineStr">
        <is>
          <t>GREEN</t>
        </is>
      </c>
    </row>
    <row r="46">
      <c r="A46" t="inlineStr">
        <is>
          <t>D04</t>
        </is>
      </c>
      <c r="B46" t="inlineStr">
        <is>
          <t>I04</t>
        </is>
      </c>
      <c r="C46" t="inlineStr">
        <is>
          <t>Disciplinary AI Integration Depth</t>
        </is>
      </c>
      <c r="D46" t="inlineStr">
        <is>
          <t>Required for validated metric score</t>
        </is>
      </c>
      <c r="E46" t="inlineStr">
        <is>
          <t>E1</t>
        </is>
      </c>
      <c r="F46" t="inlineStr">
        <is>
          <t>Institutional artifact + operational evidence</t>
        </is>
      </c>
      <c r="G46" t="inlineStr">
        <is>
          <t>Evidence must directly substantiate the construct; prefer operational and outcome evidence where logically applicable</t>
        </is>
      </c>
      <c r="H46" t="inlineStr">
        <is>
          <t>Current assessment cycle preferred; stale evidence requires justification</t>
        </is>
      </c>
      <c r="I46" t="inlineStr">
        <is>
          <t>2 corroborating sources for high-consequence or high-score claims</t>
        </is>
      </c>
      <c r="J46" t="inlineStr">
        <is>
          <t>Independent source preferred for E3/E4 and high-score claims</t>
        </is>
      </c>
      <c r="K46" t="inlineStr">
        <is>
          <t>Reuse allowed only with construct-specific field mapping; otherwise flag</t>
        </is>
      </c>
      <c r="L46" t="inlineStr">
        <is>
          <t>Policy/ops 12–24 months; outcomes 24–36 months unless metric-specific</t>
        </is>
      </c>
      <c r="M46" t="inlineStr">
        <is>
          <t>Only where observable outcome logically belongs to the construct</t>
        </is>
      </c>
      <c r="N46" t="inlineStr">
        <is>
          <t>Claim-only, policy-only, duplicate or unverifiable evidence cannot create strong confidence</t>
        </is>
      </c>
      <c r="O46" t="inlineStr">
        <is>
          <t>Check P0-5 linked-domain contradictions/dependencies</t>
        </is>
      </c>
      <c r="P46" t="inlineStr">
        <is>
          <t>Report confidence separately; never multiply capability score by confidence</t>
        </is>
      </c>
      <c r="Q46" t="inlineStr">
        <is>
          <t>Assessment / Verification Lead</t>
        </is>
      </c>
      <c r="R46" t="inlineStr">
        <is>
          <t>GREEN</t>
        </is>
      </c>
    </row>
    <row r="47">
      <c r="A47" t="inlineStr">
        <is>
          <t>D04</t>
        </is>
      </c>
      <c r="B47" t="inlineStr">
        <is>
          <t>I05</t>
        </is>
      </c>
      <c r="C47" t="inlineStr">
        <is>
          <t>Content Obsolescence Response</t>
        </is>
      </c>
      <c r="D47" t="inlineStr">
        <is>
          <t>Required for validated metric score</t>
        </is>
      </c>
      <c r="E47" t="inlineStr">
        <is>
          <t>E1</t>
        </is>
      </c>
      <c r="F47" t="inlineStr">
        <is>
          <t>Institutional artifact + operational evidence</t>
        </is>
      </c>
      <c r="G47" t="inlineStr">
        <is>
          <t>Evidence must directly substantiate the construct; prefer operational and outcome evidence where logically applicable</t>
        </is>
      </c>
      <c r="H47" t="inlineStr">
        <is>
          <t>Current assessment cycle preferred; stale evidence requires justification</t>
        </is>
      </c>
      <c r="I47" t="inlineStr">
        <is>
          <t>2 corroborating sources for high-consequence or high-score claims</t>
        </is>
      </c>
      <c r="J47" t="inlineStr">
        <is>
          <t>Independent source preferred for E3/E4 and high-score claims</t>
        </is>
      </c>
      <c r="K47" t="inlineStr">
        <is>
          <t>Reuse allowed only with construct-specific field mapping; otherwise flag</t>
        </is>
      </c>
      <c r="L47" t="inlineStr">
        <is>
          <t>Policy/ops 12–24 months; outcomes 24–36 months unless metric-specific</t>
        </is>
      </c>
      <c r="M47" t="inlineStr">
        <is>
          <t>Only where observable outcome logically belongs to the construct</t>
        </is>
      </c>
      <c r="N47" t="inlineStr">
        <is>
          <t>Claim-only, policy-only, duplicate or unverifiable evidence cannot create strong confidence</t>
        </is>
      </c>
      <c r="O47" t="inlineStr">
        <is>
          <t>Check P0-5 linked-domain contradictions/dependencies</t>
        </is>
      </c>
      <c r="P47" t="inlineStr">
        <is>
          <t>Report confidence separately; never multiply capability score by confidence</t>
        </is>
      </c>
      <c r="Q47" t="inlineStr">
        <is>
          <t>Assessment / Verification Lead</t>
        </is>
      </c>
      <c r="R47" t="inlineStr">
        <is>
          <t>GREEN</t>
        </is>
      </c>
    </row>
    <row r="48">
      <c r="A48" t="inlineStr">
        <is>
          <t>D04</t>
        </is>
      </c>
      <c r="B48" t="inlineStr">
        <is>
          <t>I06</t>
        </is>
      </c>
      <c r="C48" t="inlineStr">
        <is>
          <t>Experiential Learning Strength</t>
        </is>
      </c>
      <c r="D48" t="inlineStr">
        <is>
          <t>Required for validated metric score</t>
        </is>
      </c>
      <c r="E48" t="inlineStr">
        <is>
          <t>E1</t>
        </is>
      </c>
      <c r="F48" t="inlineStr">
        <is>
          <t>Institutional artifact + operational evidence</t>
        </is>
      </c>
      <c r="G48" t="inlineStr">
        <is>
          <t>Evidence must directly substantiate the construct; prefer operational and outcome evidence where logically applicable</t>
        </is>
      </c>
      <c r="H48" t="inlineStr">
        <is>
          <t>Current assessment cycle preferred; stale evidence requires justification</t>
        </is>
      </c>
      <c r="I48" t="inlineStr">
        <is>
          <t>2 corroborating sources for high-consequence or high-score claims</t>
        </is>
      </c>
      <c r="J48" t="inlineStr">
        <is>
          <t>Independent source preferred for E3/E4 and high-score claims</t>
        </is>
      </c>
      <c r="K48" t="inlineStr">
        <is>
          <t>Reuse allowed only with construct-specific field mapping; otherwise flag</t>
        </is>
      </c>
      <c r="L48" t="inlineStr">
        <is>
          <t>Policy/ops 12–24 months; outcomes 24–36 months unless metric-specific</t>
        </is>
      </c>
      <c r="M48" t="inlineStr">
        <is>
          <t>Only where observable outcome logically belongs to the construct</t>
        </is>
      </c>
      <c r="N48" t="inlineStr">
        <is>
          <t>Claim-only, policy-only, duplicate or unverifiable evidence cannot create strong confidence</t>
        </is>
      </c>
      <c r="O48" t="inlineStr">
        <is>
          <t>Check P0-5 linked-domain contradictions/dependencies</t>
        </is>
      </c>
      <c r="P48" t="inlineStr">
        <is>
          <t>Report confidence separately; never multiply capability score by confidence</t>
        </is>
      </c>
      <c r="Q48" t="inlineStr">
        <is>
          <t>Assessment / Verification Lead</t>
        </is>
      </c>
      <c r="R48" t="inlineStr">
        <is>
          <t>GREEN</t>
        </is>
      </c>
    </row>
    <row r="49">
      <c r="A49" t="inlineStr">
        <is>
          <t>D04</t>
        </is>
      </c>
      <c r="B49" t="inlineStr">
        <is>
          <t>I07</t>
        </is>
      </c>
      <c r="C49" t="inlineStr">
        <is>
          <t>Interdisciplinary Flexibility</t>
        </is>
      </c>
      <c r="D49" t="inlineStr">
        <is>
          <t>Required for validated metric score</t>
        </is>
      </c>
      <c r="E49" t="inlineStr">
        <is>
          <t>E1</t>
        </is>
      </c>
      <c r="F49" t="inlineStr">
        <is>
          <t>Institutional artifact + operational evidence</t>
        </is>
      </c>
      <c r="G49" t="inlineStr">
        <is>
          <t>Evidence must directly substantiate the construct; prefer operational and outcome evidence where logically applicable</t>
        </is>
      </c>
      <c r="H49" t="inlineStr">
        <is>
          <t>Current assessment cycle preferred; stale evidence requires justification</t>
        </is>
      </c>
      <c r="I49" t="inlineStr">
        <is>
          <t>2 corroborating sources for high-consequence or high-score claims</t>
        </is>
      </c>
      <c r="J49" t="inlineStr">
        <is>
          <t>Independent source preferred for E3/E4 and high-score claims</t>
        </is>
      </c>
      <c r="K49" t="inlineStr">
        <is>
          <t>Reuse allowed only with construct-specific field mapping; otherwise flag</t>
        </is>
      </c>
      <c r="L49" t="inlineStr">
        <is>
          <t>Policy/ops 12–24 months; outcomes 24–36 months unless metric-specific</t>
        </is>
      </c>
      <c r="M49" t="inlineStr">
        <is>
          <t>Only where observable outcome logically belongs to the construct</t>
        </is>
      </c>
      <c r="N49" t="inlineStr">
        <is>
          <t>Claim-only, policy-only, duplicate or unverifiable evidence cannot create strong confidence</t>
        </is>
      </c>
      <c r="O49" t="inlineStr">
        <is>
          <t>Check P0-5 linked-domain contradictions/dependencies</t>
        </is>
      </c>
      <c r="P49" t="inlineStr">
        <is>
          <t>Report confidence separately; never multiply capability score by confidence</t>
        </is>
      </c>
      <c r="Q49" t="inlineStr">
        <is>
          <t>Assessment / Verification Lead</t>
        </is>
      </c>
      <c r="R49" t="inlineStr">
        <is>
          <t>GREEN</t>
        </is>
      </c>
    </row>
    <row r="50">
      <c r="A50" t="inlineStr">
        <is>
          <t>D04</t>
        </is>
      </c>
      <c r="B50" t="inlineStr">
        <is>
          <t>I08</t>
        </is>
      </c>
      <c r="C50" t="inlineStr">
        <is>
          <t>Programme Agility</t>
        </is>
      </c>
      <c r="D50" t="inlineStr">
        <is>
          <t>Required for validated metric score</t>
        </is>
      </c>
      <c r="E50" t="inlineStr">
        <is>
          <t>E1</t>
        </is>
      </c>
      <c r="F50" t="inlineStr">
        <is>
          <t>Institutional artifact + operational evidence</t>
        </is>
      </c>
      <c r="G50" t="inlineStr">
        <is>
          <t>Evidence must directly substantiate the construct; prefer operational and outcome evidence where logically applicable</t>
        </is>
      </c>
      <c r="H50" t="inlineStr">
        <is>
          <t>Current assessment cycle preferred; stale evidence requires justification</t>
        </is>
      </c>
      <c r="I50" t="inlineStr">
        <is>
          <t>2 corroborating sources for high-consequence or high-score claims</t>
        </is>
      </c>
      <c r="J50" t="inlineStr">
        <is>
          <t>Independent source preferred for E3/E4 and high-score claims</t>
        </is>
      </c>
      <c r="K50" t="inlineStr">
        <is>
          <t>Reuse allowed only with construct-specific field mapping; otherwise flag</t>
        </is>
      </c>
      <c r="L50" t="inlineStr">
        <is>
          <t>Policy/ops 12–24 months; outcomes 24–36 months unless metric-specific</t>
        </is>
      </c>
      <c r="M50" t="inlineStr">
        <is>
          <t>Only where observable outcome logically belongs to the construct</t>
        </is>
      </c>
      <c r="N50" t="inlineStr">
        <is>
          <t>Claim-only, policy-only, duplicate or unverifiable evidence cannot create strong confidence</t>
        </is>
      </c>
      <c r="O50" t="inlineStr">
        <is>
          <t>Check P0-5 linked-domain contradictions/dependencies</t>
        </is>
      </c>
      <c r="P50" t="inlineStr">
        <is>
          <t>Report confidence separately; never multiply capability score by confidence</t>
        </is>
      </c>
      <c r="Q50" t="inlineStr">
        <is>
          <t>Assessment / Verification Lead</t>
        </is>
      </c>
      <c r="R50" t="inlineStr">
        <is>
          <t>GREEN</t>
        </is>
      </c>
    </row>
    <row r="51">
      <c r="A51" t="inlineStr">
        <is>
          <t>D04</t>
        </is>
      </c>
      <c r="B51" t="inlineStr">
        <is>
          <t>I09</t>
        </is>
      </c>
      <c r="C51" t="inlineStr">
        <is>
          <t>External Validation Strength</t>
        </is>
      </c>
      <c r="D51" t="inlineStr">
        <is>
          <t>Required for validated metric score</t>
        </is>
      </c>
      <c r="E51" t="inlineStr">
        <is>
          <t>E1</t>
        </is>
      </c>
      <c r="F51" t="inlineStr">
        <is>
          <t>Institutional artifact + operational evidence</t>
        </is>
      </c>
      <c r="G51" t="inlineStr">
        <is>
          <t>Evidence must directly substantiate the construct; prefer operational and outcome evidence where logically applicable</t>
        </is>
      </c>
      <c r="H51" t="inlineStr">
        <is>
          <t>Current assessment cycle preferred; stale evidence requires justification</t>
        </is>
      </c>
      <c r="I51" t="inlineStr">
        <is>
          <t>2 corroborating sources for high-consequence or high-score claims</t>
        </is>
      </c>
      <c r="J51" t="inlineStr">
        <is>
          <t>Independent source preferred for E3/E4 and high-score claims</t>
        </is>
      </c>
      <c r="K51" t="inlineStr">
        <is>
          <t>Reuse allowed only with construct-specific field mapping; otherwise flag</t>
        </is>
      </c>
      <c r="L51" t="inlineStr">
        <is>
          <t>Policy/ops 12–24 months; outcomes 24–36 months unless metric-specific</t>
        </is>
      </c>
      <c r="M51" t="inlineStr">
        <is>
          <t>Only where observable outcome logically belongs to the construct</t>
        </is>
      </c>
      <c r="N51" t="inlineStr">
        <is>
          <t>Claim-only, policy-only, duplicate or unverifiable evidence cannot create strong confidence</t>
        </is>
      </c>
      <c r="O51" t="inlineStr">
        <is>
          <t>Check P0-5 linked-domain contradictions/dependencies</t>
        </is>
      </c>
      <c r="P51" t="inlineStr">
        <is>
          <t>Report confidence separately; never multiply capability score by confidence</t>
        </is>
      </c>
      <c r="Q51" t="inlineStr">
        <is>
          <t>Assessment / Verification Lead</t>
        </is>
      </c>
      <c r="R51" t="inlineStr">
        <is>
          <t>GREEN</t>
        </is>
      </c>
    </row>
    <row r="52">
      <c r="A52" t="inlineStr">
        <is>
          <t>D04</t>
        </is>
      </c>
      <c r="B52" t="inlineStr">
        <is>
          <t>I10</t>
        </is>
      </c>
      <c r="C52" t="inlineStr">
        <is>
          <t>External Learning Ecosystem</t>
        </is>
      </c>
      <c r="D52" t="inlineStr">
        <is>
          <t>Required for validated metric score</t>
        </is>
      </c>
      <c r="E52" t="inlineStr">
        <is>
          <t>E1</t>
        </is>
      </c>
      <c r="F52" t="inlineStr">
        <is>
          <t>Institutional artifact + operational evidence</t>
        </is>
      </c>
      <c r="G52" t="inlineStr">
        <is>
          <t>Evidence must directly substantiate the construct; prefer operational and outcome evidence where logically applicable</t>
        </is>
      </c>
      <c r="H52" t="inlineStr">
        <is>
          <t>Current assessment cycle preferred; stale evidence requires justification</t>
        </is>
      </c>
      <c r="I52" t="inlineStr">
        <is>
          <t>2 corroborating sources for high-consequence or high-score claims</t>
        </is>
      </c>
      <c r="J52" t="inlineStr">
        <is>
          <t>Independent source preferred for E3/E4 and high-score claims</t>
        </is>
      </c>
      <c r="K52" t="inlineStr">
        <is>
          <t>Reuse allowed only with construct-specific field mapping; otherwise flag</t>
        </is>
      </c>
      <c r="L52" t="inlineStr">
        <is>
          <t>Policy/ops 12–24 months; outcomes 24–36 months unless metric-specific</t>
        </is>
      </c>
      <c r="M52" t="inlineStr">
        <is>
          <t>Only where observable outcome logically belongs to the construct</t>
        </is>
      </c>
      <c r="N52" t="inlineStr">
        <is>
          <t>Claim-only, policy-only, duplicate or unverifiable evidence cannot create strong confidence</t>
        </is>
      </c>
      <c r="O52" t="inlineStr">
        <is>
          <t>Check P0-5 linked-domain contradictions/dependencies</t>
        </is>
      </c>
      <c r="P52" t="inlineStr">
        <is>
          <t>Report confidence separately; never multiply capability score by confidence</t>
        </is>
      </c>
      <c r="Q52" t="inlineStr">
        <is>
          <t>Assessment / Verification Lead</t>
        </is>
      </c>
      <c r="R52" t="inlineStr">
        <is>
          <t>GREEN</t>
        </is>
      </c>
    </row>
    <row r="53">
      <c r="A53" t="inlineStr">
        <is>
          <t>D04</t>
        </is>
      </c>
      <c r="B53" t="inlineStr">
        <is>
          <t>I11</t>
        </is>
      </c>
      <c r="C53" t="inlineStr">
        <is>
          <t>Transfer Capability</t>
        </is>
      </c>
      <c r="D53" t="inlineStr">
        <is>
          <t>Required for validated metric score</t>
        </is>
      </c>
      <c r="E53" t="inlineStr">
        <is>
          <t>E1</t>
        </is>
      </c>
      <c r="F53" t="inlineStr">
        <is>
          <t>Institutional artifact + operational evidence</t>
        </is>
      </c>
      <c r="G53" t="inlineStr">
        <is>
          <t>Evidence must directly substantiate the construct; prefer operational and outcome evidence where logically applicable</t>
        </is>
      </c>
      <c r="H53" t="inlineStr">
        <is>
          <t>Current assessment cycle preferred; stale evidence requires justification</t>
        </is>
      </c>
      <c r="I53" t="inlineStr">
        <is>
          <t>2 corroborating sources for high-consequence or high-score claims</t>
        </is>
      </c>
      <c r="J53" t="inlineStr">
        <is>
          <t>Independent source preferred for E3/E4 and high-score claims</t>
        </is>
      </c>
      <c r="K53" t="inlineStr">
        <is>
          <t>Reuse allowed only with construct-specific field mapping; otherwise flag</t>
        </is>
      </c>
      <c r="L53" t="inlineStr">
        <is>
          <t>Policy/ops 12–24 months; outcomes 24–36 months unless metric-specific</t>
        </is>
      </c>
      <c r="M53" t="inlineStr">
        <is>
          <t>Only where observable outcome logically belongs to the construct</t>
        </is>
      </c>
      <c r="N53" t="inlineStr">
        <is>
          <t>Claim-only, policy-only, duplicate or unverifiable evidence cannot create strong confidence</t>
        </is>
      </c>
      <c r="O53" t="inlineStr">
        <is>
          <t>Check P0-5 linked-domain contradictions/dependencies</t>
        </is>
      </c>
      <c r="P53" t="inlineStr">
        <is>
          <t>Report confidence separately; never multiply capability score by confidence</t>
        </is>
      </c>
      <c r="Q53" t="inlineStr">
        <is>
          <t>Assessment / Verification Lead</t>
        </is>
      </c>
      <c r="R53" t="inlineStr">
        <is>
          <t>GREEN</t>
        </is>
      </c>
    </row>
    <row r="54">
      <c r="A54" t="inlineStr">
        <is>
          <t>D04</t>
        </is>
      </c>
      <c r="B54" t="inlineStr">
        <is>
          <t>I12</t>
        </is>
      </c>
      <c r="C54" t="inlineStr">
        <is>
          <t>Portfolio Foresight</t>
        </is>
      </c>
      <c r="D54" t="inlineStr">
        <is>
          <t>Required for validated metric score</t>
        </is>
      </c>
      <c r="E54" t="inlineStr">
        <is>
          <t>E1</t>
        </is>
      </c>
      <c r="F54" t="inlineStr">
        <is>
          <t>Institutional artifact + operational evidence</t>
        </is>
      </c>
      <c r="G54" t="inlineStr">
        <is>
          <t>Evidence must directly substantiate the construct; prefer operational and outcome evidence where logically applicable</t>
        </is>
      </c>
      <c r="H54" t="inlineStr">
        <is>
          <t>Current assessment cycle preferred; stale evidence requires justification</t>
        </is>
      </c>
      <c r="I54" t="inlineStr">
        <is>
          <t>2 corroborating sources for high-consequence or high-score claims</t>
        </is>
      </c>
      <c r="J54" t="inlineStr">
        <is>
          <t>Independent source preferred for E3/E4 and high-score claims</t>
        </is>
      </c>
      <c r="K54" t="inlineStr">
        <is>
          <t>Reuse allowed only with construct-specific field mapping; otherwise flag</t>
        </is>
      </c>
      <c r="L54" t="inlineStr">
        <is>
          <t>Policy/ops 12–24 months; outcomes 24–36 months unless metric-specific</t>
        </is>
      </c>
      <c r="M54" t="inlineStr">
        <is>
          <t>Only where observable outcome logically belongs to the construct</t>
        </is>
      </c>
      <c r="N54" t="inlineStr">
        <is>
          <t>Claim-only, policy-only, duplicate or unverifiable evidence cannot create strong confidence</t>
        </is>
      </c>
      <c r="O54" t="inlineStr">
        <is>
          <t>Check P0-5 linked-domain contradictions/dependencies</t>
        </is>
      </c>
      <c r="P54" t="inlineStr">
        <is>
          <t>Report confidence separately; never multiply capability score by confidence</t>
        </is>
      </c>
      <c r="Q54" t="inlineStr">
        <is>
          <t>Assessment / Verification Lead</t>
        </is>
      </c>
      <c r="R54" t="inlineStr">
        <is>
          <t>GREEN</t>
        </is>
      </c>
    </row>
    <row r="55">
      <c r="A55" t="inlineStr">
        <is>
          <t>D05</t>
        </is>
      </c>
      <c r="B55" t="inlineStr">
        <is>
          <t>I01</t>
        </is>
      </c>
      <c r="C55" t="inlineStr">
        <is>
          <t>Faculty AI Literacy Maturity</t>
        </is>
      </c>
      <c r="D55" t="inlineStr">
        <is>
          <t>Required for validated metric score</t>
        </is>
      </c>
      <c r="E55" t="inlineStr">
        <is>
          <t>E1</t>
        </is>
      </c>
      <c r="F55" t="inlineStr">
        <is>
          <t>Institutional artifact + operational evidence</t>
        </is>
      </c>
      <c r="G55" t="inlineStr">
        <is>
          <t>Evidence must directly substantiate the construct; prefer operational and outcome evidence where logically applicable</t>
        </is>
      </c>
      <c r="H55" t="inlineStr">
        <is>
          <t>Current assessment cycle preferred; stale evidence requires justification</t>
        </is>
      </c>
      <c r="I55" t="inlineStr">
        <is>
          <t>2 corroborating sources for high-consequence or high-score claims</t>
        </is>
      </c>
      <c r="J55" t="inlineStr">
        <is>
          <t>Independent source preferred for E3/E4 and high-score claims</t>
        </is>
      </c>
      <c r="K55" t="inlineStr">
        <is>
          <t>Reuse allowed only with construct-specific field mapping; otherwise flag</t>
        </is>
      </c>
      <c r="L55" t="inlineStr">
        <is>
          <t>Policy/ops 12–24 months; outcomes 24–36 months unless metric-specific</t>
        </is>
      </c>
      <c r="M55" t="inlineStr">
        <is>
          <t>Only where observable outcome logically belongs to the construct</t>
        </is>
      </c>
      <c r="N55" t="inlineStr">
        <is>
          <t>Claim-only, policy-only, duplicate or unverifiable evidence cannot create strong confidence</t>
        </is>
      </c>
      <c r="O55" t="inlineStr">
        <is>
          <t>Check P0-5 linked-domain contradictions/dependencies</t>
        </is>
      </c>
      <c r="P55" t="inlineStr">
        <is>
          <t>Report confidence separately; never multiply capability score by confidence</t>
        </is>
      </c>
      <c r="Q55" t="inlineStr">
        <is>
          <t>Assessment / Verification Lead</t>
        </is>
      </c>
      <c r="R55" t="inlineStr">
        <is>
          <t>GREEN</t>
        </is>
      </c>
    </row>
    <row r="56">
      <c r="A56" t="inlineStr">
        <is>
          <t>D05</t>
        </is>
      </c>
      <c r="B56" t="inlineStr">
        <is>
          <t>I02</t>
        </is>
      </c>
      <c r="C56" t="inlineStr">
        <is>
          <t>Discipline-Specific AI Practice</t>
        </is>
      </c>
      <c r="D56" t="inlineStr">
        <is>
          <t>Required for validated metric score</t>
        </is>
      </c>
      <c r="E56" t="inlineStr">
        <is>
          <t>E1</t>
        </is>
      </c>
      <c r="F56" t="inlineStr">
        <is>
          <t>Institutional artifact + operational evidence</t>
        </is>
      </c>
      <c r="G56" t="inlineStr">
        <is>
          <t>Evidence must directly substantiate the construct; prefer operational and outcome evidence where logically applicable</t>
        </is>
      </c>
      <c r="H56" t="inlineStr">
        <is>
          <t>Current assessment cycle preferred; stale evidence requires justification</t>
        </is>
      </c>
      <c r="I56" t="inlineStr">
        <is>
          <t>2 corroborating sources for high-consequence or high-score claims</t>
        </is>
      </c>
      <c r="J56" t="inlineStr">
        <is>
          <t>Independent source preferred for E3/E4 and high-score claims</t>
        </is>
      </c>
      <c r="K56" t="inlineStr">
        <is>
          <t>Reuse allowed only with construct-specific field mapping; otherwise flag</t>
        </is>
      </c>
      <c r="L56" t="inlineStr">
        <is>
          <t>Policy/ops 12–24 months; outcomes 24–36 months unless metric-specific</t>
        </is>
      </c>
      <c r="M56" t="inlineStr">
        <is>
          <t>Only where observable outcome logically belongs to the construct</t>
        </is>
      </c>
      <c r="N56" t="inlineStr">
        <is>
          <t>Claim-only, policy-only, duplicate or unverifiable evidence cannot create strong confidence</t>
        </is>
      </c>
      <c r="O56" t="inlineStr">
        <is>
          <t>Check P0-5 linked-domain contradictions/dependencies</t>
        </is>
      </c>
      <c r="P56" t="inlineStr">
        <is>
          <t>Report confidence separately; never multiply capability score by confidence</t>
        </is>
      </c>
      <c r="Q56" t="inlineStr">
        <is>
          <t>Assessment / Verification Lead</t>
        </is>
      </c>
      <c r="R56" t="inlineStr">
        <is>
          <t>GREEN</t>
        </is>
      </c>
    </row>
    <row r="57">
      <c r="A57" t="inlineStr">
        <is>
          <t>D05</t>
        </is>
      </c>
      <c r="B57" t="inlineStr">
        <is>
          <t>I03</t>
        </is>
      </c>
      <c r="C57" t="inlineStr">
        <is>
          <t>AI-Enhanced Pedagogy</t>
        </is>
      </c>
      <c r="D57" t="inlineStr">
        <is>
          <t>Required for validated metric score</t>
        </is>
      </c>
      <c r="E57" t="inlineStr">
        <is>
          <t>E1</t>
        </is>
      </c>
      <c r="F57" t="inlineStr">
        <is>
          <t>Institutional artifact + operational evidence</t>
        </is>
      </c>
      <c r="G57" t="inlineStr">
        <is>
          <t>Evidence must directly substantiate the construct; prefer operational and outcome evidence where logically applicable</t>
        </is>
      </c>
      <c r="H57" t="inlineStr">
        <is>
          <t>Current assessment cycle preferred; stale evidence requires justification</t>
        </is>
      </c>
      <c r="I57" t="inlineStr">
        <is>
          <t>2 corroborating sources for high-consequence or high-score claims</t>
        </is>
      </c>
      <c r="J57" t="inlineStr">
        <is>
          <t>Independent source preferred for E3/E4 and high-score claims</t>
        </is>
      </c>
      <c r="K57" t="inlineStr">
        <is>
          <t>Reuse allowed only with construct-specific field mapping; otherwise flag</t>
        </is>
      </c>
      <c r="L57" t="inlineStr">
        <is>
          <t>Policy/ops 12–24 months; outcomes 24–36 months unless metric-specific</t>
        </is>
      </c>
      <c r="M57" t="inlineStr">
        <is>
          <t>Only where observable outcome logically belongs to the construct</t>
        </is>
      </c>
      <c r="N57" t="inlineStr">
        <is>
          <t>Claim-only, policy-only, duplicate or unverifiable evidence cannot create strong confidence</t>
        </is>
      </c>
      <c r="O57" t="inlineStr">
        <is>
          <t>Check P0-5 linked-domain contradictions/dependencies</t>
        </is>
      </c>
      <c r="P57" t="inlineStr">
        <is>
          <t>Report confidence separately; never multiply capability score by confidence</t>
        </is>
      </c>
      <c r="Q57" t="inlineStr">
        <is>
          <t>Assessment / Verification Lead</t>
        </is>
      </c>
      <c r="R57" t="inlineStr">
        <is>
          <t>GREEN</t>
        </is>
      </c>
    </row>
    <row r="58">
      <c r="A58" t="inlineStr">
        <is>
          <t>D05</t>
        </is>
      </c>
      <c r="B58" t="inlineStr">
        <is>
          <t>I04</t>
        </is>
      </c>
      <c r="C58" t="inlineStr">
        <is>
          <t>Assessment Redesign Capability</t>
        </is>
      </c>
      <c r="D58" t="inlineStr">
        <is>
          <t>Required for validated metric score</t>
        </is>
      </c>
      <c r="E58" t="inlineStr">
        <is>
          <t>E1</t>
        </is>
      </c>
      <c r="F58" t="inlineStr">
        <is>
          <t>Institutional artifact + operational evidence</t>
        </is>
      </c>
      <c r="G58" t="inlineStr">
        <is>
          <t>Evidence must directly substantiate the construct; prefer operational and outcome evidence where logically applicable</t>
        </is>
      </c>
      <c r="H58" t="inlineStr">
        <is>
          <t>Current assessment cycle preferred; stale evidence requires justification</t>
        </is>
      </c>
      <c r="I58" t="inlineStr">
        <is>
          <t>2 corroborating sources for high-consequence or high-score claims</t>
        </is>
      </c>
      <c r="J58" t="inlineStr">
        <is>
          <t>Independent source preferred for E3/E4 and high-score claims</t>
        </is>
      </c>
      <c r="K58" t="inlineStr">
        <is>
          <t>Reuse allowed only with construct-specific field mapping; otherwise flag</t>
        </is>
      </c>
      <c r="L58" t="inlineStr">
        <is>
          <t>Policy/ops 12–24 months; outcomes 24–36 months unless metric-specific</t>
        </is>
      </c>
      <c r="M58" t="inlineStr">
        <is>
          <t>Only where observable outcome logically belongs to the construct</t>
        </is>
      </c>
      <c r="N58" t="inlineStr">
        <is>
          <t>Claim-only, policy-only, duplicate or unverifiable evidence cannot create strong confidence</t>
        </is>
      </c>
      <c r="O58" t="inlineStr">
        <is>
          <t>Check P0-5 linked-domain contradictions/dependencies</t>
        </is>
      </c>
      <c r="P58" t="inlineStr">
        <is>
          <t>Report confidence separately; never multiply capability score by confidence</t>
        </is>
      </c>
      <c r="Q58" t="inlineStr">
        <is>
          <t>Assessment / Verification Lead</t>
        </is>
      </c>
      <c r="R58" t="inlineStr">
        <is>
          <t>GREEN</t>
        </is>
      </c>
    </row>
    <row r="59">
      <c r="A59" t="inlineStr">
        <is>
          <t>D05</t>
        </is>
      </c>
      <c r="B59" t="inlineStr">
        <is>
          <t>I05</t>
        </is>
      </c>
      <c r="C59" t="inlineStr">
        <is>
          <t>Faculty Learning &amp; Development Effectiveness</t>
        </is>
      </c>
      <c r="D59" t="inlineStr">
        <is>
          <t>Required for validated metric score</t>
        </is>
      </c>
      <c r="E59" t="inlineStr">
        <is>
          <t>E1</t>
        </is>
      </c>
      <c r="F59" t="inlineStr">
        <is>
          <t>Institutional artifact + operational evidence</t>
        </is>
      </c>
      <c r="G59" t="inlineStr">
        <is>
          <t>Evidence must directly substantiate the construct; prefer operational and outcome evidence where logically applicable</t>
        </is>
      </c>
      <c r="H59" t="inlineStr">
        <is>
          <t>Current assessment cycle preferred; stale evidence requires justification</t>
        </is>
      </c>
      <c r="I59" t="inlineStr">
        <is>
          <t>2 corroborating sources for high-consequence or high-score claims</t>
        </is>
      </c>
      <c r="J59" t="inlineStr">
        <is>
          <t>Independent source preferred for E3/E4 and high-score claims</t>
        </is>
      </c>
      <c r="K59" t="inlineStr">
        <is>
          <t>Reuse allowed only with construct-specific field mapping; otherwise flag</t>
        </is>
      </c>
      <c r="L59" t="inlineStr">
        <is>
          <t>Policy/ops 12–24 months; outcomes 24–36 months unless metric-specific</t>
        </is>
      </c>
      <c r="M59" t="inlineStr">
        <is>
          <t>Only where observable outcome logically belongs to the construct</t>
        </is>
      </c>
      <c r="N59" t="inlineStr">
        <is>
          <t>Claim-only, policy-only, duplicate or unverifiable evidence cannot create strong confidence</t>
        </is>
      </c>
      <c r="O59" t="inlineStr">
        <is>
          <t>Check P0-5 linked-domain contradictions/dependencies</t>
        </is>
      </c>
      <c r="P59" t="inlineStr">
        <is>
          <t>Report confidence separately; never multiply capability score by confidence</t>
        </is>
      </c>
      <c r="Q59" t="inlineStr">
        <is>
          <t>Assessment / Verification Lead</t>
        </is>
      </c>
      <c r="R59" t="inlineStr">
        <is>
          <t>GREEN</t>
        </is>
      </c>
    </row>
    <row r="60">
      <c r="A60" t="inlineStr">
        <is>
          <t>D05</t>
        </is>
      </c>
      <c r="B60" t="inlineStr">
        <is>
          <t>I06</t>
        </is>
      </c>
      <c r="C60" t="inlineStr">
        <is>
          <t>Peer Learning &amp; Communities</t>
        </is>
      </c>
      <c r="D60" t="inlineStr">
        <is>
          <t>Required for validated metric score</t>
        </is>
      </c>
      <c r="E60" t="inlineStr">
        <is>
          <t>E1</t>
        </is>
      </c>
      <c r="F60" t="inlineStr">
        <is>
          <t>Institutional artifact + operational evidence</t>
        </is>
      </c>
      <c r="G60" t="inlineStr">
        <is>
          <t>Evidence must directly substantiate the construct; prefer operational and outcome evidence where logically applicable</t>
        </is>
      </c>
      <c r="H60" t="inlineStr">
        <is>
          <t>Current assessment cycle preferred; stale evidence requires justification</t>
        </is>
      </c>
      <c r="I60" t="inlineStr">
        <is>
          <t>2 corroborating sources for high-consequence or high-score claims</t>
        </is>
      </c>
      <c r="J60" t="inlineStr">
        <is>
          <t>Independent source preferred for E3/E4 and high-score claims</t>
        </is>
      </c>
      <c r="K60" t="inlineStr">
        <is>
          <t>Reuse allowed only with construct-specific field mapping; otherwise flag</t>
        </is>
      </c>
      <c r="L60" t="inlineStr">
        <is>
          <t>Policy/ops 12–24 months; outcomes 24–36 months unless metric-specific</t>
        </is>
      </c>
      <c r="M60" t="inlineStr">
        <is>
          <t>Only where observable outcome logically belongs to the construct</t>
        </is>
      </c>
      <c r="N60" t="inlineStr">
        <is>
          <t>Claim-only, policy-only, duplicate or unverifiable evidence cannot create strong confidence</t>
        </is>
      </c>
      <c r="O60" t="inlineStr">
        <is>
          <t>Check P0-5 linked-domain contradictions/dependencies</t>
        </is>
      </c>
      <c r="P60" t="inlineStr">
        <is>
          <t>Report confidence separately; never multiply capability score by confidence</t>
        </is>
      </c>
      <c r="Q60" t="inlineStr">
        <is>
          <t>Assessment / Verification Lead</t>
        </is>
      </c>
      <c r="R60" t="inlineStr">
        <is>
          <t>GREEN</t>
        </is>
      </c>
    </row>
    <row r="61">
      <c r="A61" t="inlineStr">
        <is>
          <t>D05</t>
        </is>
      </c>
      <c r="B61" t="inlineStr">
        <is>
          <t>I07</t>
        </is>
      </c>
      <c r="C61" t="inlineStr">
        <is>
          <t>AI Research &amp; Knowledge Creation</t>
        </is>
      </c>
      <c r="D61" t="inlineStr">
        <is>
          <t>Required for validated metric score</t>
        </is>
      </c>
      <c r="E61" t="inlineStr">
        <is>
          <t>E1</t>
        </is>
      </c>
      <c r="F61" t="inlineStr">
        <is>
          <t>Institutional artifact + operational evidence</t>
        </is>
      </c>
      <c r="G61" t="inlineStr">
        <is>
          <t>Evidence must directly substantiate the construct; prefer operational and outcome evidence where logically applicable</t>
        </is>
      </c>
      <c r="H61" t="inlineStr">
        <is>
          <t>Current assessment cycle preferred; stale evidence requires justification</t>
        </is>
      </c>
      <c r="I61" t="inlineStr">
        <is>
          <t>2 corroborating sources for high-consequence or high-score claims</t>
        </is>
      </c>
      <c r="J61" t="inlineStr">
        <is>
          <t>Independent source preferred for E3/E4 and high-score claims</t>
        </is>
      </c>
      <c r="K61" t="inlineStr">
        <is>
          <t>Reuse allowed only with construct-specific field mapping; otherwise flag</t>
        </is>
      </c>
      <c r="L61" t="inlineStr">
        <is>
          <t>Policy/ops 12–24 months; outcomes 24–36 months unless metric-specific</t>
        </is>
      </c>
      <c r="M61" t="inlineStr">
        <is>
          <t>Only where observable outcome logically belongs to the construct</t>
        </is>
      </c>
      <c r="N61" t="inlineStr">
        <is>
          <t>Claim-only, policy-only, duplicate or unverifiable evidence cannot create strong confidence</t>
        </is>
      </c>
      <c r="O61" t="inlineStr">
        <is>
          <t>Check P0-5 linked-domain contradictions/dependencies</t>
        </is>
      </c>
      <c r="P61" t="inlineStr">
        <is>
          <t>Report confidence separately; never multiply capability score by confidence</t>
        </is>
      </c>
      <c r="Q61" t="inlineStr">
        <is>
          <t>Assessment / Verification Lead</t>
        </is>
      </c>
      <c r="R61" t="inlineStr">
        <is>
          <t>GREEN</t>
        </is>
      </c>
    </row>
    <row r="62">
      <c r="A62" t="inlineStr">
        <is>
          <t>D05</t>
        </is>
      </c>
      <c r="B62" t="inlineStr">
        <is>
          <t>I08</t>
        </is>
      </c>
      <c r="C62" t="inlineStr">
        <is>
          <t>Academic Role Redesign</t>
        </is>
      </c>
      <c r="D62" t="inlineStr">
        <is>
          <t>Required for validated metric score</t>
        </is>
      </c>
      <c r="E62" t="inlineStr">
        <is>
          <t>E1</t>
        </is>
      </c>
      <c r="F62" t="inlineStr">
        <is>
          <t>Institutional artifact + operational evidence</t>
        </is>
      </c>
      <c r="G62" t="inlineStr">
        <is>
          <t>Evidence must directly substantiate the construct; prefer operational and outcome evidence where logically applicable</t>
        </is>
      </c>
      <c r="H62" t="inlineStr">
        <is>
          <t>Current assessment cycle preferred; stale evidence requires justification</t>
        </is>
      </c>
      <c r="I62" t="inlineStr">
        <is>
          <t>2 corroborating sources for high-consequence or high-score claims</t>
        </is>
      </c>
      <c r="J62" t="inlineStr">
        <is>
          <t>Independent source preferred for E3/E4 and high-score claims</t>
        </is>
      </c>
      <c r="K62" t="inlineStr">
        <is>
          <t>Reuse allowed only with construct-specific field mapping; otherwise flag</t>
        </is>
      </c>
      <c r="L62" t="inlineStr">
        <is>
          <t>Policy/ops 12–24 months; outcomes 24–36 months unless metric-specific</t>
        </is>
      </c>
      <c r="M62" t="inlineStr">
        <is>
          <t>Only where observable outcome logically belongs to the construct</t>
        </is>
      </c>
      <c r="N62" t="inlineStr">
        <is>
          <t>Claim-only, policy-only, duplicate or unverifiable evidence cannot create strong confidence</t>
        </is>
      </c>
      <c r="O62" t="inlineStr">
        <is>
          <t>Check P0-5 linked-domain contradictions/dependencies</t>
        </is>
      </c>
      <c r="P62" t="inlineStr">
        <is>
          <t>Report confidence separately; never multiply capability score by confidence</t>
        </is>
      </c>
      <c r="Q62" t="inlineStr">
        <is>
          <t>Assessment / Verification Lead</t>
        </is>
      </c>
      <c r="R62" t="inlineStr">
        <is>
          <t>GREEN</t>
        </is>
      </c>
    </row>
    <row r="63">
      <c r="A63" t="inlineStr">
        <is>
          <t>D05</t>
        </is>
      </c>
      <c r="B63" t="inlineStr">
        <is>
          <t>I09</t>
        </is>
      </c>
      <c r="C63" t="inlineStr">
        <is>
          <t>Workload &amp; Workflow Transformation</t>
        </is>
      </c>
      <c r="D63" t="inlineStr">
        <is>
          <t>Required for validated metric score</t>
        </is>
      </c>
      <c r="E63" t="inlineStr">
        <is>
          <t>E1</t>
        </is>
      </c>
      <c r="F63" t="inlineStr">
        <is>
          <t>Institutional artifact + operational evidence</t>
        </is>
      </c>
      <c r="G63" t="inlineStr">
        <is>
          <t>Evidence must directly substantiate the construct; prefer operational and outcome evidence where logically applicable</t>
        </is>
      </c>
      <c r="H63" t="inlineStr">
        <is>
          <t>Current assessment cycle preferred; stale evidence requires justification</t>
        </is>
      </c>
      <c r="I63" t="inlineStr">
        <is>
          <t>2 corroborating sources for high-consequence or high-score claims</t>
        </is>
      </c>
      <c r="J63" t="inlineStr">
        <is>
          <t>Independent source preferred for E3/E4 and high-score claims</t>
        </is>
      </c>
      <c r="K63" t="inlineStr">
        <is>
          <t>Reuse allowed only with construct-specific field mapping; otherwise flag</t>
        </is>
      </c>
      <c r="L63" t="inlineStr">
        <is>
          <t>Policy/ops 12–24 months; outcomes 24–36 months unless metric-specific</t>
        </is>
      </c>
      <c r="M63" t="inlineStr">
        <is>
          <t>Only where observable outcome logically belongs to the construct</t>
        </is>
      </c>
      <c r="N63" t="inlineStr">
        <is>
          <t>Claim-only, policy-only, duplicate or unverifiable evidence cannot create strong confidence</t>
        </is>
      </c>
      <c r="O63" t="inlineStr">
        <is>
          <t>Check P0-5 linked-domain contradictions/dependencies</t>
        </is>
      </c>
      <c r="P63" t="inlineStr">
        <is>
          <t>Report confidence separately; never multiply capability score by confidence</t>
        </is>
      </c>
      <c r="Q63" t="inlineStr">
        <is>
          <t>Assessment / Verification Lead</t>
        </is>
      </c>
      <c r="R63" t="inlineStr">
        <is>
          <t>GREEN</t>
        </is>
      </c>
    </row>
    <row r="64">
      <c r="A64" t="inlineStr">
        <is>
          <t>D05</t>
        </is>
      </c>
      <c r="B64" t="inlineStr">
        <is>
          <t>I10</t>
        </is>
      </c>
      <c r="C64" t="inlineStr">
        <is>
          <t>Faculty Support Infrastructure</t>
        </is>
      </c>
      <c r="D64" t="inlineStr">
        <is>
          <t>Required for validated metric score</t>
        </is>
      </c>
      <c r="E64" t="inlineStr">
        <is>
          <t>E1</t>
        </is>
      </c>
      <c r="F64" t="inlineStr">
        <is>
          <t>Institutional artifact + operational evidence</t>
        </is>
      </c>
      <c r="G64" t="inlineStr">
        <is>
          <t>Evidence must directly substantiate the construct; prefer operational and outcome evidence where logically applicable</t>
        </is>
      </c>
      <c r="H64" t="inlineStr">
        <is>
          <t>Current assessment cycle preferred; stale evidence requires justification</t>
        </is>
      </c>
      <c r="I64" t="inlineStr">
        <is>
          <t>2 corroborating sources for high-consequence or high-score claims</t>
        </is>
      </c>
      <c r="J64" t="inlineStr">
        <is>
          <t>Independent source preferred for E3/E4 and high-score claims</t>
        </is>
      </c>
      <c r="K64" t="inlineStr">
        <is>
          <t>Reuse allowed only with construct-specific field mapping; otherwise flag</t>
        </is>
      </c>
      <c r="L64" t="inlineStr">
        <is>
          <t>Policy/ops 12–24 months; outcomes 24–36 months unless metric-specific</t>
        </is>
      </c>
      <c r="M64" t="inlineStr">
        <is>
          <t>Only where observable outcome logically belongs to the construct</t>
        </is>
      </c>
      <c r="N64" t="inlineStr">
        <is>
          <t>Claim-only, policy-only, duplicate or unverifiable evidence cannot create strong confidence</t>
        </is>
      </c>
      <c r="O64" t="inlineStr">
        <is>
          <t>Check P0-5 linked-domain contradictions/dependencies</t>
        </is>
      </c>
      <c r="P64" t="inlineStr">
        <is>
          <t>Report confidence separately; never multiply capability score by confidence</t>
        </is>
      </c>
      <c r="Q64" t="inlineStr">
        <is>
          <t>Assessment / Verification Lead</t>
        </is>
      </c>
      <c r="R64" t="inlineStr">
        <is>
          <t>GREEN</t>
        </is>
      </c>
    </row>
    <row r="65">
      <c r="A65" t="inlineStr">
        <is>
          <t>D05</t>
        </is>
      </c>
      <c r="B65" t="inlineStr">
        <is>
          <t>I11</t>
        </is>
      </c>
      <c r="C65" t="inlineStr">
        <is>
          <t>Academic Leadership for AI</t>
        </is>
      </c>
      <c r="D65" t="inlineStr">
        <is>
          <t>Required for validated metric score</t>
        </is>
      </c>
      <c r="E65" t="inlineStr">
        <is>
          <t>E1</t>
        </is>
      </c>
      <c r="F65" t="inlineStr">
        <is>
          <t>Institutional artifact + operational evidence</t>
        </is>
      </c>
      <c r="G65" t="inlineStr">
        <is>
          <t>Evidence must directly substantiate the construct; prefer operational and outcome evidence where logically applicable</t>
        </is>
      </c>
      <c r="H65" t="inlineStr">
        <is>
          <t>Current assessment cycle preferred; stale evidence requires justification</t>
        </is>
      </c>
      <c r="I65" t="inlineStr">
        <is>
          <t>2 corroborating sources for high-consequence or high-score claims</t>
        </is>
      </c>
      <c r="J65" t="inlineStr">
        <is>
          <t>Independent source preferred for E3/E4 and high-score claims</t>
        </is>
      </c>
      <c r="K65" t="inlineStr">
        <is>
          <t>Reuse allowed only with construct-specific field mapping; otherwise flag</t>
        </is>
      </c>
      <c r="L65" t="inlineStr">
        <is>
          <t>Policy/ops 12–24 months; outcomes 24–36 months unless metric-specific</t>
        </is>
      </c>
      <c r="M65" t="inlineStr">
        <is>
          <t>Only where observable outcome logically belongs to the construct</t>
        </is>
      </c>
      <c r="N65" t="inlineStr">
        <is>
          <t>Claim-only, policy-only, duplicate or unverifiable evidence cannot create strong confidence</t>
        </is>
      </c>
      <c r="O65" t="inlineStr">
        <is>
          <t>Check P0-5 linked-domain contradictions/dependencies</t>
        </is>
      </c>
      <c r="P65" t="inlineStr">
        <is>
          <t>Report confidence separately; never multiply capability score by confidence</t>
        </is>
      </c>
      <c r="Q65" t="inlineStr">
        <is>
          <t>Assessment / Verification Lead</t>
        </is>
      </c>
      <c r="R65" t="inlineStr">
        <is>
          <t>GREEN</t>
        </is>
      </c>
    </row>
    <row r="66">
      <c r="A66" t="inlineStr">
        <is>
          <t>D05</t>
        </is>
      </c>
      <c r="B66" t="inlineStr">
        <is>
          <t>I12</t>
        </is>
      </c>
      <c r="C66" t="inlineStr">
        <is>
          <t>Faculty Adoption Learning Loop</t>
        </is>
      </c>
      <c r="D66" t="inlineStr">
        <is>
          <t>Required for validated metric score</t>
        </is>
      </c>
      <c r="E66" t="inlineStr">
        <is>
          <t>E1</t>
        </is>
      </c>
      <c r="F66" t="inlineStr">
        <is>
          <t>Institutional artifact + operational evidence</t>
        </is>
      </c>
      <c r="G66" t="inlineStr">
        <is>
          <t>Evidence must directly substantiate the construct; prefer operational and outcome evidence where logically applicable</t>
        </is>
      </c>
      <c r="H66" t="inlineStr">
        <is>
          <t>Current assessment cycle preferred; stale evidence requires justification</t>
        </is>
      </c>
      <c r="I66" t="inlineStr">
        <is>
          <t>2 corroborating sources for high-consequence or high-score claims</t>
        </is>
      </c>
      <c r="J66" t="inlineStr">
        <is>
          <t>Independent source preferred for E3/E4 and high-score claims</t>
        </is>
      </c>
      <c r="K66" t="inlineStr">
        <is>
          <t>Reuse allowed only with construct-specific field mapping; otherwise flag</t>
        </is>
      </c>
      <c r="L66" t="inlineStr">
        <is>
          <t>Policy/ops 12–24 months; outcomes 24–36 months unless metric-specific</t>
        </is>
      </c>
      <c r="M66" t="inlineStr">
        <is>
          <t>Only where observable outcome logically belongs to the construct</t>
        </is>
      </c>
      <c r="N66" t="inlineStr">
        <is>
          <t>Claim-only, policy-only, duplicate or unverifiable evidence cannot create strong confidence</t>
        </is>
      </c>
      <c r="O66" t="inlineStr">
        <is>
          <t>Check P0-5 linked-domain contradictions/dependencies</t>
        </is>
      </c>
      <c r="P66" t="inlineStr">
        <is>
          <t>Report confidence separately; never multiply capability score by confidence</t>
        </is>
      </c>
      <c r="Q66" t="inlineStr">
        <is>
          <t>Assessment / Verification Lead</t>
        </is>
      </c>
      <c r="R66" t="inlineStr">
        <is>
          <t>GREEN</t>
        </is>
      </c>
    </row>
    <row r="67">
      <c r="A67" t="inlineStr">
        <is>
          <t>D06</t>
        </is>
      </c>
      <c r="B67" t="inlineStr">
        <is>
          <t>I01</t>
        </is>
      </c>
      <c r="C67" t="inlineStr">
        <is>
          <t>Student AI Literacy</t>
        </is>
      </c>
      <c r="D67" t="inlineStr">
        <is>
          <t>Required for validated metric score</t>
        </is>
      </c>
      <c r="E67" t="inlineStr">
        <is>
          <t>E1</t>
        </is>
      </c>
      <c r="F67" t="inlineStr">
        <is>
          <t>Institutional artifact + operational evidence</t>
        </is>
      </c>
      <c r="G67" t="inlineStr">
        <is>
          <t>Evidence must directly substantiate the construct; prefer operational and outcome evidence where logically applicable</t>
        </is>
      </c>
      <c r="H67" t="inlineStr">
        <is>
          <t>Current assessment cycle preferred; stale evidence requires justification</t>
        </is>
      </c>
      <c r="I67" t="inlineStr">
        <is>
          <t>2 corroborating sources for high-consequence or high-score claims</t>
        </is>
      </c>
      <c r="J67" t="inlineStr">
        <is>
          <t>Independent source preferred for E3/E4 and high-score claims</t>
        </is>
      </c>
      <c r="K67" t="inlineStr">
        <is>
          <t>Reuse allowed only with construct-specific field mapping; otherwise flag</t>
        </is>
      </c>
      <c r="L67" t="inlineStr">
        <is>
          <t>Policy/ops 12–24 months; outcomes 24–36 months unless metric-specific</t>
        </is>
      </c>
      <c r="M67" t="inlineStr">
        <is>
          <t>Only where observable outcome logically belongs to the construct</t>
        </is>
      </c>
      <c r="N67" t="inlineStr">
        <is>
          <t>Claim-only, policy-only, duplicate or unverifiable evidence cannot create strong confidence</t>
        </is>
      </c>
      <c r="O67" t="inlineStr">
        <is>
          <t>Check P0-5 linked-domain contradictions/dependencies</t>
        </is>
      </c>
      <c r="P67" t="inlineStr">
        <is>
          <t>Report confidence separately; never multiply capability score by confidence</t>
        </is>
      </c>
      <c r="Q67" t="inlineStr">
        <is>
          <t>Assessment / Verification Lead</t>
        </is>
      </c>
      <c r="R67" t="inlineStr">
        <is>
          <t>GREEN</t>
        </is>
      </c>
    </row>
    <row r="68">
      <c r="A68" t="inlineStr">
        <is>
          <t>D06</t>
        </is>
      </c>
      <c r="B68" t="inlineStr">
        <is>
          <t>I02</t>
        </is>
      </c>
      <c r="C68" t="inlineStr">
        <is>
          <t>Critical AI Evaluation</t>
        </is>
      </c>
      <c r="D68" t="inlineStr">
        <is>
          <t>Required for validated metric score</t>
        </is>
      </c>
      <c r="E68" t="inlineStr">
        <is>
          <t>E1</t>
        </is>
      </c>
      <c r="F68" t="inlineStr">
        <is>
          <t>Institutional artifact + operational evidence</t>
        </is>
      </c>
      <c r="G68" t="inlineStr">
        <is>
          <t>Evidence must directly substantiate the construct; prefer operational and outcome evidence where logically applicable</t>
        </is>
      </c>
      <c r="H68" t="inlineStr">
        <is>
          <t>Current assessment cycle preferred; stale evidence requires justification</t>
        </is>
      </c>
      <c r="I68" t="inlineStr">
        <is>
          <t>2 corroborating sources for high-consequence or high-score claims</t>
        </is>
      </c>
      <c r="J68" t="inlineStr">
        <is>
          <t>Independent source preferred for E3/E4 and high-score claims</t>
        </is>
      </c>
      <c r="K68" t="inlineStr">
        <is>
          <t>Reuse allowed only with construct-specific field mapping; otherwise flag</t>
        </is>
      </c>
      <c r="L68" t="inlineStr">
        <is>
          <t>Policy/ops 12–24 months; outcomes 24–36 months unless metric-specific</t>
        </is>
      </c>
      <c r="M68" t="inlineStr">
        <is>
          <t>Only where observable outcome logically belongs to the construct</t>
        </is>
      </c>
      <c r="N68" t="inlineStr">
        <is>
          <t>Claim-only, policy-only, duplicate or unverifiable evidence cannot create strong confidence</t>
        </is>
      </c>
      <c r="O68" t="inlineStr">
        <is>
          <t>Check P0-5 linked-domain contradictions/dependencies</t>
        </is>
      </c>
      <c r="P68" t="inlineStr">
        <is>
          <t>Report confidence separately; never multiply capability score by confidence</t>
        </is>
      </c>
      <c r="Q68" t="inlineStr">
        <is>
          <t>Assessment / Verification Lead</t>
        </is>
      </c>
      <c r="R68" t="inlineStr">
        <is>
          <t>GREEN</t>
        </is>
      </c>
    </row>
    <row r="69">
      <c r="A69" t="inlineStr">
        <is>
          <t>D06</t>
        </is>
      </c>
      <c r="B69" t="inlineStr">
        <is>
          <t>I03</t>
        </is>
      </c>
      <c r="C69" t="inlineStr">
        <is>
          <t>Learning Agency</t>
        </is>
      </c>
      <c r="D69" t="inlineStr">
        <is>
          <t>Required for validated metric score</t>
        </is>
      </c>
      <c r="E69" t="inlineStr">
        <is>
          <t>E1</t>
        </is>
      </c>
      <c r="F69" t="inlineStr">
        <is>
          <t>Institutional artifact + operational evidence</t>
        </is>
      </c>
      <c r="G69" t="inlineStr">
        <is>
          <t>Evidence must directly substantiate the construct; prefer operational and outcome evidence where logically applicable</t>
        </is>
      </c>
      <c r="H69" t="inlineStr">
        <is>
          <t>Current assessment cycle preferred; stale evidence requires justification</t>
        </is>
      </c>
      <c r="I69" t="inlineStr">
        <is>
          <t>2 corroborating sources for high-consequence or high-score claims</t>
        </is>
      </c>
      <c r="J69" t="inlineStr">
        <is>
          <t>Independent source preferred for E3/E4 and high-score claims</t>
        </is>
      </c>
      <c r="K69" t="inlineStr">
        <is>
          <t>Reuse allowed only with construct-specific field mapping; otherwise flag</t>
        </is>
      </c>
      <c r="L69" t="inlineStr">
        <is>
          <t>Policy/ops 12–24 months; outcomes 24–36 months unless metric-specific</t>
        </is>
      </c>
      <c r="M69" t="inlineStr">
        <is>
          <t>Only where observable outcome logically belongs to the construct</t>
        </is>
      </c>
      <c r="N69" t="inlineStr">
        <is>
          <t>Claim-only, policy-only, duplicate or unverifiable evidence cannot create strong confidence</t>
        </is>
      </c>
      <c r="O69" t="inlineStr">
        <is>
          <t>Check P0-5 linked-domain contradictions/dependencies</t>
        </is>
      </c>
      <c r="P69" t="inlineStr">
        <is>
          <t>Report confidence separately; never multiply capability score by confidence</t>
        </is>
      </c>
      <c r="Q69" t="inlineStr">
        <is>
          <t>Assessment / Verification Lead</t>
        </is>
      </c>
      <c r="R69" t="inlineStr">
        <is>
          <t>GREEN</t>
        </is>
      </c>
    </row>
    <row r="70">
      <c r="A70" t="inlineStr">
        <is>
          <t>D06</t>
        </is>
      </c>
      <c r="B70" t="inlineStr">
        <is>
          <t>I04</t>
        </is>
      </c>
      <c r="C70" t="inlineStr">
        <is>
          <t>Independent Intellectual Agency</t>
        </is>
      </c>
      <c r="D70" t="inlineStr">
        <is>
          <t>Required for validated metric score</t>
        </is>
      </c>
      <c r="E70" t="inlineStr">
        <is>
          <t>E1</t>
        </is>
      </c>
      <c r="F70" t="inlineStr">
        <is>
          <t>Institutional artifact + operational evidence</t>
        </is>
      </c>
      <c r="G70" t="inlineStr">
        <is>
          <t>Evidence must directly substantiate the construct; prefer operational and outcome evidence where logically applicable</t>
        </is>
      </c>
      <c r="H70" t="inlineStr">
        <is>
          <t>Current assessment cycle preferred; stale evidence requires justification</t>
        </is>
      </c>
      <c r="I70" t="inlineStr">
        <is>
          <t>2 corroborating sources for high-consequence or high-score claims</t>
        </is>
      </c>
      <c r="J70" t="inlineStr">
        <is>
          <t>Independent source preferred for E3/E4 and high-score claims</t>
        </is>
      </c>
      <c r="K70" t="inlineStr">
        <is>
          <t>Reuse allowed only with construct-specific field mapping; otherwise flag</t>
        </is>
      </c>
      <c r="L70" t="inlineStr">
        <is>
          <t>Policy/ops 12–24 months; outcomes 24–36 months unless metric-specific</t>
        </is>
      </c>
      <c r="M70" t="inlineStr">
        <is>
          <t>Only where observable outcome logically belongs to the construct</t>
        </is>
      </c>
      <c r="N70" t="inlineStr">
        <is>
          <t>Claim-only, policy-only, duplicate or unverifiable evidence cannot create strong confidence</t>
        </is>
      </c>
      <c r="O70" t="inlineStr">
        <is>
          <t>Check P0-5 linked-domain contradictions/dependencies</t>
        </is>
      </c>
      <c r="P70" t="inlineStr">
        <is>
          <t>Report confidence separately; never multiply capability score by confidence</t>
        </is>
      </c>
      <c r="Q70" t="inlineStr">
        <is>
          <t>Assessment / Verification Lead</t>
        </is>
      </c>
      <c r="R70" t="inlineStr">
        <is>
          <t>GREEN</t>
        </is>
      </c>
    </row>
    <row r="71">
      <c r="A71" t="inlineStr">
        <is>
          <t>D06</t>
        </is>
      </c>
      <c r="B71" t="inlineStr">
        <is>
          <t>I05</t>
        </is>
      </c>
      <c r="C71" t="inlineStr">
        <is>
          <t>Communication &amp; Defence</t>
        </is>
      </c>
      <c r="D71" t="inlineStr">
        <is>
          <t>Required for validated metric score</t>
        </is>
      </c>
      <c r="E71" t="inlineStr">
        <is>
          <t>E1</t>
        </is>
      </c>
      <c r="F71" t="inlineStr">
        <is>
          <t>Institutional artifact + operational evidence</t>
        </is>
      </c>
      <c r="G71" t="inlineStr">
        <is>
          <t>Evidence must directly substantiate the construct; prefer operational and outcome evidence where logically applicable</t>
        </is>
      </c>
      <c r="H71" t="inlineStr">
        <is>
          <t>Current assessment cycle preferred; stale evidence requires justification</t>
        </is>
      </c>
      <c r="I71" t="inlineStr">
        <is>
          <t>2 corroborating sources for high-consequence or high-score claims</t>
        </is>
      </c>
      <c r="J71" t="inlineStr">
        <is>
          <t>Independent source preferred for E3/E4 and high-score claims</t>
        </is>
      </c>
      <c r="K71" t="inlineStr">
        <is>
          <t>Reuse allowed only with construct-specific field mapping; otherwise flag</t>
        </is>
      </c>
      <c r="L71" t="inlineStr">
        <is>
          <t>Policy/ops 12–24 months; outcomes 24–36 months unless metric-specific</t>
        </is>
      </c>
      <c r="M71" t="inlineStr">
        <is>
          <t>Only where observable outcome logically belongs to the construct</t>
        </is>
      </c>
      <c r="N71" t="inlineStr">
        <is>
          <t>Claim-only, policy-only, duplicate or unverifiable evidence cannot create strong confidence</t>
        </is>
      </c>
      <c r="O71" t="inlineStr">
        <is>
          <t>Check P0-5 linked-domain contradictions/dependencies</t>
        </is>
      </c>
      <c r="P71" t="inlineStr">
        <is>
          <t>Report confidence separately; never multiply capability score by confidence</t>
        </is>
      </c>
      <c r="Q71" t="inlineStr">
        <is>
          <t>Assessment / Verification Lead</t>
        </is>
      </c>
      <c r="R71" t="inlineStr">
        <is>
          <t>GREEN</t>
        </is>
      </c>
    </row>
    <row r="72">
      <c r="A72" t="inlineStr">
        <is>
          <t>D06</t>
        </is>
      </c>
      <c r="B72" t="inlineStr">
        <is>
          <t>I06</t>
        </is>
      </c>
      <c r="C72" t="inlineStr">
        <is>
          <t>Collaboration Capability</t>
        </is>
      </c>
      <c r="D72" t="inlineStr">
        <is>
          <t>Required for validated metric score</t>
        </is>
      </c>
      <c r="E72" t="inlineStr">
        <is>
          <t>E1</t>
        </is>
      </c>
      <c r="F72" t="inlineStr">
        <is>
          <t>Institutional artifact + operational evidence</t>
        </is>
      </c>
      <c r="G72" t="inlineStr">
        <is>
          <t>Evidence must directly substantiate the construct; prefer operational and outcome evidence where logically applicable</t>
        </is>
      </c>
      <c r="H72" t="inlineStr">
        <is>
          <t>Current assessment cycle preferred; stale evidence requires justification</t>
        </is>
      </c>
      <c r="I72" t="inlineStr">
        <is>
          <t>2 corroborating sources for high-consequence or high-score claims</t>
        </is>
      </c>
      <c r="J72" t="inlineStr">
        <is>
          <t>Independent source preferred for E3/E4 and high-score claims</t>
        </is>
      </c>
      <c r="K72" t="inlineStr">
        <is>
          <t>Reuse allowed only with construct-specific field mapping; otherwise flag</t>
        </is>
      </c>
      <c r="L72" t="inlineStr">
        <is>
          <t>Policy/ops 12–24 months; outcomes 24–36 months unless metric-specific</t>
        </is>
      </c>
      <c r="M72" t="inlineStr">
        <is>
          <t>Only where observable outcome logically belongs to the construct</t>
        </is>
      </c>
      <c r="N72" t="inlineStr">
        <is>
          <t>Claim-only, policy-only, duplicate or unverifiable evidence cannot create strong confidence</t>
        </is>
      </c>
      <c r="O72" t="inlineStr">
        <is>
          <t>Check P0-5 linked-domain contradictions/dependencies</t>
        </is>
      </c>
      <c r="P72" t="inlineStr">
        <is>
          <t>Report confidence separately; never multiply capability score by confidence</t>
        </is>
      </c>
      <c r="Q72" t="inlineStr">
        <is>
          <t>Assessment / Verification Lead</t>
        </is>
      </c>
      <c r="R72" t="inlineStr">
        <is>
          <t>GREEN</t>
        </is>
      </c>
    </row>
    <row r="73">
      <c r="A73" t="inlineStr">
        <is>
          <t>D06</t>
        </is>
      </c>
      <c r="B73" t="inlineStr">
        <is>
          <t>I07</t>
        </is>
      </c>
      <c r="C73" t="inlineStr">
        <is>
          <t>Practical Capability</t>
        </is>
      </c>
      <c r="D73" t="inlineStr">
        <is>
          <t>Required for validated metric score</t>
        </is>
      </c>
      <c r="E73" t="inlineStr">
        <is>
          <t>E1</t>
        </is>
      </c>
      <c r="F73" t="inlineStr">
        <is>
          <t>Institutional artifact + operational evidence</t>
        </is>
      </c>
      <c r="G73" t="inlineStr">
        <is>
          <t>Evidence must directly substantiate the construct; prefer operational and outcome evidence where logically applicable</t>
        </is>
      </c>
      <c r="H73" t="inlineStr">
        <is>
          <t>Current assessment cycle preferred; stale evidence requires justification</t>
        </is>
      </c>
      <c r="I73" t="inlineStr">
        <is>
          <t>2 corroborating sources for high-consequence or high-score claims</t>
        </is>
      </c>
      <c r="J73" t="inlineStr">
        <is>
          <t>Independent source preferred for E3/E4 and high-score claims</t>
        </is>
      </c>
      <c r="K73" t="inlineStr">
        <is>
          <t>Reuse allowed only with construct-specific field mapping; otherwise flag</t>
        </is>
      </c>
      <c r="L73" t="inlineStr">
        <is>
          <t>Policy/ops 12–24 months; outcomes 24–36 months unless metric-specific</t>
        </is>
      </c>
      <c r="M73" t="inlineStr">
        <is>
          <t>Only where observable outcome logically belongs to the construct</t>
        </is>
      </c>
      <c r="N73" t="inlineStr">
        <is>
          <t>Claim-only, policy-only, duplicate or unverifiable evidence cannot create strong confidence</t>
        </is>
      </c>
      <c r="O73" t="inlineStr">
        <is>
          <t>Check P0-5 linked-domain contradictions/dependencies</t>
        </is>
      </c>
      <c r="P73" t="inlineStr">
        <is>
          <t>Report confidence separately; never multiply capability score by confidence</t>
        </is>
      </c>
      <c r="Q73" t="inlineStr">
        <is>
          <t>Assessment / Verification Lead</t>
        </is>
      </c>
      <c r="R73" t="inlineStr">
        <is>
          <t>GREEN</t>
        </is>
      </c>
    </row>
    <row r="74">
      <c r="A74" t="inlineStr">
        <is>
          <t>D06</t>
        </is>
      </c>
      <c r="B74" t="inlineStr">
        <is>
          <t>I08</t>
        </is>
      </c>
      <c r="C74" t="inlineStr">
        <is>
          <t>Career Adaptability</t>
        </is>
      </c>
      <c r="D74" t="inlineStr">
        <is>
          <t>Required for validated metric score</t>
        </is>
      </c>
      <c r="E74" t="inlineStr">
        <is>
          <t>E1</t>
        </is>
      </c>
      <c r="F74" t="inlineStr">
        <is>
          <t>Institutional artifact + operational evidence</t>
        </is>
      </c>
      <c r="G74" t="inlineStr">
        <is>
          <t>Evidence must directly substantiate the construct; prefer operational and outcome evidence where logically applicable</t>
        </is>
      </c>
      <c r="H74" t="inlineStr">
        <is>
          <t>Current assessment cycle preferred; stale evidence requires justification</t>
        </is>
      </c>
      <c r="I74" t="inlineStr">
        <is>
          <t>2 corroborating sources for high-consequence or high-score claims</t>
        </is>
      </c>
      <c r="J74" t="inlineStr">
        <is>
          <t>Independent source preferred for E3/E4 and high-score claims</t>
        </is>
      </c>
      <c r="K74" t="inlineStr">
        <is>
          <t>Reuse allowed only with construct-specific field mapping; otherwise flag</t>
        </is>
      </c>
      <c r="L74" t="inlineStr">
        <is>
          <t>Policy/ops 12–24 months; outcomes 24–36 months unless metric-specific</t>
        </is>
      </c>
      <c r="M74" t="inlineStr">
        <is>
          <t>Only where observable outcome logically belongs to the construct</t>
        </is>
      </c>
      <c r="N74" t="inlineStr">
        <is>
          <t>Claim-only, policy-only, duplicate or unverifiable evidence cannot create strong confidence</t>
        </is>
      </c>
      <c r="O74" t="inlineStr">
        <is>
          <t>Check P0-5 linked-domain contradictions/dependencies</t>
        </is>
      </c>
      <c r="P74" t="inlineStr">
        <is>
          <t>Report confidence separately; never multiply capability score by confidence</t>
        </is>
      </c>
      <c r="Q74" t="inlineStr">
        <is>
          <t>Assessment / Verification Lead</t>
        </is>
      </c>
      <c r="R74" t="inlineStr">
        <is>
          <t>GREEN</t>
        </is>
      </c>
    </row>
    <row r="75">
      <c r="A75" t="inlineStr">
        <is>
          <t>D06</t>
        </is>
      </c>
      <c r="B75" t="inlineStr">
        <is>
          <t>I09</t>
        </is>
      </c>
      <c r="C75" t="inlineStr">
        <is>
          <t>Portfolio &amp; Capability Signalling</t>
        </is>
      </c>
      <c r="D75" t="inlineStr">
        <is>
          <t>Required for validated metric score</t>
        </is>
      </c>
      <c r="E75" t="inlineStr">
        <is>
          <t>E1</t>
        </is>
      </c>
      <c r="F75" t="inlineStr">
        <is>
          <t>Institutional artifact + operational evidence</t>
        </is>
      </c>
      <c r="G75" t="inlineStr">
        <is>
          <t>Evidence must directly substantiate the construct; prefer operational and outcome evidence where logically applicable</t>
        </is>
      </c>
      <c r="H75" t="inlineStr">
        <is>
          <t>Current assessment cycle preferred; stale evidence requires justification</t>
        </is>
      </c>
      <c r="I75" t="inlineStr">
        <is>
          <t>2 corroborating sources for high-consequence or high-score claims</t>
        </is>
      </c>
      <c r="J75" t="inlineStr">
        <is>
          <t>Independent source preferred for E3/E4 and high-score claims</t>
        </is>
      </c>
      <c r="K75" t="inlineStr">
        <is>
          <t>Reuse allowed only with construct-specific field mapping; otherwise flag</t>
        </is>
      </c>
      <c r="L75" t="inlineStr">
        <is>
          <t>Policy/ops 12–24 months; outcomes 24–36 months unless metric-specific</t>
        </is>
      </c>
      <c r="M75" t="inlineStr">
        <is>
          <t>Only where observable outcome logically belongs to the construct</t>
        </is>
      </c>
      <c r="N75" t="inlineStr">
        <is>
          <t>Claim-only, policy-only, duplicate or unverifiable evidence cannot create strong confidence</t>
        </is>
      </c>
      <c r="O75" t="inlineStr">
        <is>
          <t>Check P0-5 linked-domain contradictions/dependencies</t>
        </is>
      </c>
      <c r="P75" t="inlineStr">
        <is>
          <t>Report confidence separately; never multiply capability score by confidence</t>
        </is>
      </c>
      <c r="Q75" t="inlineStr">
        <is>
          <t>Assessment / Verification Lead</t>
        </is>
      </c>
      <c r="R75" t="inlineStr">
        <is>
          <t>GREEN</t>
        </is>
      </c>
    </row>
    <row r="76">
      <c r="A76" t="inlineStr">
        <is>
          <t>D06</t>
        </is>
      </c>
      <c r="B76" t="inlineStr">
        <is>
          <t>I10</t>
        </is>
      </c>
      <c r="C76" t="inlineStr">
        <is>
          <t>Problem Solving &amp; Transfer</t>
        </is>
      </c>
      <c r="D76" t="inlineStr">
        <is>
          <t>Required for validated metric score</t>
        </is>
      </c>
      <c r="E76" t="inlineStr">
        <is>
          <t>E1</t>
        </is>
      </c>
      <c r="F76" t="inlineStr">
        <is>
          <t>Institutional artifact + operational evidence</t>
        </is>
      </c>
      <c r="G76" t="inlineStr">
        <is>
          <t>Evidence must directly substantiate the construct; prefer operational and outcome evidence where logically applicable</t>
        </is>
      </c>
      <c r="H76" t="inlineStr">
        <is>
          <t>Current assessment cycle preferred; stale evidence requires justification</t>
        </is>
      </c>
      <c r="I76" t="inlineStr">
        <is>
          <t>2 corroborating sources for high-consequence or high-score claims</t>
        </is>
      </c>
      <c r="J76" t="inlineStr">
        <is>
          <t>Independent source preferred for E3/E4 and high-score claims</t>
        </is>
      </c>
      <c r="K76" t="inlineStr">
        <is>
          <t>Reuse allowed only with construct-specific field mapping; otherwise flag</t>
        </is>
      </c>
      <c r="L76" t="inlineStr">
        <is>
          <t>Policy/ops 12–24 months; outcomes 24–36 months unless metric-specific</t>
        </is>
      </c>
      <c r="M76" t="inlineStr">
        <is>
          <t>Only where observable outcome logically belongs to the construct</t>
        </is>
      </c>
      <c r="N76" t="inlineStr">
        <is>
          <t>Claim-only, policy-only, duplicate or unverifiable evidence cannot create strong confidence</t>
        </is>
      </c>
      <c r="O76" t="inlineStr">
        <is>
          <t>Check P0-5 linked-domain contradictions/dependencies</t>
        </is>
      </c>
      <c r="P76" t="inlineStr">
        <is>
          <t>Report confidence separately; never multiply capability score by confidence</t>
        </is>
      </c>
      <c r="Q76" t="inlineStr">
        <is>
          <t>Assessment / Verification Lead</t>
        </is>
      </c>
      <c r="R76" t="inlineStr">
        <is>
          <t>GREEN</t>
        </is>
      </c>
    </row>
    <row r="77">
      <c r="A77" t="inlineStr">
        <is>
          <t>D06</t>
        </is>
      </c>
      <c r="B77" t="inlineStr">
        <is>
          <t>I11</t>
        </is>
      </c>
      <c r="C77" t="inlineStr">
        <is>
          <t>Creator &amp; Entrepreneurial Agency</t>
        </is>
      </c>
      <c r="D77" t="inlineStr">
        <is>
          <t>Required for validated metric score</t>
        </is>
      </c>
      <c r="E77" t="inlineStr">
        <is>
          <t>E1</t>
        </is>
      </c>
      <c r="F77" t="inlineStr">
        <is>
          <t>Institutional artifact + operational evidence</t>
        </is>
      </c>
      <c r="G77" t="inlineStr">
        <is>
          <t>Evidence must directly substantiate the construct; prefer operational and outcome evidence where logically applicable</t>
        </is>
      </c>
      <c r="H77" t="inlineStr">
        <is>
          <t>Current assessment cycle preferred; stale evidence requires justification</t>
        </is>
      </c>
      <c r="I77" t="inlineStr">
        <is>
          <t>2 corroborating sources for high-consequence or high-score claims</t>
        </is>
      </c>
      <c r="J77" t="inlineStr">
        <is>
          <t>Independent source preferred for E3/E4 and high-score claims</t>
        </is>
      </c>
      <c r="K77" t="inlineStr">
        <is>
          <t>Reuse allowed only with construct-specific field mapping; otherwise flag</t>
        </is>
      </c>
      <c r="L77" t="inlineStr">
        <is>
          <t>Policy/ops 12–24 months; outcomes 24–36 months unless metric-specific</t>
        </is>
      </c>
      <c r="M77" t="inlineStr">
        <is>
          <t>Only where observable outcome logically belongs to the construct</t>
        </is>
      </c>
      <c r="N77" t="inlineStr">
        <is>
          <t>Claim-only, policy-only, duplicate or unverifiable evidence cannot create strong confidence</t>
        </is>
      </c>
      <c r="O77" t="inlineStr">
        <is>
          <t>Check P0-5 linked-domain contradictions/dependencies</t>
        </is>
      </c>
      <c r="P77" t="inlineStr">
        <is>
          <t>Report confidence separately; never multiply capability score by confidence</t>
        </is>
      </c>
      <c r="Q77" t="inlineStr">
        <is>
          <t>Assessment / Verification Lead</t>
        </is>
      </c>
      <c r="R77" t="inlineStr">
        <is>
          <t>GREEN</t>
        </is>
      </c>
    </row>
    <row r="78">
      <c r="A78" t="inlineStr">
        <is>
          <t>D06</t>
        </is>
      </c>
      <c r="B78" t="inlineStr">
        <is>
          <t>I12</t>
        </is>
      </c>
      <c r="C78" t="inlineStr">
        <is>
          <t>Digital Citizenship &amp; Responsible Use</t>
        </is>
      </c>
      <c r="D78" t="inlineStr">
        <is>
          <t>Required for validated metric score</t>
        </is>
      </c>
      <c r="E78" t="inlineStr">
        <is>
          <t>E1</t>
        </is>
      </c>
      <c r="F78" t="inlineStr">
        <is>
          <t>Institutional artifact + operational evidence</t>
        </is>
      </c>
      <c r="G78" t="inlineStr">
        <is>
          <t>Evidence must directly substantiate the construct; prefer operational and outcome evidence where logically applicable</t>
        </is>
      </c>
      <c r="H78" t="inlineStr">
        <is>
          <t>Current assessment cycle preferred; stale evidence requires justification</t>
        </is>
      </c>
      <c r="I78" t="inlineStr">
        <is>
          <t>2 corroborating sources for high-consequence or high-score claims</t>
        </is>
      </c>
      <c r="J78" t="inlineStr">
        <is>
          <t>Independent source preferred for E3/E4 and high-score claims</t>
        </is>
      </c>
      <c r="K78" t="inlineStr">
        <is>
          <t>Reuse allowed only with construct-specific field mapping; otherwise flag</t>
        </is>
      </c>
      <c r="L78" t="inlineStr">
        <is>
          <t>Policy/ops 12–24 months; outcomes 24–36 months unless metric-specific</t>
        </is>
      </c>
      <c r="M78" t="inlineStr">
        <is>
          <t>Only where observable outcome logically belongs to the construct</t>
        </is>
      </c>
      <c r="N78" t="inlineStr">
        <is>
          <t>Claim-only, policy-only, duplicate or unverifiable evidence cannot create strong confidence</t>
        </is>
      </c>
      <c r="O78" t="inlineStr">
        <is>
          <t>Check P0-5 linked-domain contradictions/dependencies</t>
        </is>
      </c>
      <c r="P78" t="inlineStr">
        <is>
          <t>Report confidence separately; never multiply capability score by confidence</t>
        </is>
      </c>
      <c r="Q78" t="inlineStr">
        <is>
          <t>Assessment / Verification Lead</t>
        </is>
      </c>
      <c r="R78" t="inlineStr">
        <is>
          <t>GREEN</t>
        </is>
      </c>
    </row>
    <row r="79">
      <c r="A79" t="inlineStr">
        <is>
          <t>D06</t>
        </is>
      </c>
      <c r="B79" t="inlineStr">
        <is>
          <t>I13</t>
        </is>
      </c>
      <c r="C79" t="inlineStr">
        <is>
          <t>Equitable AI Access</t>
        </is>
      </c>
      <c r="D79" t="inlineStr">
        <is>
          <t>Required for validated metric score</t>
        </is>
      </c>
      <c r="E79" t="inlineStr">
        <is>
          <t>E1</t>
        </is>
      </c>
      <c r="F79" t="inlineStr">
        <is>
          <t>Institutional artifact + operational evidence</t>
        </is>
      </c>
      <c r="G79" t="inlineStr">
        <is>
          <t>Evidence must directly substantiate the construct; prefer operational and outcome evidence where logically applicable</t>
        </is>
      </c>
      <c r="H79" t="inlineStr">
        <is>
          <t>Current assessment cycle preferred; stale evidence requires justification</t>
        </is>
      </c>
      <c r="I79" t="inlineStr">
        <is>
          <t>2 corroborating sources for high-consequence or high-score claims</t>
        </is>
      </c>
      <c r="J79" t="inlineStr">
        <is>
          <t>Independent source preferred for E3/E4 and high-score claims</t>
        </is>
      </c>
      <c r="K79" t="inlineStr">
        <is>
          <t>Reuse allowed only with construct-specific field mapping; otherwise flag</t>
        </is>
      </c>
      <c r="L79" t="inlineStr">
        <is>
          <t>Policy/ops 12–24 months; outcomes 24–36 months unless metric-specific</t>
        </is>
      </c>
      <c r="M79" t="inlineStr">
        <is>
          <t>Only where observable outcome logically belongs to the construct</t>
        </is>
      </c>
      <c r="N79" t="inlineStr">
        <is>
          <t>Claim-only, policy-only, duplicate or unverifiable evidence cannot create strong confidence</t>
        </is>
      </c>
      <c r="O79" t="inlineStr">
        <is>
          <t>Check P0-5 linked-domain contradictions/dependencies</t>
        </is>
      </c>
      <c r="P79" t="inlineStr">
        <is>
          <t>Report confidence separately; never multiply capability score by confidence</t>
        </is>
      </c>
      <c r="Q79" t="inlineStr">
        <is>
          <t>Assessment / Verification Lead</t>
        </is>
      </c>
      <c r="R79" t="inlineStr">
        <is>
          <t>GREEN</t>
        </is>
      </c>
    </row>
    <row r="80">
      <c r="A80" t="inlineStr">
        <is>
          <t>D06</t>
        </is>
      </c>
      <c r="B80" t="inlineStr">
        <is>
          <t>I14</t>
        </is>
      </c>
      <c r="C80" t="inlineStr">
        <is>
          <t>Student Voice &amp; Feedback Loop</t>
        </is>
      </c>
      <c r="D80" t="inlineStr">
        <is>
          <t>Required for validated metric score</t>
        </is>
      </c>
      <c r="E80" t="inlineStr">
        <is>
          <t>E1</t>
        </is>
      </c>
      <c r="F80" t="inlineStr">
        <is>
          <t>Institutional artifact + operational evidence</t>
        </is>
      </c>
      <c r="G80" t="inlineStr">
        <is>
          <t>Evidence must directly substantiate the construct; prefer operational and outcome evidence where logically applicable</t>
        </is>
      </c>
      <c r="H80" t="inlineStr">
        <is>
          <t>Current assessment cycle preferred; stale evidence requires justification</t>
        </is>
      </c>
      <c r="I80" t="inlineStr">
        <is>
          <t>2 corroborating sources for high-consequence or high-score claims</t>
        </is>
      </c>
      <c r="J80" t="inlineStr">
        <is>
          <t>Independent source preferred for E3/E4 and high-score claims</t>
        </is>
      </c>
      <c r="K80" t="inlineStr">
        <is>
          <t>Reuse allowed only with construct-specific field mapping; otherwise flag</t>
        </is>
      </c>
      <c r="L80" t="inlineStr">
        <is>
          <t>Policy/ops 12–24 months; outcomes 24–36 months unless metric-specific</t>
        </is>
      </c>
      <c r="M80" t="inlineStr">
        <is>
          <t>Only where observable outcome logically belongs to the construct</t>
        </is>
      </c>
      <c r="N80" t="inlineStr">
        <is>
          <t>Claim-only, policy-only, duplicate or unverifiable evidence cannot create strong confidence</t>
        </is>
      </c>
      <c r="O80" t="inlineStr">
        <is>
          <t>Check P0-5 linked-domain contradictions/dependencies</t>
        </is>
      </c>
      <c r="P80" t="inlineStr">
        <is>
          <t>Report confidence separately; never multiply capability score by confidence</t>
        </is>
      </c>
      <c r="Q80" t="inlineStr">
        <is>
          <t>Assessment / Verification Lead</t>
        </is>
      </c>
      <c r="R80" t="inlineStr">
        <is>
          <t>GREEN</t>
        </is>
      </c>
    </row>
    <row r="81">
      <c r="A81" t="inlineStr">
        <is>
          <t>D07</t>
        </is>
      </c>
      <c r="B81" t="inlineStr">
        <is>
          <t>I01</t>
        </is>
      </c>
      <c r="C81" t="inlineStr">
        <is>
          <t>Assessment Design Maturity</t>
        </is>
      </c>
      <c r="D81" t="inlineStr">
        <is>
          <t>Required for validated metric score</t>
        </is>
      </c>
      <c r="E81" t="inlineStr">
        <is>
          <t>E1</t>
        </is>
      </c>
      <c r="F81" t="inlineStr">
        <is>
          <t>Institutional artifact + operational evidence</t>
        </is>
      </c>
      <c r="G81" t="inlineStr">
        <is>
          <t>Evidence must directly substantiate the construct; prefer operational and outcome evidence where logically applicable</t>
        </is>
      </c>
      <c r="H81" t="inlineStr">
        <is>
          <t>Current assessment cycle preferred; stale evidence requires justification</t>
        </is>
      </c>
      <c r="I81" t="inlineStr">
        <is>
          <t>2 corroborating sources for high-consequence or high-score claims</t>
        </is>
      </c>
      <c r="J81" t="inlineStr">
        <is>
          <t>Independent source preferred for E3/E4 and high-score claims</t>
        </is>
      </c>
      <c r="K81" t="inlineStr">
        <is>
          <t>Reuse allowed only with construct-specific field mapping; otherwise flag</t>
        </is>
      </c>
      <c r="L81" t="inlineStr">
        <is>
          <t>Policy/ops 12–24 months; outcomes 24–36 months unless metric-specific</t>
        </is>
      </c>
      <c r="M81" t="inlineStr">
        <is>
          <t>Only where observable outcome logically belongs to the construct</t>
        </is>
      </c>
      <c r="N81" t="inlineStr">
        <is>
          <t>Claim-only, policy-only, duplicate or unverifiable evidence cannot create strong confidence</t>
        </is>
      </c>
      <c r="O81" t="inlineStr">
        <is>
          <t>Check P0-5 linked-domain contradictions/dependencies</t>
        </is>
      </c>
      <c r="P81" t="inlineStr">
        <is>
          <t>Report confidence separately; never multiply capability score by confidence</t>
        </is>
      </c>
      <c r="Q81" t="inlineStr">
        <is>
          <t>Assessment / Verification Lead</t>
        </is>
      </c>
      <c r="R81" t="inlineStr">
        <is>
          <t>GREEN</t>
        </is>
      </c>
    </row>
    <row r="82">
      <c r="A82" t="inlineStr">
        <is>
          <t>D07</t>
        </is>
      </c>
      <c r="B82" t="inlineStr">
        <is>
          <t>I02</t>
        </is>
      </c>
      <c r="C82" t="inlineStr">
        <is>
          <t>Cognitive Demonstration Depth</t>
        </is>
      </c>
      <c r="D82" t="inlineStr">
        <is>
          <t>Required for validated metric score</t>
        </is>
      </c>
      <c r="E82" t="inlineStr">
        <is>
          <t>E1</t>
        </is>
      </c>
      <c r="F82" t="inlineStr">
        <is>
          <t>Institutional artifact + operational evidence</t>
        </is>
      </c>
      <c r="G82" t="inlineStr">
        <is>
          <t>Evidence must directly substantiate the construct; prefer operational and outcome evidence where logically applicable</t>
        </is>
      </c>
      <c r="H82" t="inlineStr">
        <is>
          <t>Current assessment cycle preferred; stale evidence requires justification</t>
        </is>
      </c>
      <c r="I82" t="inlineStr">
        <is>
          <t>2 corroborating sources for high-consequence or high-score claims</t>
        </is>
      </c>
      <c r="J82" t="inlineStr">
        <is>
          <t>Independent source preferred for E3/E4 and high-score claims</t>
        </is>
      </c>
      <c r="K82" t="inlineStr">
        <is>
          <t>Reuse allowed only with construct-specific field mapping; otherwise flag</t>
        </is>
      </c>
      <c r="L82" t="inlineStr">
        <is>
          <t>Policy/ops 12–24 months; outcomes 24–36 months unless metric-specific</t>
        </is>
      </c>
      <c r="M82" t="inlineStr">
        <is>
          <t>Only where observable outcome logically belongs to the construct</t>
        </is>
      </c>
      <c r="N82" t="inlineStr">
        <is>
          <t>Claim-only, policy-only, duplicate or unverifiable evidence cannot create strong confidence</t>
        </is>
      </c>
      <c r="O82" t="inlineStr">
        <is>
          <t>Check P0-5 linked-domain contradictions/dependencies</t>
        </is>
      </c>
      <c r="P82" t="inlineStr">
        <is>
          <t>Report confidence separately; never multiply capability score by confidence</t>
        </is>
      </c>
      <c r="Q82" t="inlineStr">
        <is>
          <t>Assessment / Verification Lead</t>
        </is>
      </c>
      <c r="R82" t="inlineStr">
        <is>
          <t>GREEN</t>
        </is>
      </c>
    </row>
    <row r="83">
      <c r="A83" t="inlineStr">
        <is>
          <t>D07</t>
        </is>
      </c>
      <c r="B83" t="inlineStr">
        <is>
          <t>I03</t>
        </is>
      </c>
      <c r="C83" t="inlineStr">
        <is>
          <t>Authenticity of Demonstration</t>
        </is>
      </c>
      <c r="D83" t="inlineStr">
        <is>
          <t>Required for validated metric score</t>
        </is>
      </c>
      <c r="E83" t="inlineStr">
        <is>
          <t>E1</t>
        </is>
      </c>
      <c r="F83" t="inlineStr">
        <is>
          <t>Institutional artifact + operational evidence</t>
        </is>
      </c>
      <c r="G83" t="inlineStr">
        <is>
          <t>Evidence must directly substantiate the construct; prefer operational and outcome evidence where logically applicable</t>
        </is>
      </c>
      <c r="H83" t="inlineStr">
        <is>
          <t>Current assessment cycle preferred; stale evidence requires justification</t>
        </is>
      </c>
      <c r="I83" t="inlineStr">
        <is>
          <t>2 corroborating sources for high-consequence or high-score claims</t>
        </is>
      </c>
      <c r="J83" t="inlineStr">
        <is>
          <t>Independent source preferred for E3/E4 and high-score claims</t>
        </is>
      </c>
      <c r="K83" t="inlineStr">
        <is>
          <t>Reuse allowed only with construct-specific field mapping; otherwise flag</t>
        </is>
      </c>
      <c r="L83" t="inlineStr">
        <is>
          <t>Policy/ops 12–24 months; outcomes 24–36 months unless metric-specific</t>
        </is>
      </c>
      <c r="M83" t="inlineStr">
        <is>
          <t>Only where observable outcome logically belongs to the construct</t>
        </is>
      </c>
      <c r="N83" t="inlineStr">
        <is>
          <t>Claim-only, policy-only, duplicate or unverifiable evidence cannot create strong confidence</t>
        </is>
      </c>
      <c r="O83" t="inlineStr">
        <is>
          <t>Check P0-5 linked-domain contradictions/dependencies</t>
        </is>
      </c>
      <c r="P83" t="inlineStr">
        <is>
          <t>Report confidence separately; never multiply capability score by confidence</t>
        </is>
      </c>
      <c r="Q83" t="inlineStr">
        <is>
          <t>Assessment / Verification Lead</t>
        </is>
      </c>
      <c r="R83" t="inlineStr">
        <is>
          <t>GREEN</t>
        </is>
      </c>
    </row>
    <row r="84">
      <c r="A84" t="inlineStr">
        <is>
          <t>D07</t>
        </is>
      </c>
      <c r="B84" t="inlineStr">
        <is>
          <t>I04</t>
        </is>
      </c>
      <c r="C84" t="inlineStr">
        <is>
          <t>AI-Aware Assessment Maturity</t>
        </is>
      </c>
      <c r="D84" t="inlineStr">
        <is>
          <t>Required for validated metric score</t>
        </is>
      </c>
      <c r="E84" t="inlineStr">
        <is>
          <t>E1</t>
        </is>
      </c>
      <c r="F84" t="inlineStr">
        <is>
          <t>Institutional artifact + operational evidence</t>
        </is>
      </c>
      <c r="G84" t="inlineStr">
        <is>
          <t>Evidence must directly substantiate the construct; prefer operational and outcome evidence where logically applicable</t>
        </is>
      </c>
      <c r="H84" t="inlineStr">
        <is>
          <t>Current assessment cycle preferred; stale evidence requires justification</t>
        </is>
      </c>
      <c r="I84" t="inlineStr">
        <is>
          <t>2 corroborating sources for high-consequence or high-score claims</t>
        </is>
      </c>
      <c r="J84" t="inlineStr">
        <is>
          <t>Independent source preferred for E3/E4 and high-score claims</t>
        </is>
      </c>
      <c r="K84" t="inlineStr">
        <is>
          <t>Reuse allowed only with construct-specific field mapping; otherwise flag</t>
        </is>
      </c>
      <c r="L84" t="inlineStr">
        <is>
          <t>Policy/ops 12–24 months; outcomes 24–36 months unless metric-specific</t>
        </is>
      </c>
      <c r="M84" t="inlineStr">
        <is>
          <t>Only where observable outcome logically belongs to the construct</t>
        </is>
      </c>
      <c r="N84" t="inlineStr">
        <is>
          <t>Claim-only, policy-only, duplicate or unverifiable evidence cannot create strong confidence</t>
        </is>
      </c>
      <c r="O84" t="inlineStr">
        <is>
          <t>Check P0-5 linked-domain contradictions/dependencies</t>
        </is>
      </c>
      <c r="P84" t="inlineStr">
        <is>
          <t>Report confidence separately; never multiply capability score by confidence</t>
        </is>
      </c>
      <c r="Q84" t="inlineStr">
        <is>
          <t>Assessment / Verification Lead</t>
        </is>
      </c>
      <c r="R84" t="inlineStr">
        <is>
          <t>GREEN</t>
        </is>
      </c>
    </row>
    <row r="85">
      <c r="A85" t="inlineStr">
        <is>
          <t>D07</t>
        </is>
      </c>
      <c r="B85" t="inlineStr">
        <is>
          <t>I05</t>
        </is>
      </c>
      <c r="C85" t="inlineStr">
        <is>
          <t>Verification &amp; Defence</t>
        </is>
      </c>
      <c r="D85" t="inlineStr">
        <is>
          <t>Required for validated metric score</t>
        </is>
      </c>
      <c r="E85" t="inlineStr">
        <is>
          <t>E1</t>
        </is>
      </c>
      <c r="F85" t="inlineStr">
        <is>
          <t>Institutional artifact + operational evidence</t>
        </is>
      </c>
      <c r="G85" t="inlineStr">
        <is>
          <t>Evidence must directly substantiate the construct; prefer operational and outcome evidence where logically applicable</t>
        </is>
      </c>
      <c r="H85" t="inlineStr">
        <is>
          <t>Current assessment cycle preferred; stale evidence requires justification</t>
        </is>
      </c>
      <c r="I85" t="inlineStr">
        <is>
          <t>2 corroborating sources for high-consequence or high-score claims</t>
        </is>
      </c>
      <c r="J85" t="inlineStr">
        <is>
          <t>Independent source preferred for E3/E4 and high-score claims</t>
        </is>
      </c>
      <c r="K85" t="inlineStr">
        <is>
          <t>Reuse allowed only with construct-specific field mapping; otherwise flag</t>
        </is>
      </c>
      <c r="L85" t="inlineStr">
        <is>
          <t>Policy/ops 12–24 months; outcomes 24–36 months unless metric-specific</t>
        </is>
      </c>
      <c r="M85" t="inlineStr">
        <is>
          <t>Only where observable outcome logically belongs to the construct</t>
        </is>
      </c>
      <c r="N85" t="inlineStr">
        <is>
          <t>Claim-only, policy-only, duplicate or unverifiable evidence cannot create strong confidence</t>
        </is>
      </c>
      <c r="O85" t="inlineStr">
        <is>
          <t>Check P0-5 linked-domain contradictions/dependencies</t>
        </is>
      </c>
      <c r="P85" t="inlineStr">
        <is>
          <t>Report confidence separately; never multiply capability score by confidence</t>
        </is>
      </c>
      <c r="Q85" t="inlineStr">
        <is>
          <t>Assessment / Verification Lead</t>
        </is>
      </c>
      <c r="R85" t="inlineStr">
        <is>
          <t>GREEN</t>
        </is>
      </c>
    </row>
    <row r="86">
      <c r="A86" t="inlineStr">
        <is>
          <t>D07</t>
        </is>
      </c>
      <c r="B86" t="inlineStr">
        <is>
          <t>I06</t>
        </is>
      </c>
      <c r="C86" t="inlineStr">
        <is>
          <t>Feedback Intelligence</t>
        </is>
      </c>
      <c r="D86" t="inlineStr">
        <is>
          <t>Required for validated metric score</t>
        </is>
      </c>
      <c r="E86" t="inlineStr">
        <is>
          <t>E1</t>
        </is>
      </c>
      <c r="F86" t="inlineStr">
        <is>
          <t>Institutional artifact + operational evidence</t>
        </is>
      </c>
      <c r="G86" t="inlineStr">
        <is>
          <t>Evidence must directly substantiate the construct; prefer operational and outcome evidence where logically applicable</t>
        </is>
      </c>
      <c r="H86" t="inlineStr">
        <is>
          <t>Current assessment cycle preferred; stale evidence requires justification</t>
        </is>
      </c>
      <c r="I86" t="inlineStr">
        <is>
          <t>2 corroborating sources for high-consequence or high-score claims</t>
        </is>
      </c>
      <c r="J86" t="inlineStr">
        <is>
          <t>Independent source preferred for E3/E4 and high-score claims</t>
        </is>
      </c>
      <c r="K86" t="inlineStr">
        <is>
          <t>Reuse allowed only with construct-specific field mapping; otherwise flag</t>
        </is>
      </c>
      <c r="L86" t="inlineStr">
        <is>
          <t>Policy/ops 12–24 months; outcomes 24–36 months unless metric-specific</t>
        </is>
      </c>
      <c r="M86" t="inlineStr">
        <is>
          <t>Only where observable outcome logically belongs to the construct</t>
        </is>
      </c>
      <c r="N86" t="inlineStr">
        <is>
          <t>Claim-only, policy-only, duplicate or unverifiable evidence cannot create strong confidence</t>
        </is>
      </c>
      <c r="O86" t="inlineStr">
        <is>
          <t>Check P0-5 linked-domain contradictions/dependencies</t>
        </is>
      </c>
      <c r="P86" t="inlineStr">
        <is>
          <t>Report confidence separately; never multiply capability score by confidence</t>
        </is>
      </c>
      <c r="Q86" t="inlineStr">
        <is>
          <t>Assessment / Verification Lead</t>
        </is>
      </c>
      <c r="R86" t="inlineStr">
        <is>
          <t>GREEN</t>
        </is>
      </c>
    </row>
    <row r="87">
      <c r="A87" t="inlineStr">
        <is>
          <t>D07</t>
        </is>
      </c>
      <c r="B87" t="inlineStr">
        <is>
          <t>I07</t>
        </is>
      </c>
      <c r="C87" t="inlineStr">
        <is>
          <t>Evidence of Learning</t>
        </is>
      </c>
      <c r="D87" t="inlineStr">
        <is>
          <t>Required for validated metric score</t>
        </is>
      </c>
      <c r="E87" t="inlineStr">
        <is>
          <t>E1</t>
        </is>
      </c>
      <c r="F87" t="inlineStr">
        <is>
          <t>Institutional artifact + operational evidence</t>
        </is>
      </c>
      <c r="G87" t="inlineStr">
        <is>
          <t>Evidence must directly substantiate the construct; prefer operational and outcome evidence where logically applicable</t>
        </is>
      </c>
      <c r="H87" t="inlineStr">
        <is>
          <t>Current assessment cycle preferred; stale evidence requires justification</t>
        </is>
      </c>
      <c r="I87" t="inlineStr">
        <is>
          <t>2 corroborating sources for high-consequence or high-score claims</t>
        </is>
      </c>
      <c r="J87" t="inlineStr">
        <is>
          <t>Independent source preferred for E3/E4 and high-score claims</t>
        </is>
      </c>
      <c r="K87" t="inlineStr">
        <is>
          <t>Reuse allowed only with construct-specific field mapping; otherwise flag</t>
        </is>
      </c>
      <c r="L87" t="inlineStr">
        <is>
          <t>Policy/ops 12–24 months; outcomes 24–36 months unless metric-specific</t>
        </is>
      </c>
      <c r="M87" t="inlineStr">
        <is>
          <t>Only where observable outcome logically belongs to the construct</t>
        </is>
      </c>
      <c r="N87" t="inlineStr">
        <is>
          <t>Claim-only, policy-only, duplicate or unverifiable evidence cannot create strong confidence</t>
        </is>
      </c>
      <c r="O87" t="inlineStr">
        <is>
          <t>Check P0-5 linked-domain contradictions/dependencies</t>
        </is>
      </c>
      <c r="P87" t="inlineStr">
        <is>
          <t>Report confidence separately; never multiply capability score by confidence</t>
        </is>
      </c>
      <c r="Q87" t="inlineStr">
        <is>
          <t>Assessment / Verification Lead</t>
        </is>
      </c>
      <c r="R87" t="inlineStr">
        <is>
          <t>GREEN</t>
        </is>
      </c>
    </row>
    <row r="88">
      <c r="A88" t="inlineStr">
        <is>
          <t>D07</t>
        </is>
      </c>
      <c r="B88" t="inlineStr">
        <is>
          <t>I08</t>
        </is>
      </c>
      <c r="C88" t="inlineStr">
        <is>
          <t>Capability Outcome Measurement</t>
        </is>
      </c>
      <c r="D88" t="inlineStr">
        <is>
          <t>Required for validated metric score</t>
        </is>
      </c>
      <c r="E88" t="inlineStr">
        <is>
          <t>E1</t>
        </is>
      </c>
      <c r="F88" t="inlineStr">
        <is>
          <t>Institutional artifact + operational evidence</t>
        </is>
      </c>
      <c r="G88" t="inlineStr">
        <is>
          <t>Evidence must directly substantiate the construct; prefer operational and outcome evidence where logically applicable</t>
        </is>
      </c>
      <c r="H88" t="inlineStr">
        <is>
          <t>Current assessment cycle preferred; stale evidence requires justification</t>
        </is>
      </c>
      <c r="I88" t="inlineStr">
        <is>
          <t>2 corroborating sources for high-consequence or high-score claims</t>
        </is>
      </c>
      <c r="J88" t="inlineStr">
        <is>
          <t>Independent source preferred for E3/E4 and high-score claims</t>
        </is>
      </c>
      <c r="K88" t="inlineStr">
        <is>
          <t>Reuse allowed only with construct-specific field mapping; otherwise flag</t>
        </is>
      </c>
      <c r="L88" t="inlineStr">
        <is>
          <t>Policy/ops 12–24 months; outcomes 24–36 months unless metric-specific</t>
        </is>
      </c>
      <c r="M88" t="inlineStr">
        <is>
          <t>Only where observable outcome logically belongs to the construct</t>
        </is>
      </c>
      <c r="N88" t="inlineStr">
        <is>
          <t>Claim-only, policy-only, duplicate or unverifiable evidence cannot create strong confidence</t>
        </is>
      </c>
      <c r="O88" t="inlineStr">
        <is>
          <t>Check P0-5 linked-domain contradictions/dependencies</t>
        </is>
      </c>
      <c r="P88" t="inlineStr">
        <is>
          <t>Report confidence separately; never multiply capability score by confidence</t>
        </is>
      </c>
      <c r="Q88" t="inlineStr">
        <is>
          <t>Assessment / Verification Lead</t>
        </is>
      </c>
      <c r="R88" t="inlineStr">
        <is>
          <t>GREEN</t>
        </is>
      </c>
    </row>
    <row r="89">
      <c r="A89" t="inlineStr">
        <is>
          <t>D07</t>
        </is>
      </c>
      <c r="B89" t="inlineStr">
        <is>
          <t>I09</t>
        </is>
      </c>
      <c r="C89" t="inlineStr">
        <is>
          <t>Assessment Equity &amp; Access</t>
        </is>
      </c>
      <c r="D89" t="inlineStr">
        <is>
          <t>Required for validated metric score</t>
        </is>
      </c>
      <c r="E89" t="inlineStr">
        <is>
          <t>E1</t>
        </is>
      </c>
      <c r="F89" t="inlineStr">
        <is>
          <t>Institutional artifact + operational evidence</t>
        </is>
      </c>
      <c r="G89" t="inlineStr">
        <is>
          <t>Evidence must directly substantiate the construct; prefer operational and outcome evidence where logically applicable</t>
        </is>
      </c>
      <c r="H89" t="inlineStr">
        <is>
          <t>Current assessment cycle preferred; stale evidence requires justification</t>
        </is>
      </c>
      <c r="I89" t="inlineStr">
        <is>
          <t>2 corroborating sources for high-consequence or high-score claims</t>
        </is>
      </c>
      <c r="J89" t="inlineStr">
        <is>
          <t>Independent source preferred for E3/E4 and high-score claims</t>
        </is>
      </c>
      <c r="K89" t="inlineStr">
        <is>
          <t>Reuse allowed only with construct-specific field mapping; otherwise flag</t>
        </is>
      </c>
      <c r="L89" t="inlineStr">
        <is>
          <t>Policy/ops 12–24 months; outcomes 24–36 months unless metric-specific</t>
        </is>
      </c>
      <c r="M89" t="inlineStr">
        <is>
          <t>Only where observable outcome logically belongs to the construct</t>
        </is>
      </c>
      <c r="N89" t="inlineStr">
        <is>
          <t>Claim-only, policy-only, duplicate or unverifiable evidence cannot create strong confidence</t>
        </is>
      </c>
      <c r="O89" t="inlineStr">
        <is>
          <t>Check P0-5 linked-domain contradictions/dependencies</t>
        </is>
      </c>
      <c r="P89" t="inlineStr">
        <is>
          <t>Report confidence separately; never multiply capability score by confidence</t>
        </is>
      </c>
      <c r="Q89" t="inlineStr">
        <is>
          <t>Assessment / Verification Lead</t>
        </is>
      </c>
      <c r="R89" t="inlineStr">
        <is>
          <t>GREEN</t>
        </is>
      </c>
    </row>
    <row r="90">
      <c r="A90" t="inlineStr">
        <is>
          <t>D07</t>
        </is>
      </c>
      <c r="B90" t="inlineStr">
        <is>
          <t>I10</t>
        </is>
      </c>
      <c r="C90" t="inlineStr">
        <is>
          <t>Assessment Governance</t>
        </is>
      </c>
      <c r="D90" t="inlineStr">
        <is>
          <t>Required for validated metric score</t>
        </is>
      </c>
      <c r="E90" t="inlineStr">
        <is>
          <t>E1</t>
        </is>
      </c>
      <c r="F90" t="inlineStr">
        <is>
          <t>Institutional artifact + operational evidence</t>
        </is>
      </c>
      <c r="G90" t="inlineStr">
        <is>
          <t>Evidence must directly substantiate the construct; prefer operational and outcome evidence where logically applicable</t>
        </is>
      </c>
      <c r="H90" t="inlineStr">
        <is>
          <t>Current assessment cycle preferred; stale evidence requires justification</t>
        </is>
      </c>
      <c r="I90" t="inlineStr">
        <is>
          <t>2 corroborating sources for high-consequence or high-score claims</t>
        </is>
      </c>
      <c r="J90" t="inlineStr">
        <is>
          <t>Independent source preferred for E3/E4 and high-score claims</t>
        </is>
      </c>
      <c r="K90" t="inlineStr">
        <is>
          <t>Reuse allowed only with construct-specific field mapping; otherwise flag</t>
        </is>
      </c>
      <c r="L90" t="inlineStr">
        <is>
          <t>Policy/ops 12–24 months; outcomes 24–36 months unless metric-specific</t>
        </is>
      </c>
      <c r="M90" t="inlineStr">
        <is>
          <t>Only where observable outcome logically belongs to the construct</t>
        </is>
      </c>
      <c r="N90" t="inlineStr">
        <is>
          <t>Claim-only, policy-only, duplicate or unverifiable evidence cannot create strong confidence</t>
        </is>
      </c>
      <c r="O90" t="inlineStr">
        <is>
          <t>Check P0-5 linked-domain contradictions/dependencies</t>
        </is>
      </c>
      <c r="P90" t="inlineStr">
        <is>
          <t>Report confidence separately; never multiply capability score by confidence</t>
        </is>
      </c>
      <c r="Q90" t="inlineStr">
        <is>
          <t>Assessment / Verification Lead</t>
        </is>
      </c>
      <c r="R90" t="inlineStr">
        <is>
          <t>GREEN</t>
        </is>
      </c>
    </row>
    <row r="91">
      <c r="A91" t="inlineStr">
        <is>
          <t>D07</t>
        </is>
      </c>
      <c r="B91" t="inlineStr">
        <is>
          <t>I11</t>
        </is>
      </c>
      <c r="C91" t="inlineStr">
        <is>
          <t>Assessment Innovation</t>
        </is>
      </c>
      <c r="D91" t="inlineStr">
        <is>
          <t>Required for validated metric score</t>
        </is>
      </c>
      <c r="E91" t="inlineStr">
        <is>
          <t>E1</t>
        </is>
      </c>
      <c r="F91" t="inlineStr">
        <is>
          <t>Institutional artifact + operational evidence</t>
        </is>
      </c>
      <c r="G91" t="inlineStr">
        <is>
          <t>Evidence must directly substantiate the construct; prefer operational and outcome evidence where logically applicable</t>
        </is>
      </c>
      <c r="H91" t="inlineStr">
        <is>
          <t>Current assessment cycle preferred; stale evidence requires justification</t>
        </is>
      </c>
      <c r="I91" t="inlineStr">
        <is>
          <t>2 corroborating sources for high-consequence or high-score claims</t>
        </is>
      </c>
      <c r="J91" t="inlineStr">
        <is>
          <t>Independent source preferred for E3/E4 and high-score claims</t>
        </is>
      </c>
      <c r="K91" t="inlineStr">
        <is>
          <t>Reuse allowed only with construct-specific field mapping; otherwise flag</t>
        </is>
      </c>
      <c r="L91" t="inlineStr">
        <is>
          <t>Policy/ops 12–24 months; outcomes 24–36 months unless metric-specific</t>
        </is>
      </c>
      <c r="M91" t="inlineStr">
        <is>
          <t>Only where observable outcome logically belongs to the construct</t>
        </is>
      </c>
      <c r="N91" t="inlineStr">
        <is>
          <t>Claim-only, policy-only, duplicate or unverifiable evidence cannot create strong confidence</t>
        </is>
      </c>
      <c r="O91" t="inlineStr">
        <is>
          <t>Check P0-5 linked-domain contradictions/dependencies</t>
        </is>
      </c>
      <c r="P91" t="inlineStr">
        <is>
          <t>Report confidence separately; never multiply capability score by confidence</t>
        </is>
      </c>
      <c r="Q91" t="inlineStr">
        <is>
          <t>Assessment / Verification Lead</t>
        </is>
      </c>
      <c r="R91" t="inlineStr">
        <is>
          <t>GREEN</t>
        </is>
      </c>
    </row>
    <row r="92">
      <c r="A92" t="inlineStr">
        <is>
          <t>D07</t>
        </is>
      </c>
      <c r="B92" t="inlineStr">
        <is>
          <t>I12</t>
        </is>
      </c>
      <c r="C92" t="inlineStr">
        <is>
          <t>Learning Evidence Analytics</t>
        </is>
      </c>
      <c r="D92" t="inlineStr">
        <is>
          <t>Required for validated metric score</t>
        </is>
      </c>
      <c r="E92" t="inlineStr">
        <is>
          <t>E1</t>
        </is>
      </c>
      <c r="F92" t="inlineStr">
        <is>
          <t>Institutional artifact + operational evidence</t>
        </is>
      </c>
      <c r="G92" t="inlineStr">
        <is>
          <t>Evidence must directly substantiate the construct; prefer operational and outcome evidence where logically applicable</t>
        </is>
      </c>
      <c r="H92" t="inlineStr">
        <is>
          <t>Current assessment cycle preferred; stale evidence requires justification</t>
        </is>
      </c>
      <c r="I92" t="inlineStr">
        <is>
          <t>2 corroborating sources for high-consequence or high-score claims</t>
        </is>
      </c>
      <c r="J92" t="inlineStr">
        <is>
          <t>Independent source preferred for E3/E4 and high-score claims</t>
        </is>
      </c>
      <c r="K92" t="inlineStr">
        <is>
          <t>Reuse allowed only with construct-specific field mapping; otherwise flag</t>
        </is>
      </c>
      <c r="L92" t="inlineStr">
        <is>
          <t>Policy/ops 12–24 months; outcomes 24–36 months unless metric-specific</t>
        </is>
      </c>
      <c r="M92" t="inlineStr">
        <is>
          <t>Only where observable outcome logically belongs to the construct</t>
        </is>
      </c>
      <c r="N92" t="inlineStr">
        <is>
          <t>Claim-only, policy-only, duplicate or unverifiable evidence cannot create strong confidence</t>
        </is>
      </c>
      <c r="O92" t="inlineStr">
        <is>
          <t>Check P0-5 linked-domain contradictions/dependencies</t>
        </is>
      </c>
      <c r="P92" t="inlineStr">
        <is>
          <t>Report confidence separately; never multiply capability score by confidence</t>
        </is>
      </c>
      <c r="Q92" t="inlineStr">
        <is>
          <t>Assessment / Verification Lead</t>
        </is>
      </c>
      <c r="R92" t="inlineStr">
        <is>
          <t>GREEN</t>
        </is>
      </c>
    </row>
    <row r="93">
      <c r="A93" t="inlineStr">
        <is>
          <t>D08</t>
        </is>
      </c>
      <c r="B93" t="inlineStr">
        <is>
          <t>I01</t>
        </is>
      </c>
      <c r="C93" t="inlineStr">
        <is>
          <t>Digital Environment Readiness</t>
        </is>
      </c>
      <c r="D93" t="inlineStr">
        <is>
          <t>Required for validated metric score</t>
        </is>
      </c>
      <c r="E93" t="inlineStr">
        <is>
          <t>E1</t>
        </is>
      </c>
      <c r="F93" t="inlineStr">
        <is>
          <t>Institutional artifact + operational evidence</t>
        </is>
      </c>
      <c r="G93" t="inlineStr">
        <is>
          <t>Evidence must directly substantiate the construct; prefer operational and outcome evidence where logically applicable</t>
        </is>
      </c>
      <c r="H93" t="inlineStr">
        <is>
          <t>Current assessment cycle preferred; stale evidence requires justification</t>
        </is>
      </c>
      <c r="I93" t="inlineStr">
        <is>
          <t>2 corroborating sources for high-consequence or high-score claims</t>
        </is>
      </c>
      <c r="J93" t="inlineStr">
        <is>
          <t>Independent source preferred for E3/E4 and high-score claims</t>
        </is>
      </c>
      <c r="K93" t="inlineStr">
        <is>
          <t>Reuse allowed only with construct-specific field mapping; otherwise flag</t>
        </is>
      </c>
      <c r="L93" t="inlineStr">
        <is>
          <t>Policy/ops 12–24 months; outcomes 24–36 months unless metric-specific</t>
        </is>
      </c>
      <c r="M93" t="inlineStr">
        <is>
          <t>Only where observable outcome logically belongs to the construct</t>
        </is>
      </c>
      <c r="N93" t="inlineStr">
        <is>
          <t>Claim-only, policy-only, duplicate or unverifiable evidence cannot create strong confidence</t>
        </is>
      </c>
      <c r="O93" t="inlineStr">
        <is>
          <t>Check P0-5 linked-domain contradictions/dependencies</t>
        </is>
      </c>
      <c r="P93" t="inlineStr">
        <is>
          <t>Report confidence separately; never multiply capability score by confidence</t>
        </is>
      </c>
      <c r="Q93" t="inlineStr">
        <is>
          <t>Assessment / Verification Lead</t>
        </is>
      </c>
      <c r="R93" t="inlineStr">
        <is>
          <t>GREEN</t>
        </is>
      </c>
    </row>
    <row r="94">
      <c r="A94" t="inlineStr">
        <is>
          <t>D08</t>
        </is>
      </c>
      <c r="B94" t="inlineStr">
        <is>
          <t>I02</t>
        </is>
      </c>
      <c r="C94" t="inlineStr">
        <is>
          <t>Institutional Data Architecture</t>
        </is>
      </c>
      <c r="D94" t="inlineStr">
        <is>
          <t>Required for validated metric score</t>
        </is>
      </c>
      <c r="E94" t="inlineStr">
        <is>
          <t>E1</t>
        </is>
      </c>
      <c r="F94" t="inlineStr">
        <is>
          <t>Institutional artifact + operational evidence</t>
        </is>
      </c>
      <c r="G94" t="inlineStr">
        <is>
          <t>Evidence must directly substantiate the construct; prefer operational and outcome evidence where logically applicable</t>
        </is>
      </c>
      <c r="H94" t="inlineStr">
        <is>
          <t>Current assessment cycle preferred; stale evidence requires justification</t>
        </is>
      </c>
      <c r="I94" t="inlineStr">
        <is>
          <t>2 corroborating sources for high-consequence or high-score claims</t>
        </is>
      </c>
      <c r="J94" t="inlineStr">
        <is>
          <t>Independent source preferred for E3/E4 and high-score claims</t>
        </is>
      </c>
      <c r="K94" t="inlineStr">
        <is>
          <t>Reuse allowed only with construct-specific field mapping; otherwise flag</t>
        </is>
      </c>
      <c r="L94" t="inlineStr">
        <is>
          <t>Policy/ops 12–24 months; outcomes 24–36 months unless metric-specific</t>
        </is>
      </c>
      <c r="M94" t="inlineStr">
        <is>
          <t>Only where observable outcome logically belongs to the construct</t>
        </is>
      </c>
      <c r="N94" t="inlineStr">
        <is>
          <t>Claim-only, policy-only, duplicate or unverifiable evidence cannot create strong confidence</t>
        </is>
      </c>
      <c r="O94" t="inlineStr">
        <is>
          <t>Check P0-5 linked-domain contradictions/dependencies</t>
        </is>
      </c>
      <c r="P94" t="inlineStr">
        <is>
          <t>Report confidence separately; never multiply capability score by confidence</t>
        </is>
      </c>
      <c r="Q94" t="inlineStr">
        <is>
          <t>Assessment / Verification Lead</t>
        </is>
      </c>
      <c r="R94" t="inlineStr">
        <is>
          <t>GREEN</t>
        </is>
      </c>
    </row>
    <row r="95">
      <c r="A95" t="inlineStr">
        <is>
          <t>D08</t>
        </is>
      </c>
      <c r="B95" t="inlineStr">
        <is>
          <t>I03</t>
        </is>
      </c>
      <c r="C95" t="inlineStr">
        <is>
          <t>Data Quality &amp; Integrity</t>
        </is>
      </c>
      <c r="D95" t="inlineStr">
        <is>
          <t>Required for validated metric score</t>
        </is>
      </c>
      <c r="E95" t="inlineStr">
        <is>
          <t>E1</t>
        </is>
      </c>
      <c r="F95" t="inlineStr">
        <is>
          <t>Institutional artifact + operational evidence</t>
        </is>
      </c>
      <c r="G95" t="inlineStr">
        <is>
          <t>Evidence must directly substantiate the construct; prefer operational and outcome evidence where logically applicable</t>
        </is>
      </c>
      <c r="H95" t="inlineStr">
        <is>
          <t>Current assessment cycle preferred; stale evidence requires justification</t>
        </is>
      </c>
      <c r="I95" t="inlineStr">
        <is>
          <t>2 corroborating sources for high-consequence or high-score claims</t>
        </is>
      </c>
      <c r="J95" t="inlineStr">
        <is>
          <t>Independent source preferred for E3/E4 and high-score claims</t>
        </is>
      </c>
      <c r="K95" t="inlineStr">
        <is>
          <t>Reuse allowed only with construct-specific field mapping; otherwise flag</t>
        </is>
      </c>
      <c r="L95" t="inlineStr">
        <is>
          <t>Policy/ops 12–24 months; outcomes 24–36 months unless metric-specific</t>
        </is>
      </c>
      <c r="M95" t="inlineStr">
        <is>
          <t>Only where observable outcome logically belongs to the construct</t>
        </is>
      </c>
      <c r="N95" t="inlineStr">
        <is>
          <t>Claim-only, policy-only, duplicate or unverifiable evidence cannot create strong confidence</t>
        </is>
      </c>
      <c r="O95" t="inlineStr">
        <is>
          <t>Check P0-5 linked-domain contradictions/dependencies</t>
        </is>
      </c>
      <c r="P95" t="inlineStr">
        <is>
          <t>Report confidence separately; never multiply capability score by confidence</t>
        </is>
      </c>
      <c r="Q95" t="inlineStr">
        <is>
          <t>Assessment / Verification Lead</t>
        </is>
      </c>
      <c r="R95" t="inlineStr">
        <is>
          <t>GREEN</t>
        </is>
      </c>
    </row>
    <row r="96">
      <c r="A96" t="inlineStr">
        <is>
          <t>D08</t>
        </is>
      </c>
      <c r="B96" t="inlineStr">
        <is>
          <t>I04</t>
        </is>
      </c>
      <c r="C96" t="inlineStr">
        <is>
          <t>System Interoperability</t>
        </is>
      </c>
      <c r="D96" t="inlineStr">
        <is>
          <t>Required for validated metric score</t>
        </is>
      </c>
      <c r="E96" t="inlineStr">
        <is>
          <t>E1</t>
        </is>
      </c>
      <c r="F96" t="inlineStr">
        <is>
          <t>Institutional artifact + operational evidence</t>
        </is>
      </c>
      <c r="G96" t="inlineStr">
        <is>
          <t>Evidence must directly substantiate the construct; prefer operational and outcome evidence where logically applicable</t>
        </is>
      </c>
      <c r="H96" t="inlineStr">
        <is>
          <t>Current assessment cycle preferred; stale evidence requires justification</t>
        </is>
      </c>
      <c r="I96" t="inlineStr">
        <is>
          <t>2 corroborating sources for high-consequence or high-score claims</t>
        </is>
      </c>
      <c r="J96" t="inlineStr">
        <is>
          <t>Independent source preferred for E3/E4 and high-score claims</t>
        </is>
      </c>
      <c r="K96" t="inlineStr">
        <is>
          <t>Reuse allowed only with construct-specific field mapping; otherwise flag</t>
        </is>
      </c>
      <c r="L96" t="inlineStr">
        <is>
          <t>Policy/ops 12–24 months; outcomes 24–36 months unless metric-specific</t>
        </is>
      </c>
      <c r="M96" t="inlineStr">
        <is>
          <t>Only where observable outcome logically belongs to the construct</t>
        </is>
      </c>
      <c r="N96" t="inlineStr">
        <is>
          <t>Claim-only, policy-only, duplicate or unverifiable evidence cannot create strong confidence</t>
        </is>
      </c>
      <c r="O96" t="inlineStr">
        <is>
          <t>Check P0-5 linked-domain contradictions/dependencies</t>
        </is>
      </c>
      <c r="P96" t="inlineStr">
        <is>
          <t>Report confidence separately; never multiply capability score by confidence</t>
        </is>
      </c>
      <c r="Q96" t="inlineStr">
        <is>
          <t>Assessment / Verification Lead</t>
        </is>
      </c>
      <c r="R96" t="inlineStr">
        <is>
          <t>GREEN</t>
        </is>
      </c>
    </row>
    <row r="97">
      <c r="A97" t="inlineStr">
        <is>
          <t>D08</t>
        </is>
      </c>
      <c r="B97" t="inlineStr">
        <is>
          <t>I05</t>
        </is>
      </c>
      <c r="C97" t="inlineStr">
        <is>
          <t>Decision Intelligence</t>
        </is>
      </c>
      <c r="D97" t="inlineStr">
        <is>
          <t>Required for validated metric score</t>
        </is>
      </c>
      <c r="E97" t="inlineStr">
        <is>
          <t>E1</t>
        </is>
      </c>
      <c r="F97" t="inlineStr">
        <is>
          <t>Institutional artifact + operational evidence</t>
        </is>
      </c>
      <c r="G97" t="inlineStr">
        <is>
          <t>Evidence must directly substantiate the construct; prefer operational and outcome evidence where logically applicable</t>
        </is>
      </c>
      <c r="H97" t="inlineStr">
        <is>
          <t>Current assessment cycle preferred; stale evidence requires justification</t>
        </is>
      </c>
      <c r="I97" t="inlineStr">
        <is>
          <t>2 corroborating sources for high-consequence or high-score claims</t>
        </is>
      </c>
      <c r="J97" t="inlineStr">
        <is>
          <t>Independent source preferred for E3/E4 and high-score claims</t>
        </is>
      </c>
      <c r="K97" t="inlineStr">
        <is>
          <t>Reuse allowed only with construct-specific field mapping; otherwise flag</t>
        </is>
      </c>
      <c r="L97" t="inlineStr">
        <is>
          <t>Policy/ops 12–24 months; outcomes 24–36 months unless metric-specific</t>
        </is>
      </c>
      <c r="M97" t="inlineStr">
        <is>
          <t>Only where observable outcome logically belongs to the construct</t>
        </is>
      </c>
      <c r="N97" t="inlineStr">
        <is>
          <t>Claim-only, policy-only, duplicate or unverifiable evidence cannot create strong confidence</t>
        </is>
      </c>
      <c r="O97" t="inlineStr">
        <is>
          <t>Check P0-5 linked-domain contradictions/dependencies</t>
        </is>
      </c>
      <c r="P97" t="inlineStr">
        <is>
          <t>Report confidence separately; never multiply capability score by confidence</t>
        </is>
      </c>
      <c r="Q97" t="inlineStr">
        <is>
          <t>Assessment / Verification Lead</t>
        </is>
      </c>
      <c r="R97" t="inlineStr">
        <is>
          <t>GREEN</t>
        </is>
      </c>
    </row>
    <row r="98">
      <c r="A98" t="inlineStr">
        <is>
          <t>D08</t>
        </is>
      </c>
      <c r="B98" t="inlineStr">
        <is>
          <t>I06</t>
        </is>
      </c>
      <c r="C98" t="inlineStr">
        <is>
          <t>AI Enablement Readiness</t>
        </is>
      </c>
      <c r="D98" t="inlineStr">
        <is>
          <t>Required for validated metric score</t>
        </is>
      </c>
      <c r="E98" t="inlineStr">
        <is>
          <t>E1</t>
        </is>
      </c>
      <c r="F98" t="inlineStr">
        <is>
          <t>Institutional artifact + operational evidence</t>
        </is>
      </c>
      <c r="G98" t="inlineStr">
        <is>
          <t>Evidence must directly substantiate the construct; prefer operational and outcome evidence where logically applicable</t>
        </is>
      </c>
      <c r="H98" t="inlineStr">
        <is>
          <t>Current assessment cycle preferred; stale evidence requires justification</t>
        </is>
      </c>
      <c r="I98" t="inlineStr">
        <is>
          <t>2 corroborating sources for high-consequence or high-score claims</t>
        </is>
      </c>
      <c r="J98" t="inlineStr">
        <is>
          <t>Independent source preferred for E3/E4 and high-score claims</t>
        </is>
      </c>
      <c r="K98" t="inlineStr">
        <is>
          <t>Reuse allowed only with construct-specific field mapping; otherwise flag</t>
        </is>
      </c>
      <c r="L98" t="inlineStr">
        <is>
          <t>Policy/ops 12–24 months; outcomes 24–36 months unless metric-specific</t>
        </is>
      </c>
      <c r="M98" t="inlineStr">
        <is>
          <t>Only where observable outcome logically belongs to the construct</t>
        </is>
      </c>
      <c r="N98" t="inlineStr">
        <is>
          <t>Claim-only, policy-only, duplicate or unverifiable evidence cannot create strong confidence</t>
        </is>
      </c>
      <c r="O98" t="inlineStr">
        <is>
          <t>Check P0-5 linked-domain contradictions/dependencies</t>
        </is>
      </c>
      <c r="P98" t="inlineStr">
        <is>
          <t>Report confidence separately; never multiply capability score by confidence</t>
        </is>
      </c>
      <c r="Q98" t="inlineStr">
        <is>
          <t>Assessment / Verification Lead</t>
        </is>
      </c>
      <c r="R98" t="inlineStr">
        <is>
          <t>GREEN</t>
        </is>
      </c>
    </row>
    <row r="99">
      <c r="A99" t="inlineStr">
        <is>
          <t>D08</t>
        </is>
      </c>
      <c r="B99" t="inlineStr">
        <is>
          <t>I07</t>
        </is>
      </c>
      <c r="C99" t="inlineStr">
        <is>
          <t>Cyber &amp; Information Security</t>
        </is>
      </c>
      <c r="D99" t="inlineStr">
        <is>
          <t>Required for validated metric score</t>
        </is>
      </c>
      <c r="E99" t="inlineStr">
        <is>
          <t>E1</t>
        </is>
      </c>
      <c r="F99" t="inlineStr">
        <is>
          <t>Institutional artifact + operational evidence</t>
        </is>
      </c>
      <c r="G99" t="inlineStr">
        <is>
          <t>Evidence must directly substantiate the construct; prefer operational and outcome evidence where logically applicable</t>
        </is>
      </c>
      <c r="H99" t="inlineStr">
        <is>
          <t>Current assessment cycle preferred; stale evidence requires justification</t>
        </is>
      </c>
      <c r="I99" t="inlineStr">
        <is>
          <t>2 corroborating sources for high-consequence or high-score claims</t>
        </is>
      </c>
      <c r="J99" t="inlineStr">
        <is>
          <t>Independent source preferred for E3/E4 and high-score claims</t>
        </is>
      </c>
      <c r="K99" t="inlineStr">
        <is>
          <t>Reuse allowed only with construct-specific field mapping; otherwise flag</t>
        </is>
      </c>
      <c r="L99" t="inlineStr">
        <is>
          <t>Policy/ops 12–24 months; outcomes 24–36 months unless metric-specific</t>
        </is>
      </c>
      <c r="M99" t="inlineStr">
        <is>
          <t>Only where observable outcome logically belongs to the construct</t>
        </is>
      </c>
      <c r="N99" t="inlineStr">
        <is>
          <t>Claim-only, policy-only, duplicate or unverifiable evidence cannot create strong confidence</t>
        </is>
      </c>
      <c r="O99" t="inlineStr">
        <is>
          <t>Check P0-5 linked-domain contradictions/dependencies</t>
        </is>
      </c>
      <c r="P99" t="inlineStr">
        <is>
          <t>Report confidence separately; never multiply capability score by confidence</t>
        </is>
      </c>
      <c r="Q99" t="inlineStr">
        <is>
          <t>Assessment / Verification Lead</t>
        </is>
      </c>
      <c r="R99" t="inlineStr">
        <is>
          <t>GREEN</t>
        </is>
      </c>
    </row>
    <row r="100">
      <c r="A100" t="inlineStr">
        <is>
          <t>D08</t>
        </is>
      </c>
      <c r="B100" t="inlineStr">
        <is>
          <t>I08</t>
        </is>
      </c>
      <c r="C100" t="inlineStr">
        <is>
          <t>Data Privacy Readiness</t>
        </is>
      </c>
      <c r="D100" t="inlineStr">
        <is>
          <t>Required for validated metric score</t>
        </is>
      </c>
      <c r="E100" t="inlineStr">
        <is>
          <t>E1</t>
        </is>
      </c>
      <c r="F100" t="inlineStr">
        <is>
          <t>Institutional artifact + operational evidence</t>
        </is>
      </c>
      <c r="G100" t="inlineStr">
        <is>
          <t>Evidence must directly substantiate the construct; prefer operational and outcome evidence where logically applicable</t>
        </is>
      </c>
      <c r="H100" t="inlineStr">
        <is>
          <t>Current assessment cycle preferred; stale evidence requires justification</t>
        </is>
      </c>
      <c r="I100" t="inlineStr">
        <is>
          <t>2 corroborating sources for high-consequence or high-score claims</t>
        </is>
      </c>
      <c r="J100" t="inlineStr">
        <is>
          <t>Independent source preferred for E3/E4 and high-score claims</t>
        </is>
      </c>
      <c r="K100" t="inlineStr">
        <is>
          <t>Reuse allowed only with construct-specific field mapping; otherwise flag</t>
        </is>
      </c>
      <c r="L100" t="inlineStr">
        <is>
          <t>Policy/ops 12–24 months; outcomes 24–36 months unless metric-specific</t>
        </is>
      </c>
      <c r="M100" t="inlineStr">
        <is>
          <t>Only where observable outcome logically belongs to the construct</t>
        </is>
      </c>
      <c r="N100" t="inlineStr">
        <is>
          <t>Claim-only, policy-only, duplicate or unverifiable evidence cannot create strong confidence</t>
        </is>
      </c>
      <c r="O100" t="inlineStr">
        <is>
          <t>Check P0-5 linked-domain contradictions/dependencies</t>
        </is>
      </c>
      <c r="P100" t="inlineStr">
        <is>
          <t>Report confidence separately; never multiply capability score by confidence</t>
        </is>
      </c>
      <c r="Q100" t="inlineStr">
        <is>
          <t>Assessment / Verification Lead</t>
        </is>
      </c>
      <c r="R100" t="inlineStr">
        <is>
          <t>GREEN</t>
        </is>
      </c>
    </row>
    <row r="101">
      <c r="A101" t="inlineStr">
        <is>
          <t>D08</t>
        </is>
      </c>
      <c r="B101" t="inlineStr">
        <is>
          <t>I09</t>
        </is>
      </c>
      <c r="C101" t="inlineStr">
        <is>
          <t>Digital Equity &amp; Access</t>
        </is>
      </c>
      <c r="D101" t="inlineStr">
        <is>
          <t>Required for validated metric score</t>
        </is>
      </c>
      <c r="E101" t="inlineStr">
        <is>
          <t>E1</t>
        </is>
      </c>
      <c r="F101" t="inlineStr">
        <is>
          <t>Institutional artifact + operational evidence</t>
        </is>
      </c>
      <c r="G101" t="inlineStr">
        <is>
          <t>Evidence must directly substantiate the construct; prefer operational and outcome evidence where logically applicable</t>
        </is>
      </c>
      <c r="H101" t="inlineStr">
        <is>
          <t>Current assessment cycle preferred; stale evidence requires justification</t>
        </is>
      </c>
      <c r="I101" t="inlineStr">
        <is>
          <t>2 corroborating sources for high-consequence or high-score claims</t>
        </is>
      </c>
      <c r="J101" t="inlineStr">
        <is>
          <t>Independent source preferred for E3/E4 and high-score claims</t>
        </is>
      </c>
      <c r="K101" t="inlineStr">
        <is>
          <t>Reuse allowed only with construct-specific field mapping; otherwise flag</t>
        </is>
      </c>
      <c r="L101" t="inlineStr">
        <is>
          <t>Policy/ops 12–24 months; outcomes 24–36 months unless metric-specific</t>
        </is>
      </c>
      <c r="M101" t="inlineStr">
        <is>
          <t>Only where observable outcome logically belongs to the construct</t>
        </is>
      </c>
      <c r="N101" t="inlineStr">
        <is>
          <t>Claim-only, policy-only, duplicate or unverifiable evidence cannot create strong confidence</t>
        </is>
      </c>
      <c r="O101" t="inlineStr">
        <is>
          <t>Check P0-5 linked-domain contradictions/dependencies</t>
        </is>
      </c>
      <c r="P101" t="inlineStr">
        <is>
          <t>Report confidence separately; never multiply capability score by confidence</t>
        </is>
      </c>
      <c r="Q101" t="inlineStr">
        <is>
          <t>Assessment / Verification Lead</t>
        </is>
      </c>
      <c r="R101" t="inlineStr">
        <is>
          <t>GREEN</t>
        </is>
      </c>
    </row>
    <row r="102">
      <c r="A102" t="inlineStr">
        <is>
          <t>D08</t>
        </is>
      </c>
      <c r="B102" t="inlineStr">
        <is>
          <t>I10</t>
        </is>
      </c>
      <c r="C102" t="inlineStr">
        <is>
          <t>Technology Decision Governance</t>
        </is>
      </c>
      <c r="D102" t="inlineStr">
        <is>
          <t>Required for validated metric score</t>
        </is>
      </c>
      <c r="E102" t="inlineStr">
        <is>
          <t>E1</t>
        </is>
      </c>
      <c r="F102" t="inlineStr">
        <is>
          <t>Institutional artifact + operational evidence</t>
        </is>
      </c>
      <c r="G102" t="inlineStr">
        <is>
          <t>Evidence must directly substantiate the construct; prefer operational and outcome evidence where logically applicable</t>
        </is>
      </c>
      <c r="H102" t="inlineStr">
        <is>
          <t>Current assessment cycle preferred; stale evidence requires justification</t>
        </is>
      </c>
      <c r="I102" t="inlineStr">
        <is>
          <t>2 corroborating sources for high-consequence or high-score claims</t>
        </is>
      </c>
      <c r="J102" t="inlineStr">
        <is>
          <t>Independent source preferred for E3/E4 and high-score claims</t>
        </is>
      </c>
      <c r="K102" t="inlineStr">
        <is>
          <t>Reuse allowed only with construct-specific field mapping; otherwise flag</t>
        </is>
      </c>
      <c r="L102" t="inlineStr">
        <is>
          <t>Policy/ops 12–24 months; outcomes 24–36 months unless metric-specific</t>
        </is>
      </c>
      <c r="M102" t="inlineStr">
        <is>
          <t>Only where observable outcome logically belongs to the construct</t>
        </is>
      </c>
      <c r="N102" t="inlineStr">
        <is>
          <t>Claim-only, policy-only, duplicate or unverifiable evidence cannot create strong confidence</t>
        </is>
      </c>
      <c r="O102" t="inlineStr">
        <is>
          <t>Check P0-5 linked-domain contradictions/dependencies</t>
        </is>
      </c>
      <c r="P102" t="inlineStr">
        <is>
          <t>Report confidence separately; never multiply capability score by confidence</t>
        </is>
      </c>
      <c r="Q102" t="inlineStr">
        <is>
          <t>Assessment / Verification Lead</t>
        </is>
      </c>
      <c r="R102" t="inlineStr">
        <is>
          <t>GREEN</t>
        </is>
      </c>
    </row>
    <row r="103">
      <c r="A103" t="inlineStr">
        <is>
          <t>D08</t>
        </is>
      </c>
      <c r="B103" t="inlineStr">
        <is>
          <t>I11</t>
        </is>
      </c>
      <c r="C103" t="inlineStr">
        <is>
          <t>Digital Process Maturity</t>
        </is>
      </c>
      <c r="D103" t="inlineStr">
        <is>
          <t>Required for validated metric score</t>
        </is>
      </c>
      <c r="E103" t="inlineStr">
        <is>
          <t>E1</t>
        </is>
      </c>
      <c r="F103" t="inlineStr">
        <is>
          <t>Institutional artifact + operational evidence</t>
        </is>
      </c>
      <c r="G103" t="inlineStr">
        <is>
          <t>Evidence must directly substantiate the construct; prefer operational and outcome evidence where logically applicable</t>
        </is>
      </c>
      <c r="H103" t="inlineStr">
        <is>
          <t>Current assessment cycle preferred; stale evidence requires justification</t>
        </is>
      </c>
      <c r="I103" t="inlineStr">
        <is>
          <t>2 corroborating sources for high-consequence or high-score claims</t>
        </is>
      </c>
      <c r="J103" t="inlineStr">
        <is>
          <t>Independent source preferred for E3/E4 and high-score claims</t>
        </is>
      </c>
      <c r="K103" t="inlineStr">
        <is>
          <t>Reuse allowed only with construct-specific field mapping; otherwise flag</t>
        </is>
      </c>
      <c r="L103" t="inlineStr">
        <is>
          <t>Policy/ops 12–24 months; outcomes 24–36 months unless metric-specific</t>
        </is>
      </c>
      <c r="M103" t="inlineStr">
        <is>
          <t>Only where observable outcome logically belongs to the construct</t>
        </is>
      </c>
      <c r="N103" t="inlineStr">
        <is>
          <t>Claim-only, policy-only, duplicate or unverifiable evidence cannot create strong confidence</t>
        </is>
      </c>
      <c r="O103" t="inlineStr">
        <is>
          <t>Check P0-5 linked-domain contradictions/dependencies</t>
        </is>
      </c>
      <c r="P103" t="inlineStr">
        <is>
          <t>Report confidence separately; never multiply capability score by confidence</t>
        </is>
      </c>
      <c r="Q103" t="inlineStr">
        <is>
          <t>Assessment / Verification Lead</t>
        </is>
      </c>
      <c r="R103" t="inlineStr">
        <is>
          <t>GREEN</t>
        </is>
      </c>
    </row>
    <row r="104">
      <c r="A104" t="inlineStr">
        <is>
          <t>D08</t>
        </is>
      </c>
      <c r="B104" t="inlineStr">
        <is>
          <t>I12</t>
        </is>
      </c>
      <c r="C104" t="inlineStr">
        <is>
          <t>Institutional Intelligence Capability</t>
        </is>
      </c>
      <c r="D104" t="inlineStr">
        <is>
          <t>Required for validated metric score</t>
        </is>
      </c>
      <c r="E104" t="inlineStr">
        <is>
          <t>E1</t>
        </is>
      </c>
      <c r="F104" t="inlineStr">
        <is>
          <t>Institutional artifact + operational evidence</t>
        </is>
      </c>
      <c r="G104" t="inlineStr">
        <is>
          <t>Evidence must directly substantiate the construct; prefer operational and outcome evidence where logically applicable</t>
        </is>
      </c>
      <c r="H104" t="inlineStr">
        <is>
          <t>Current assessment cycle preferred; stale evidence requires justification</t>
        </is>
      </c>
      <c r="I104" t="inlineStr">
        <is>
          <t>2 corroborating sources for high-consequence or high-score claims</t>
        </is>
      </c>
      <c r="J104" t="inlineStr">
        <is>
          <t>Independent source preferred for E3/E4 and high-score claims</t>
        </is>
      </c>
      <c r="K104" t="inlineStr">
        <is>
          <t>Reuse allowed only with construct-specific field mapping; otherwise flag</t>
        </is>
      </c>
      <c r="L104" t="inlineStr">
        <is>
          <t>Policy/ops 12–24 months; outcomes 24–36 months unless metric-specific</t>
        </is>
      </c>
      <c r="M104" t="inlineStr">
        <is>
          <t>Only where observable outcome logically belongs to the construct</t>
        </is>
      </c>
      <c r="N104" t="inlineStr">
        <is>
          <t>Claim-only, policy-only, duplicate or unverifiable evidence cannot create strong confidence</t>
        </is>
      </c>
      <c r="O104" t="inlineStr">
        <is>
          <t>Check P0-5 linked-domain contradictions/dependencies</t>
        </is>
      </c>
      <c r="P104" t="inlineStr">
        <is>
          <t>Report confidence separately; never multiply capability score by confidence</t>
        </is>
      </c>
      <c r="Q104" t="inlineStr">
        <is>
          <t>Assessment / Verification Lead</t>
        </is>
      </c>
      <c r="R104" t="inlineStr">
        <is>
          <t>GREEN</t>
        </is>
      </c>
    </row>
    <row r="105">
      <c r="A105" t="inlineStr">
        <is>
          <t>D09</t>
        </is>
      </c>
      <c r="B105" t="inlineStr">
        <is>
          <t>I01</t>
        </is>
      </c>
      <c r="C105" t="inlineStr">
        <is>
          <t>Employer Demand Sensing</t>
        </is>
      </c>
      <c r="D105" t="inlineStr">
        <is>
          <t>Required for validated metric score</t>
        </is>
      </c>
      <c r="E105" t="inlineStr">
        <is>
          <t>E1</t>
        </is>
      </c>
      <c r="F105" t="inlineStr">
        <is>
          <t>Institutional artifact + operational evidence</t>
        </is>
      </c>
      <c r="G105" t="inlineStr">
        <is>
          <t>Evidence must directly substantiate the construct; prefer operational and outcome evidence where logically applicable</t>
        </is>
      </c>
      <c r="H105" t="inlineStr">
        <is>
          <t>Current assessment cycle preferred; stale evidence requires justification</t>
        </is>
      </c>
      <c r="I105" t="inlineStr">
        <is>
          <t>2 corroborating sources for high-consequence or high-score claims</t>
        </is>
      </c>
      <c r="J105" t="inlineStr">
        <is>
          <t>Independent source preferred for E3/E4 and high-score claims</t>
        </is>
      </c>
      <c r="K105" t="inlineStr">
        <is>
          <t>Reuse allowed only with construct-specific field mapping; otherwise flag</t>
        </is>
      </c>
      <c r="L105" t="inlineStr">
        <is>
          <t>Policy/ops 12–24 months; outcomes 24–36 months unless metric-specific</t>
        </is>
      </c>
      <c r="M105" t="inlineStr">
        <is>
          <t>Only where observable outcome logically belongs to the construct</t>
        </is>
      </c>
      <c r="N105" t="inlineStr">
        <is>
          <t>Claim-only, policy-only, duplicate or unverifiable evidence cannot create strong confidence</t>
        </is>
      </c>
      <c r="O105" t="inlineStr">
        <is>
          <t>Check P0-5 linked-domain contradictions/dependencies</t>
        </is>
      </c>
      <c r="P105" t="inlineStr">
        <is>
          <t>Report confidence separately; never multiply capability score by confidence</t>
        </is>
      </c>
      <c r="Q105" t="inlineStr">
        <is>
          <t>Assessment / Verification Lead</t>
        </is>
      </c>
      <c r="R105" t="inlineStr">
        <is>
          <t>GREEN</t>
        </is>
      </c>
    </row>
    <row r="106">
      <c r="A106" t="inlineStr">
        <is>
          <t>D09</t>
        </is>
      </c>
      <c r="B106" t="inlineStr">
        <is>
          <t>I02</t>
        </is>
      </c>
      <c r="C106" t="inlineStr">
        <is>
          <t>Employability Capability Architecture</t>
        </is>
      </c>
      <c r="D106" t="inlineStr">
        <is>
          <t>Required for validated metric score</t>
        </is>
      </c>
      <c r="E106" t="inlineStr">
        <is>
          <t>E1</t>
        </is>
      </c>
      <c r="F106" t="inlineStr">
        <is>
          <t>Institutional artifact + operational evidence</t>
        </is>
      </c>
      <c r="G106" t="inlineStr">
        <is>
          <t>Evidence must directly substantiate the construct; prefer operational and outcome evidence where logically applicable</t>
        </is>
      </c>
      <c r="H106" t="inlineStr">
        <is>
          <t>Current assessment cycle preferred; stale evidence requires justification</t>
        </is>
      </c>
      <c r="I106" t="inlineStr">
        <is>
          <t>2 corroborating sources for high-consequence or high-score claims</t>
        </is>
      </c>
      <c r="J106" t="inlineStr">
        <is>
          <t>Independent source preferred for E3/E4 and high-score claims</t>
        </is>
      </c>
      <c r="K106" t="inlineStr">
        <is>
          <t>Reuse allowed only with construct-specific field mapping; otherwise flag</t>
        </is>
      </c>
      <c r="L106" t="inlineStr">
        <is>
          <t>Policy/ops 12–24 months; outcomes 24–36 months unless metric-specific</t>
        </is>
      </c>
      <c r="M106" t="inlineStr">
        <is>
          <t>Only where observable outcome logically belongs to the construct</t>
        </is>
      </c>
      <c r="N106" t="inlineStr">
        <is>
          <t>Claim-only, policy-only, duplicate or unverifiable evidence cannot create strong confidence</t>
        </is>
      </c>
      <c r="O106" t="inlineStr">
        <is>
          <t>Check P0-5 linked-domain contradictions/dependencies</t>
        </is>
      </c>
      <c r="P106" t="inlineStr">
        <is>
          <t>Report confidence separately; never multiply capability score by confidence</t>
        </is>
      </c>
      <c r="Q106" t="inlineStr">
        <is>
          <t>Assessment / Verification Lead</t>
        </is>
      </c>
      <c r="R106" t="inlineStr">
        <is>
          <t>GREEN</t>
        </is>
      </c>
    </row>
    <row r="107">
      <c r="A107" t="inlineStr">
        <is>
          <t>D09</t>
        </is>
      </c>
      <c r="B107" t="inlineStr">
        <is>
          <t>I03</t>
        </is>
      </c>
      <c r="C107" t="inlineStr">
        <is>
          <t>Industry-Validated Curriculum</t>
        </is>
      </c>
      <c r="D107" t="inlineStr">
        <is>
          <t>Required for validated metric score</t>
        </is>
      </c>
      <c r="E107" t="inlineStr">
        <is>
          <t>E1</t>
        </is>
      </c>
      <c r="F107" t="inlineStr">
        <is>
          <t>Institutional artifact + operational evidence</t>
        </is>
      </c>
      <c r="G107" t="inlineStr">
        <is>
          <t>Evidence must directly substantiate the construct; prefer operational and outcome evidence where logically applicable</t>
        </is>
      </c>
      <c r="H107" t="inlineStr">
        <is>
          <t>Current assessment cycle preferred; stale evidence requires justification</t>
        </is>
      </c>
      <c r="I107" t="inlineStr">
        <is>
          <t>2 corroborating sources for high-consequence or high-score claims</t>
        </is>
      </c>
      <c r="J107" t="inlineStr">
        <is>
          <t>Independent source preferred for E3/E4 and high-score claims</t>
        </is>
      </c>
      <c r="K107" t="inlineStr">
        <is>
          <t>Reuse allowed only with construct-specific field mapping; otherwise flag</t>
        </is>
      </c>
      <c r="L107" t="inlineStr">
        <is>
          <t>Policy/ops 12–24 months; outcomes 24–36 months unless metric-specific</t>
        </is>
      </c>
      <c r="M107" t="inlineStr">
        <is>
          <t>Only where observable outcome logically belongs to the construct</t>
        </is>
      </c>
      <c r="N107" t="inlineStr">
        <is>
          <t>Claim-only, policy-only, duplicate or unverifiable evidence cannot create strong confidence</t>
        </is>
      </c>
      <c r="O107" t="inlineStr">
        <is>
          <t>Check P0-5 linked-domain contradictions/dependencies</t>
        </is>
      </c>
      <c r="P107" t="inlineStr">
        <is>
          <t>Report confidence separately; never multiply capability score by confidence</t>
        </is>
      </c>
      <c r="Q107" t="inlineStr">
        <is>
          <t>Assessment / Verification Lead</t>
        </is>
      </c>
      <c r="R107" t="inlineStr">
        <is>
          <t>GREEN</t>
        </is>
      </c>
    </row>
    <row r="108">
      <c r="A108" t="inlineStr">
        <is>
          <t>D09</t>
        </is>
      </c>
      <c r="B108" t="inlineStr">
        <is>
          <t>I04</t>
        </is>
      </c>
      <c r="C108" t="inlineStr">
        <is>
          <t>Practice-Based Learning</t>
        </is>
      </c>
      <c r="D108" t="inlineStr">
        <is>
          <t>Required for validated metric score</t>
        </is>
      </c>
      <c r="E108" t="inlineStr">
        <is>
          <t>E1</t>
        </is>
      </c>
      <c r="F108" t="inlineStr">
        <is>
          <t>Institutional artifact + operational evidence</t>
        </is>
      </c>
      <c r="G108" t="inlineStr">
        <is>
          <t>Evidence must directly substantiate the construct; prefer operational and outcome evidence where logically applicable</t>
        </is>
      </c>
      <c r="H108" t="inlineStr">
        <is>
          <t>Current assessment cycle preferred; stale evidence requires justification</t>
        </is>
      </c>
      <c r="I108" t="inlineStr">
        <is>
          <t>2 corroborating sources for high-consequence or high-score claims</t>
        </is>
      </c>
      <c r="J108" t="inlineStr">
        <is>
          <t>Independent source preferred for E3/E4 and high-score claims</t>
        </is>
      </c>
      <c r="K108" t="inlineStr">
        <is>
          <t>Reuse allowed only with construct-specific field mapping; otherwise flag</t>
        </is>
      </c>
      <c r="L108" t="inlineStr">
        <is>
          <t>Policy/ops 12–24 months; outcomes 24–36 months unless metric-specific</t>
        </is>
      </c>
      <c r="M108" t="inlineStr">
        <is>
          <t>Only where observable outcome logically belongs to the construct</t>
        </is>
      </c>
      <c r="N108" t="inlineStr">
        <is>
          <t>Claim-only, policy-only, duplicate or unverifiable evidence cannot create strong confidence</t>
        </is>
      </c>
      <c r="O108" t="inlineStr">
        <is>
          <t>Check P0-5 linked-domain contradictions/dependencies</t>
        </is>
      </c>
      <c r="P108" t="inlineStr">
        <is>
          <t>Report confidence separately; never multiply capability score by confidence</t>
        </is>
      </c>
      <c r="Q108" t="inlineStr">
        <is>
          <t>Assessment / Verification Lead</t>
        </is>
      </c>
      <c r="R108" t="inlineStr">
        <is>
          <t>GREEN</t>
        </is>
      </c>
    </row>
    <row r="109">
      <c r="A109" t="inlineStr">
        <is>
          <t>D09</t>
        </is>
      </c>
      <c r="B109" t="inlineStr">
        <is>
          <t>I05</t>
        </is>
      </c>
      <c r="C109" t="inlineStr">
        <is>
          <t>Recruiter Confidence</t>
        </is>
      </c>
      <c r="D109" t="inlineStr">
        <is>
          <t>Required for validated metric score</t>
        </is>
      </c>
      <c r="E109" t="inlineStr">
        <is>
          <t>E1</t>
        </is>
      </c>
      <c r="F109" t="inlineStr">
        <is>
          <t>Institutional artifact + operational evidence</t>
        </is>
      </c>
      <c r="G109" t="inlineStr">
        <is>
          <t>Evidence must directly substantiate the construct; prefer operational and outcome evidence where logically applicable</t>
        </is>
      </c>
      <c r="H109" t="inlineStr">
        <is>
          <t>Current assessment cycle preferred; stale evidence requires justification</t>
        </is>
      </c>
      <c r="I109" t="inlineStr">
        <is>
          <t>2 corroborating sources for high-consequence or high-score claims</t>
        </is>
      </c>
      <c r="J109" t="inlineStr">
        <is>
          <t>Independent source preferred for E3/E4 and high-score claims</t>
        </is>
      </c>
      <c r="K109" t="inlineStr">
        <is>
          <t>Reuse allowed only with construct-specific field mapping; otherwise flag</t>
        </is>
      </c>
      <c r="L109" t="inlineStr">
        <is>
          <t>Policy/ops 12–24 months; outcomes 24–36 months unless metric-specific</t>
        </is>
      </c>
      <c r="M109" t="inlineStr">
        <is>
          <t>Only where observable outcome logically belongs to the construct</t>
        </is>
      </c>
      <c r="N109" t="inlineStr">
        <is>
          <t>Claim-only, policy-only, duplicate or unverifiable evidence cannot create strong confidence</t>
        </is>
      </c>
      <c r="O109" t="inlineStr">
        <is>
          <t>Check P0-5 linked-domain contradictions/dependencies</t>
        </is>
      </c>
      <c r="P109" t="inlineStr">
        <is>
          <t>Report confidence separately; never multiply capability score by confidence</t>
        </is>
      </c>
      <c r="Q109" t="inlineStr">
        <is>
          <t>Assessment / Verification Lead</t>
        </is>
      </c>
      <c r="R109" t="inlineStr">
        <is>
          <t>GREEN</t>
        </is>
      </c>
    </row>
    <row r="110">
      <c r="A110" t="inlineStr">
        <is>
          <t>D09</t>
        </is>
      </c>
      <c r="B110" t="inlineStr">
        <is>
          <t>I06</t>
        </is>
      </c>
      <c r="C110" t="inlineStr">
        <is>
          <t>Placement Outcome Quality</t>
        </is>
      </c>
      <c r="D110" t="inlineStr">
        <is>
          <t>Required for validated metric score</t>
        </is>
      </c>
      <c r="E110" t="inlineStr">
        <is>
          <t>E1</t>
        </is>
      </c>
      <c r="F110" t="inlineStr">
        <is>
          <t>Institutional artifact + operational evidence</t>
        </is>
      </c>
      <c r="G110" t="inlineStr">
        <is>
          <t>Evidence must directly substantiate the construct; prefer operational and outcome evidence where logically applicable</t>
        </is>
      </c>
      <c r="H110" t="inlineStr">
        <is>
          <t>Current assessment cycle preferred; stale evidence requires justification</t>
        </is>
      </c>
      <c r="I110" t="inlineStr">
        <is>
          <t>2 corroborating sources for high-consequence or high-score claims</t>
        </is>
      </c>
      <c r="J110" t="inlineStr">
        <is>
          <t>Independent source preferred for E3/E4 and high-score claims</t>
        </is>
      </c>
      <c r="K110" t="inlineStr">
        <is>
          <t>Reuse allowed only with construct-specific field mapping; otherwise flag</t>
        </is>
      </c>
      <c r="L110" t="inlineStr">
        <is>
          <t>Policy/ops 12–24 months; outcomes 24–36 months unless metric-specific</t>
        </is>
      </c>
      <c r="M110" t="inlineStr">
        <is>
          <t>Only where observable outcome logically belongs to the construct</t>
        </is>
      </c>
      <c r="N110" t="inlineStr">
        <is>
          <t>Claim-only, policy-only, duplicate or unverifiable evidence cannot create strong confidence</t>
        </is>
      </c>
      <c r="O110" t="inlineStr">
        <is>
          <t>Check P0-5 linked-domain contradictions/dependencies</t>
        </is>
      </c>
      <c r="P110" t="inlineStr">
        <is>
          <t>Report confidence separately; never multiply capability score by confidence</t>
        </is>
      </c>
      <c r="Q110" t="inlineStr">
        <is>
          <t>Assessment / Verification Lead</t>
        </is>
      </c>
      <c r="R110" t="inlineStr">
        <is>
          <t>GREEN</t>
        </is>
      </c>
    </row>
    <row r="111">
      <c r="A111" t="inlineStr">
        <is>
          <t>D09</t>
        </is>
      </c>
      <c r="B111" t="inlineStr">
        <is>
          <t>I07</t>
        </is>
      </c>
      <c r="C111" t="inlineStr">
        <is>
          <t>Career Adaptability</t>
        </is>
      </c>
      <c r="D111" t="inlineStr">
        <is>
          <t>Required for validated metric score</t>
        </is>
      </c>
      <c r="E111" t="inlineStr">
        <is>
          <t>E1</t>
        </is>
      </c>
      <c r="F111" t="inlineStr">
        <is>
          <t>Institutional artifact + operational evidence</t>
        </is>
      </c>
      <c r="G111" t="inlineStr">
        <is>
          <t>Evidence must directly substantiate the construct; prefer operational and outcome evidence where logically applicable</t>
        </is>
      </c>
      <c r="H111" t="inlineStr">
        <is>
          <t>Current assessment cycle preferred; stale evidence requires justification</t>
        </is>
      </c>
      <c r="I111" t="inlineStr">
        <is>
          <t>2 corroborating sources for high-consequence or high-score claims</t>
        </is>
      </c>
      <c r="J111" t="inlineStr">
        <is>
          <t>Independent source preferred for E3/E4 and high-score claims</t>
        </is>
      </c>
      <c r="K111" t="inlineStr">
        <is>
          <t>Reuse allowed only with construct-specific field mapping; otherwise flag</t>
        </is>
      </c>
      <c r="L111" t="inlineStr">
        <is>
          <t>Policy/ops 12–24 months; outcomes 24–36 months unless metric-specific</t>
        </is>
      </c>
      <c r="M111" t="inlineStr">
        <is>
          <t>Only where observable outcome logically belongs to the construct</t>
        </is>
      </c>
      <c r="N111" t="inlineStr">
        <is>
          <t>Claim-only, policy-only, duplicate or unverifiable evidence cannot create strong confidence</t>
        </is>
      </c>
      <c r="O111" t="inlineStr">
        <is>
          <t>Check P0-5 linked-domain contradictions/dependencies</t>
        </is>
      </c>
      <c r="P111" t="inlineStr">
        <is>
          <t>Report confidence separately; never multiply capability score by confidence</t>
        </is>
      </c>
      <c r="Q111" t="inlineStr">
        <is>
          <t>Assessment / Verification Lead</t>
        </is>
      </c>
      <c r="R111" t="inlineStr">
        <is>
          <t>GREEN</t>
        </is>
      </c>
    </row>
    <row r="112">
      <c r="A112" t="inlineStr">
        <is>
          <t>D09</t>
        </is>
      </c>
      <c r="B112" t="inlineStr">
        <is>
          <t>I08</t>
        </is>
      </c>
      <c r="C112" t="inlineStr">
        <is>
          <t>AI-Era Employability Readiness</t>
        </is>
      </c>
      <c r="D112" t="inlineStr">
        <is>
          <t>Required for validated metric score</t>
        </is>
      </c>
      <c r="E112" t="inlineStr">
        <is>
          <t>E1</t>
        </is>
      </c>
      <c r="F112" t="inlineStr">
        <is>
          <t>Institutional artifact + operational evidence</t>
        </is>
      </c>
      <c r="G112" t="inlineStr">
        <is>
          <t>Evidence must directly substantiate the construct; prefer operational and outcome evidence where logically applicable</t>
        </is>
      </c>
      <c r="H112" t="inlineStr">
        <is>
          <t>Current assessment cycle preferred; stale evidence requires justification</t>
        </is>
      </c>
      <c r="I112" t="inlineStr">
        <is>
          <t>2 corroborating sources for high-consequence or high-score claims</t>
        </is>
      </c>
      <c r="J112" t="inlineStr">
        <is>
          <t>Independent source preferred for E3/E4 and high-score claims</t>
        </is>
      </c>
      <c r="K112" t="inlineStr">
        <is>
          <t>Reuse allowed only with construct-specific field mapping; otherwise flag</t>
        </is>
      </c>
      <c r="L112" t="inlineStr">
        <is>
          <t>Policy/ops 12–24 months; outcomes 24–36 months unless metric-specific</t>
        </is>
      </c>
      <c r="M112" t="inlineStr">
        <is>
          <t>Only where observable outcome logically belongs to the construct</t>
        </is>
      </c>
      <c r="N112" t="inlineStr">
        <is>
          <t>Claim-only, policy-only, duplicate or unverifiable evidence cannot create strong confidence</t>
        </is>
      </c>
      <c r="O112" t="inlineStr">
        <is>
          <t>Check P0-5 linked-domain contradictions/dependencies</t>
        </is>
      </c>
      <c r="P112" t="inlineStr">
        <is>
          <t>Report confidence separately; never multiply capability score by confidence</t>
        </is>
      </c>
      <c r="Q112" t="inlineStr">
        <is>
          <t>Assessment / Verification Lead</t>
        </is>
      </c>
      <c r="R112" t="inlineStr">
        <is>
          <t>GREEN</t>
        </is>
      </c>
    </row>
    <row r="113">
      <c r="A113" t="inlineStr">
        <is>
          <t>D09</t>
        </is>
      </c>
      <c r="B113" t="inlineStr">
        <is>
          <t>I09</t>
        </is>
      </c>
      <c r="C113" t="inlineStr">
        <is>
          <t>Capability Signalling</t>
        </is>
      </c>
      <c r="D113" t="inlineStr">
        <is>
          <t>Required for validated metric score</t>
        </is>
      </c>
      <c r="E113" t="inlineStr">
        <is>
          <t>E1</t>
        </is>
      </c>
      <c r="F113" t="inlineStr">
        <is>
          <t>Institutional artifact + operational evidence</t>
        </is>
      </c>
      <c r="G113" t="inlineStr">
        <is>
          <t>Evidence must directly substantiate the construct; prefer operational and outcome evidence where logically applicable</t>
        </is>
      </c>
      <c r="H113" t="inlineStr">
        <is>
          <t>Current assessment cycle preferred; stale evidence requires justification</t>
        </is>
      </c>
      <c r="I113" t="inlineStr">
        <is>
          <t>2 corroborating sources for high-consequence or high-score claims</t>
        </is>
      </c>
      <c r="J113" t="inlineStr">
        <is>
          <t>Independent source preferred for E3/E4 and high-score claims</t>
        </is>
      </c>
      <c r="K113" t="inlineStr">
        <is>
          <t>Reuse allowed only with construct-specific field mapping; otherwise flag</t>
        </is>
      </c>
      <c r="L113" t="inlineStr">
        <is>
          <t>Policy/ops 12–24 months; outcomes 24–36 months unless metric-specific</t>
        </is>
      </c>
      <c r="M113" t="inlineStr">
        <is>
          <t>Only where observable outcome logically belongs to the construct</t>
        </is>
      </c>
      <c r="N113" t="inlineStr">
        <is>
          <t>Claim-only, policy-only, duplicate or unverifiable evidence cannot create strong confidence</t>
        </is>
      </c>
      <c r="O113" t="inlineStr">
        <is>
          <t>Check P0-5 linked-domain contradictions/dependencies</t>
        </is>
      </c>
      <c r="P113" t="inlineStr">
        <is>
          <t>Report confidence separately; never multiply capability score by confidence</t>
        </is>
      </c>
      <c r="Q113" t="inlineStr">
        <is>
          <t>Assessment / Verification Lead</t>
        </is>
      </c>
      <c r="R113" t="inlineStr">
        <is>
          <t>GREEN</t>
        </is>
      </c>
    </row>
    <row r="114">
      <c r="A114" t="inlineStr">
        <is>
          <t>D09</t>
        </is>
      </c>
      <c r="B114" t="inlineStr">
        <is>
          <t>I10</t>
        </is>
      </c>
      <c r="C114" t="inlineStr">
        <is>
          <t>Industry Co-Creation</t>
        </is>
      </c>
      <c r="D114" t="inlineStr">
        <is>
          <t>Required for validated metric score</t>
        </is>
      </c>
      <c r="E114" t="inlineStr">
        <is>
          <t>E1</t>
        </is>
      </c>
      <c r="F114" t="inlineStr">
        <is>
          <t>Institutional artifact + operational evidence</t>
        </is>
      </c>
      <c r="G114" t="inlineStr">
        <is>
          <t>Evidence must directly substantiate the construct; prefer operational and outcome evidence where logically applicable</t>
        </is>
      </c>
      <c r="H114" t="inlineStr">
        <is>
          <t>Current assessment cycle preferred; stale evidence requires justification</t>
        </is>
      </c>
      <c r="I114" t="inlineStr">
        <is>
          <t>2 corroborating sources for high-consequence or high-score claims</t>
        </is>
      </c>
      <c r="J114" t="inlineStr">
        <is>
          <t>Independent source preferred for E3/E4 and high-score claims</t>
        </is>
      </c>
      <c r="K114" t="inlineStr">
        <is>
          <t>Reuse allowed only with construct-specific field mapping; otherwise flag</t>
        </is>
      </c>
      <c r="L114" t="inlineStr">
        <is>
          <t>Policy/ops 12–24 months; outcomes 24–36 months unless metric-specific</t>
        </is>
      </c>
      <c r="M114" t="inlineStr">
        <is>
          <t>Only where observable outcome logically belongs to the construct</t>
        </is>
      </c>
      <c r="N114" t="inlineStr">
        <is>
          <t>Claim-only, policy-only, duplicate or unverifiable evidence cannot create strong confidence</t>
        </is>
      </c>
      <c r="O114" t="inlineStr">
        <is>
          <t>Check P0-5 linked-domain contradictions/dependencies</t>
        </is>
      </c>
      <c r="P114" t="inlineStr">
        <is>
          <t>Report confidence separately; never multiply capability score by confidence</t>
        </is>
      </c>
      <c r="Q114" t="inlineStr">
        <is>
          <t>Assessment / Verification Lead</t>
        </is>
      </c>
      <c r="R114" t="inlineStr">
        <is>
          <t>GREEN</t>
        </is>
      </c>
    </row>
    <row r="115">
      <c r="A115" t="inlineStr">
        <is>
          <t>D09</t>
        </is>
      </c>
      <c r="B115" t="inlineStr">
        <is>
          <t>I11</t>
        </is>
      </c>
      <c r="C115" t="inlineStr">
        <is>
          <t>Regional/Economic Relevance</t>
        </is>
      </c>
      <c r="D115" t="inlineStr">
        <is>
          <t>Required for validated metric score</t>
        </is>
      </c>
      <c r="E115" t="inlineStr">
        <is>
          <t>E1</t>
        </is>
      </c>
      <c r="F115" t="inlineStr">
        <is>
          <t>Institutional artifact + operational evidence</t>
        </is>
      </c>
      <c r="G115" t="inlineStr">
        <is>
          <t>Evidence must directly substantiate the construct; prefer operational and outcome evidence where logically applicable</t>
        </is>
      </c>
      <c r="H115" t="inlineStr">
        <is>
          <t>Current assessment cycle preferred; stale evidence requires justification</t>
        </is>
      </c>
      <c r="I115" t="inlineStr">
        <is>
          <t>2 corroborating sources for high-consequence or high-score claims</t>
        </is>
      </c>
      <c r="J115" t="inlineStr">
        <is>
          <t>Independent source preferred for E3/E4 and high-score claims</t>
        </is>
      </c>
      <c r="K115" t="inlineStr">
        <is>
          <t>Reuse allowed only with construct-specific field mapping; otherwise flag</t>
        </is>
      </c>
      <c r="L115" t="inlineStr">
        <is>
          <t>Policy/ops 12–24 months; outcomes 24–36 months unless metric-specific</t>
        </is>
      </c>
      <c r="M115" t="inlineStr">
        <is>
          <t>Only where observable outcome logically belongs to the construct</t>
        </is>
      </c>
      <c r="N115" t="inlineStr">
        <is>
          <t>Claim-only, policy-only, duplicate or unverifiable evidence cannot create strong confidence</t>
        </is>
      </c>
      <c r="O115" t="inlineStr">
        <is>
          <t>Check P0-5 linked-domain contradictions/dependencies</t>
        </is>
      </c>
      <c r="P115" t="inlineStr">
        <is>
          <t>Report confidence separately; never multiply capability score by confidence</t>
        </is>
      </c>
      <c r="Q115" t="inlineStr">
        <is>
          <t>Assessment / Verification Lead</t>
        </is>
      </c>
      <c r="R115" t="inlineStr">
        <is>
          <t>GREEN</t>
        </is>
      </c>
    </row>
    <row r="116">
      <c r="A116" t="inlineStr">
        <is>
          <t>D09</t>
        </is>
      </c>
      <c r="B116" t="inlineStr">
        <is>
          <t>I12</t>
        </is>
      </c>
      <c r="C116" t="inlineStr">
        <is>
          <t>Alumni Career Intelligence</t>
        </is>
      </c>
      <c r="D116" t="inlineStr">
        <is>
          <t>Required for validated metric score</t>
        </is>
      </c>
      <c r="E116" t="inlineStr">
        <is>
          <t>E1</t>
        </is>
      </c>
      <c r="F116" t="inlineStr">
        <is>
          <t>Institutional artifact + operational evidence</t>
        </is>
      </c>
      <c r="G116" t="inlineStr">
        <is>
          <t>Evidence must directly substantiate the construct; prefer operational and outcome evidence where logically applicable</t>
        </is>
      </c>
      <c r="H116" t="inlineStr">
        <is>
          <t>Current assessment cycle preferred; stale evidence requires justification</t>
        </is>
      </c>
      <c r="I116" t="inlineStr">
        <is>
          <t>2 corroborating sources for high-consequence or high-score claims</t>
        </is>
      </c>
      <c r="J116" t="inlineStr">
        <is>
          <t>Independent source preferred for E3/E4 and high-score claims</t>
        </is>
      </c>
      <c r="K116" t="inlineStr">
        <is>
          <t>Reuse allowed only with construct-specific field mapping; otherwise flag</t>
        </is>
      </c>
      <c r="L116" t="inlineStr">
        <is>
          <t>Policy/ops 12–24 months; outcomes 24–36 months unless metric-specific</t>
        </is>
      </c>
      <c r="M116" t="inlineStr">
        <is>
          <t>Only where observable outcome logically belongs to the construct</t>
        </is>
      </c>
      <c r="N116" t="inlineStr">
        <is>
          <t>Claim-only, policy-only, duplicate or unverifiable evidence cannot create strong confidence</t>
        </is>
      </c>
      <c r="O116" t="inlineStr">
        <is>
          <t>Check P0-5 linked-domain contradictions/dependencies</t>
        </is>
      </c>
      <c r="P116" t="inlineStr">
        <is>
          <t>Report confidence separately; never multiply capability score by confidence</t>
        </is>
      </c>
      <c r="Q116" t="inlineStr">
        <is>
          <t>Assessment / Verification Lead</t>
        </is>
      </c>
      <c r="R116" t="inlineStr">
        <is>
          <t>GREEN</t>
        </is>
      </c>
    </row>
    <row r="117">
      <c r="A117" t="inlineStr">
        <is>
          <t>D10</t>
        </is>
      </c>
      <c r="B117" t="inlineStr">
        <is>
          <t>I01</t>
        </is>
      </c>
      <c r="C117" t="inlineStr">
        <is>
          <t>Research Strategy Maturity</t>
        </is>
      </c>
      <c r="D117" t="inlineStr">
        <is>
          <t>Required for validated metric score</t>
        </is>
      </c>
      <c r="E117" t="inlineStr">
        <is>
          <t>E1</t>
        </is>
      </c>
      <c r="F117" t="inlineStr">
        <is>
          <t>Institutional artifact + operational evidence</t>
        </is>
      </c>
      <c r="G117" t="inlineStr">
        <is>
          <t>Evidence must directly substantiate the construct; prefer operational and outcome evidence where logically applicable</t>
        </is>
      </c>
      <c r="H117" t="inlineStr">
        <is>
          <t>Current assessment cycle preferred; stale evidence requires justification</t>
        </is>
      </c>
      <c r="I117" t="inlineStr">
        <is>
          <t>2 corroborating sources for high-consequence or high-score claims</t>
        </is>
      </c>
      <c r="J117" t="inlineStr">
        <is>
          <t>Independent source preferred for E3/E4 and high-score claims</t>
        </is>
      </c>
      <c r="K117" t="inlineStr">
        <is>
          <t>Reuse allowed only with construct-specific field mapping; otherwise flag</t>
        </is>
      </c>
      <c r="L117" t="inlineStr">
        <is>
          <t>Policy/ops 12–24 months; outcomes 24–36 months unless metric-specific</t>
        </is>
      </c>
      <c r="M117" t="inlineStr">
        <is>
          <t>Only where observable outcome logically belongs to the construct</t>
        </is>
      </c>
      <c r="N117" t="inlineStr">
        <is>
          <t>Claim-only, policy-only, duplicate or unverifiable evidence cannot create strong confidence</t>
        </is>
      </c>
      <c r="O117" t="inlineStr">
        <is>
          <t>Check P0-5 linked-domain contradictions/dependencies</t>
        </is>
      </c>
      <c r="P117" t="inlineStr">
        <is>
          <t>Report confidence separately; never multiply capability score by confidence</t>
        </is>
      </c>
      <c r="Q117" t="inlineStr">
        <is>
          <t>Assessment / Verification Lead</t>
        </is>
      </c>
      <c r="R117" t="inlineStr">
        <is>
          <t>GREEN</t>
        </is>
      </c>
    </row>
    <row r="118">
      <c r="A118" t="inlineStr">
        <is>
          <t>D10</t>
        </is>
      </c>
      <c r="B118" t="inlineStr">
        <is>
          <t>I02</t>
        </is>
      </c>
      <c r="C118" t="inlineStr">
        <is>
          <t>Research Portfolio Balance</t>
        </is>
      </c>
      <c r="D118" t="inlineStr">
        <is>
          <t>Required for validated metric score</t>
        </is>
      </c>
      <c r="E118" t="inlineStr">
        <is>
          <t>E1</t>
        </is>
      </c>
      <c r="F118" t="inlineStr">
        <is>
          <t>Institutional artifact + operational evidence</t>
        </is>
      </c>
      <c r="G118" t="inlineStr">
        <is>
          <t>Evidence must directly substantiate the construct; prefer operational and outcome evidence where logically applicable</t>
        </is>
      </c>
      <c r="H118" t="inlineStr">
        <is>
          <t>Current assessment cycle preferred; stale evidence requires justification</t>
        </is>
      </c>
      <c r="I118" t="inlineStr">
        <is>
          <t>2 corroborating sources for high-consequence or high-score claims</t>
        </is>
      </c>
      <c r="J118" t="inlineStr">
        <is>
          <t>Independent source preferred for E3/E4 and high-score claims</t>
        </is>
      </c>
      <c r="K118" t="inlineStr">
        <is>
          <t>Reuse allowed only with construct-specific field mapping; otherwise flag</t>
        </is>
      </c>
      <c r="L118" t="inlineStr">
        <is>
          <t>Policy/ops 12–24 months; outcomes 24–36 months unless metric-specific</t>
        </is>
      </c>
      <c r="M118" t="inlineStr">
        <is>
          <t>Only where observable outcome logically belongs to the construct</t>
        </is>
      </c>
      <c r="N118" t="inlineStr">
        <is>
          <t>Claim-only, policy-only, duplicate or unverifiable evidence cannot create strong confidence</t>
        </is>
      </c>
      <c r="O118" t="inlineStr">
        <is>
          <t>Check P0-5 linked-domain contradictions/dependencies</t>
        </is>
      </c>
      <c r="P118" t="inlineStr">
        <is>
          <t>Report confidence separately; never multiply capability score by confidence</t>
        </is>
      </c>
      <c r="Q118" t="inlineStr">
        <is>
          <t>Assessment / Verification Lead</t>
        </is>
      </c>
      <c r="R118" t="inlineStr">
        <is>
          <t>GREEN</t>
        </is>
      </c>
    </row>
    <row r="119">
      <c r="A119" t="inlineStr">
        <is>
          <t>D10</t>
        </is>
      </c>
      <c r="B119" t="inlineStr">
        <is>
          <t>I03</t>
        </is>
      </c>
      <c r="C119" t="inlineStr">
        <is>
          <t>Interdisciplinary Research Capability</t>
        </is>
      </c>
      <c r="D119" t="inlineStr">
        <is>
          <t>Required for validated metric score</t>
        </is>
      </c>
      <c r="E119" t="inlineStr">
        <is>
          <t>E1</t>
        </is>
      </c>
      <c r="F119" t="inlineStr">
        <is>
          <t>Institutional artifact + operational evidence</t>
        </is>
      </c>
      <c r="G119" t="inlineStr">
        <is>
          <t>Evidence must directly substantiate the construct; prefer operational and outcome evidence where logically applicable</t>
        </is>
      </c>
      <c r="H119" t="inlineStr">
        <is>
          <t>Current assessment cycle preferred; stale evidence requires justification</t>
        </is>
      </c>
      <c r="I119" t="inlineStr">
        <is>
          <t>2 corroborating sources for high-consequence or high-score claims</t>
        </is>
      </c>
      <c r="J119" t="inlineStr">
        <is>
          <t>Independent source preferred for E3/E4 and high-score claims</t>
        </is>
      </c>
      <c r="K119" t="inlineStr">
        <is>
          <t>Reuse allowed only with construct-specific field mapping; otherwise flag</t>
        </is>
      </c>
      <c r="L119" t="inlineStr">
        <is>
          <t>Policy/ops 12–24 months; outcomes 24–36 months unless metric-specific</t>
        </is>
      </c>
      <c r="M119" t="inlineStr">
        <is>
          <t>Only where observable outcome logically belongs to the construct</t>
        </is>
      </c>
      <c r="N119" t="inlineStr">
        <is>
          <t>Claim-only, policy-only, duplicate or unverifiable evidence cannot create strong confidence</t>
        </is>
      </c>
      <c r="O119" t="inlineStr">
        <is>
          <t>Check P0-5 linked-domain contradictions/dependencies</t>
        </is>
      </c>
      <c r="P119" t="inlineStr">
        <is>
          <t>Report confidence separately; never multiply capability score by confidence</t>
        </is>
      </c>
      <c r="Q119" t="inlineStr">
        <is>
          <t>Assessment / Verification Lead</t>
        </is>
      </c>
      <c r="R119" t="inlineStr">
        <is>
          <t>GREEN</t>
        </is>
      </c>
    </row>
    <row r="120">
      <c r="A120" t="inlineStr">
        <is>
          <t>D10</t>
        </is>
      </c>
      <c r="B120" t="inlineStr">
        <is>
          <t>I04</t>
        </is>
      </c>
      <c r="C120" t="inlineStr">
        <is>
          <t>AI-Enabled Research Capability</t>
        </is>
      </c>
      <c r="D120" t="inlineStr">
        <is>
          <t>Required for validated metric score</t>
        </is>
      </c>
      <c r="E120" t="inlineStr">
        <is>
          <t>E1</t>
        </is>
      </c>
      <c r="F120" t="inlineStr">
        <is>
          <t>Institutional artifact + operational evidence</t>
        </is>
      </c>
      <c r="G120" t="inlineStr">
        <is>
          <t>Evidence must directly substantiate the construct; prefer operational and outcome evidence where logically applicable</t>
        </is>
      </c>
      <c r="H120" t="inlineStr">
        <is>
          <t>Current assessment cycle preferred; stale evidence requires justification</t>
        </is>
      </c>
      <c r="I120" t="inlineStr">
        <is>
          <t>2 corroborating sources for high-consequence or high-score claims</t>
        </is>
      </c>
      <c r="J120" t="inlineStr">
        <is>
          <t>Independent source preferred for E3/E4 and high-score claims</t>
        </is>
      </c>
      <c r="K120" t="inlineStr">
        <is>
          <t>Reuse allowed only with construct-specific field mapping; otherwise flag</t>
        </is>
      </c>
      <c r="L120" t="inlineStr">
        <is>
          <t>Policy/ops 12–24 months; outcomes 24–36 months unless metric-specific</t>
        </is>
      </c>
      <c r="M120" t="inlineStr">
        <is>
          <t>Only where observable outcome logically belongs to the construct</t>
        </is>
      </c>
      <c r="N120" t="inlineStr">
        <is>
          <t>Claim-only, policy-only, duplicate or unverifiable evidence cannot create strong confidence</t>
        </is>
      </c>
      <c r="O120" t="inlineStr">
        <is>
          <t>Check P0-5 linked-domain contradictions/dependencies</t>
        </is>
      </c>
      <c r="P120" t="inlineStr">
        <is>
          <t>Report confidence separately; never multiply capability score by confidence</t>
        </is>
      </c>
      <c r="Q120" t="inlineStr">
        <is>
          <t>Assessment / Verification Lead</t>
        </is>
      </c>
      <c r="R120" t="inlineStr">
        <is>
          <t>GREEN</t>
        </is>
      </c>
    </row>
    <row r="121">
      <c r="A121" t="inlineStr">
        <is>
          <t>D10</t>
        </is>
      </c>
      <c r="B121" t="inlineStr">
        <is>
          <t>I05</t>
        </is>
      </c>
      <c r="C121" t="inlineStr">
        <is>
          <t>Research Infrastructure Readiness</t>
        </is>
      </c>
      <c r="D121" t="inlineStr">
        <is>
          <t>Required for validated metric score</t>
        </is>
      </c>
      <c r="E121" t="inlineStr">
        <is>
          <t>E1</t>
        </is>
      </c>
      <c r="F121" t="inlineStr">
        <is>
          <t>Institutional artifact + operational evidence</t>
        </is>
      </c>
      <c r="G121" t="inlineStr">
        <is>
          <t>Evidence must directly substantiate the construct; prefer operational and outcome evidence where logically applicable</t>
        </is>
      </c>
      <c r="H121" t="inlineStr">
        <is>
          <t>Current assessment cycle preferred; stale evidence requires justification</t>
        </is>
      </c>
      <c r="I121" t="inlineStr">
        <is>
          <t>2 corroborating sources for high-consequence or high-score claims</t>
        </is>
      </c>
      <c r="J121" t="inlineStr">
        <is>
          <t>Independent source preferred for E3/E4 and high-score claims</t>
        </is>
      </c>
      <c r="K121" t="inlineStr">
        <is>
          <t>Reuse allowed only with construct-specific field mapping; otherwise flag</t>
        </is>
      </c>
      <c r="L121" t="inlineStr">
        <is>
          <t>Policy/ops 12–24 months; outcomes 24–36 months unless metric-specific</t>
        </is>
      </c>
      <c r="M121" t="inlineStr">
        <is>
          <t>Only where observable outcome logically belongs to the construct</t>
        </is>
      </c>
      <c r="N121" t="inlineStr">
        <is>
          <t>Claim-only, policy-only, duplicate or unverifiable evidence cannot create strong confidence</t>
        </is>
      </c>
      <c r="O121" t="inlineStr">
        <is>
          <t>Check P0-5 linked-domain contradictions/dependencies</t>
        </is>
      </c>
      <c r="P121" t="inlineStr">
        <is>
          <t>Report confidence separately; never multiply capability score by confidence</t>
        </is>
      </c>
      <c r="Q121" t="inlineStr">
        <is>
          <t>Assessment / Verification Lead</t>
        </is>
      </c>
      <c r="R121" t="inlineStr">
        <is>
          <t>GREEN</t>
        </is>
      </c>
    </row>
    <row r="122">
      <c r="A122" t="inlineStr">
        <is>
          <t>D10</t>
        </is>
      </c>
      <c r="B122" t="inlineStr">
        <is>
          <t>I06</t>
        </is>
      </c>
      <c r="C122" t="inlineStr">
        <is>
          <t>Researcher Capability</t>
        </is>
      </c>
      <c r="D122" t="inlineStr">
        <is>
          <t>Required for validated metric score</t>
        </is>
      </c>
      <c r="E122" t="inlineStr">
        <is>
          <t>E1</t>
        </is>
      </c>
      <c r="F122" t="inlineStr">
        <is>
          <t>Institutional artifact + operational evidence</t>
        </is>
      </c>
      <c r="G122" t="inlineStr">
        <is>
          <t>Evidence must directly substantiate the construct; prefer operational and outcome evidence where logically applicable</t>
        </is>
      </c>
      <c r="H122" t="inlineStr">
        <is>
          <t>Current assessment cycle preferred; stale evidence requires justification</t>
        </is>
      </c>
      <c r="I122" t="inlineStr">
        <is>
          <t>2 corroborating sources for high-consequence or high-score claims</t>
        </is>
      </c>
      <c r="J122" t="inlineStr">
        <is>
          <t>Independent source preferred for E3/E4 and high-score claims</t>
        </is>
      </c>
      <c r="K122" t="inlineStr">
        <is>
          <t>Reuse allowed only with construct-specific field mapping; otherwise flag</t>
        </is>
      </c>
      <c r="L122" t="inlineStr">
        <is>
          <t>Policy/ops 12–24 months; outcomes 24–36 months unless metric-specific</t>
        </is>
      </c>
      <c r="M122" t="inlineStr">
        <is>
          <t>Only where observable outcome logically belongs to the construct</t>
        </is>
      </c>
      <c r="N122" t="inlineStr">
        <is>
          <t>Claim-only, policy-only, duplicate or unverifiable evidence cannot create strong confidence</t>
        </is>
      </c>
      <c r="O122" t="inlineStr">
        <is>
          <t>Check P0-5 linked-domain contradictions/dependencies</t>
        </is>
      </c>
      <c r="P122" t="inlineStr">
        <is>
          <t>Report confidence separately; never multiply capability score by confidence</t>
        </is>
      </c>
      <c r="Q122" t="inlineStr">
        <is>
          <t>Assessment / Verification Lead</t>
        </is>
      </c>
      <c r="R122" t="inlineStr">
        <is>
          <t>GREEN</t>
        </is>
      </c>
    </row>
    <row r="123">
      <c r="A123" t="inlineStr">
        <is>
          <t>D10</t>
        </is>
      </c>
      <c r="B123" t="inlineStr">
        <is>
          <t>I07</t>
        </is>
      </c>
      <c r="C123" t="inlineStr">
        <is>
          <t>Research Funding Capability</t>
        </is>
      </c>
      <c r="D123" t="inlineStr">
        <is>
          <t>Required for validated metric score</t>
        </is>
      </c>
      <c r="E123" t="inlineStr">
        <is>
          <t>E1</t>
        </is>
      </c>
      <c r="F123" t="inlineStr">
        <is>
          <t>Institutional artifact + operational evidence</t>
        </is>
      </c>
      <c r="G123" t="inlineStr">
        <is>
          <t>Evidence must directly substantiate the construct; prefer operational and outcome evidence where logically applicable</t>
        </is>
      </c>
      <c r="H123" t="inlineStr">
        <is>
          <t>Current assessment cycle preferred; stale evidence requires justification</t>
        </is>
      </c>
      <c r="I123" t="inlineStr">
        <is>
          <t>2 corroborating sources for high-consequence or high-score claims</t>
        </is>
      </c>
      <c r="J123" t="inlineStr">
        <is>
          <t>Independent source preferred for E3/E4 and high-score claims</t>
        </is>
      </c>
      <c r="K123" t="inlineStr">
        <is>
          <t>Reuse allowed only with construct-specific field mapping; otherwise flag</t>
        </is>
      </c>
      <c r="L123" t="inlineStr">
        <is>
          <t>Policy/ops 12–24 months; outcomes 24–36 months unless metric-specific</t>
        </is>
      </c>
      <c r="M123" t="inlineStr">
        <is>
          <t>Only where observable outcome logically belongs to the construct</t>
        </is>
      </c>
      <c r="N123" t="inlineStr">
        <is>
          <t>Claim-only, policy-only, duplicate or unverifiable evidence cannot create strong confidence</t>
        </is>
      </c>
      <c r="O123" t="inlineStr">
        <is>
          <t>Check P0-5 linked-domain contradictions/dependencies</t>
        </is>
      </c>
      <c r="P123" t="inlineStr">
        <is>
          <t>Report confidence separately; never multiply capability score by confidence</t>
        </is>
      </c>
      <c r="Q123" t="inlineStr">
        <is>
          <t>Assessment / Verification Lead</t>
        </is>
      </c>
      <c r="R123" t="inlineStr">
        <is>
          <t>GREEN</t>
        </is>
      </c>
    </row>
    <row r="124">
      <c r="A124" t="inlineStr">
        <is>
          <t>D10</t>
        </is>
      </c>
      <c r="B124" t="inlineStr">
        <is>
          <t>I08</t>
        </is>
      </c>
      <c r="C124" t="inlineStr">
        <is>
          <t>Knowledge Translation Capability</t>
        </is>
      </c>
      <c r="D124" t="inlineStr">
        <is>
          <t>Required for validated metric score</t>
        </is>
      </c>
      <c r="E124" t="inlineStr">
        <is>
          <t>E1</t>
        </is>
      </c>
      <c r="F124" t="inlineStr">
        <is>
          <t>Institutional artifact + operational evidence</t>
        </is>
      </c>
      <c r="G124" t="inlineStr">
        <is>
          <t>Evidence must directly substantiate the construct; prefer operational and outcome evidence where logically applicable</t>
        </is>
      </c>
      <c r="H124" t="inlineStr">
        <is>
          <t>Current assessment cycle preferred; stale evidence requires justification</t>
        </is>
      </c>
      <c r="I124" t="inlineStr">
        <is>
          <t>2 corroborating sources for high-consequence or high-score claims</t>
        </is>
      </c>
      <c r="J124" t="inlineStr">
        <is>
          <t>Independent source preferred for E3/E4 and high-score claims</t>
        </is>
      </c>
      <c r="K124" t="inlineStr">
        <is>
          <t>Reuse allowed only with construct-specific field mapping; otherwise flag</t>
        </is>
      </c>
      <c r="L124" t="inlineStr">
        <is>
          <t>Policy/ops 12–24 months; outcomes 24–36 months unless metric-specific</t>
        </is>
      </c>
      <c r="M124" t="inlineStr">
        <is>
          <t>Only where observable outcome logically belongs to the construct</t>
        </is>
      </c>
      <c r="N124" t="inlineStr">
        <is>
          <t>Claim-only, policy-only, duplicate or unverifiable evidence cannot create strong confidence</t>
        </is>
      </c>
      <c r="O124" t="inlineStr">
        <is>
          <t>Check P0-5 linked-domain contradictions/dependencies</t>
        </is>
      </c>
      <c r="P124" t="inlineStr">
        <is>
          <t>Report confidence separately; never multiply capability score by confidence</t>
        </is>
      </c>
      <c r="Q124" t="inlineStr">
        <is>
          <t>Assessment / Verification Lead</t>
        </is>
      </c>
      <c r="R124" t="inlineStr">
        <is>
          <t>GREEN</t>
        </is>
      </c>
    </row>
    <row r="125">
      <c r="A125" t="inlineStr">
        <is>
          <t>D10</t>
        </is>
      </c>
      <c r="B125" t="inlineStr">
        <is>
          <t>I09</t>
        </is>
      </c>
      <c r="C125" t="inlineStr">
        <is>
          <t>Industry-Linked Research</t>
        </is>
      </c>
      <c r="D125" t="inlineStr">
        <is>
          <t>Required for validated metric score</t>
        </is>
      </c>
      <c r="E125" t="inlineStr">
        <is>
          <t>E1</t>
        </is>
      </c>
      <c r="F125" t="inlineStr">
        <is>
          <t>Institutional artifact + operational evidence</t>
        </is>
      </c>
      <c r="G125" t="inlineStr">
        <is>
          <t>Evidence must directly substantiate the construct; prefer operational and outcome evidence where logically applicable</t>
        </is>
      </c>
      <c r="H125" t="inlineStr">
        <is>
          <t>Current assessment cycle preferred; stale evidence requires justification</t>
        </is>
      </c>
      <c r="I125" t="inlineStr">
        <is>
          <t>2 corroborating sources for high-consequence or high-score claims</t>
        </is>
      </c>
      <c r="J125" t="inlineStr">
        <is>
          <t>Independent source preferred for E3/E4 and high-score claims</t>
        </is>
      </c>
      <c r="K125" t="inlineStr">
        <is>
          <t>Reuse allowed only with construct-specific field mapping; otherwise flag</t>
        </is>
      </c>
      <c r="L125" t="inlineStr">
        <is>
          <t>Policy/ops 12–24 months; outcomes 24–36 months unless metric-specific</t>
        </is>
      </c>
      <c r="M125" t="inlineStr">
        <is>
          <t>Only where observable outcome logically belongs to the construct</t>
        </is>
      </c>
      <c r="N125" t="inlineStr">
        <is>
          <t>Claim-only, policy-only, duplicate or unverifiable evidence cannot create strong confidence</t>
        </is>
      </c>
      <c r="O125" t="inlineStr">
        <is>
          <t>Check P0-5 linked-domain contradictions/dependencies</t>
        </is>
      </c>
      <c r="P125" t="inlineStr">
        <is>
          <t>Report confidence separately; never multiply capability score by confidence</t>
        </is>
      </c>
      <c r="Q125" t="inlineStr">
        <is>
          <t>Assessment / Verification Lead</t>
        </is>
      </c>
      <c r="R125" t="inlineStr">
        <is>
          <t>GREEN</t>
        </is>
      </c>
    </row>
    <row r="126">
      <c r="A126" t="inlineStr">
        <is>
          <t>D10</t>
        </is>
      </c>
      <c r="B126" t="inlineStr">
        <is>
          <t>I10</t>
        </is>
      </c>
      <c r="C126" t="inlineStr">
        <is>
          <t>Research-to-Innovation Pipeline</t>
        </is>
      </c>
      <c r="D126" t="inlineStr">
        <is>
          <t>Required for validated metric score</t>
        </is>
      </c>
      <c r="E126" t="inlineStr">
        <is>
          <t>E1</t>
        </is>
      </c>
      <c r="F126" t="inlineStr">
        <is>
          <t>Institutional artifact + operational evidence</t>
        </is>
      </c>
      <c r="G126" t="inlineStr">
        <is>
          <t>Evidence must directly substantiate the construct; prefer operational and outcome evidence where logically applicable</t>
        </is>
      </c>
      <c r="H126" t="inlineStr">
        <is>
          <t>Current assessment cycle preferred; stale evidence requires justification</t>
        </is>
      </c>
      <c r="I126" t="inlineStr">
        <is>
          <t>2 corroborating sources for high-consequence or high-score claims</t>
        </is>
      </c>
      <c r="J126" t="inlineStr">
        <is>
          <t>Independent source preferred for E3/E4 and high-score claims</t>
        </is>
      </c>
      <c r="K126" t="inlineStr">
        <is>
          <t>Reuse allowed only with construct-specific field mapping; otherwise flag</t>
        </is>
      </c>
      <c r="L126" t="inlineStr">
        <is>
          <t>Policy/ops 12–24 months; outcomes 24–36 months unless metric-specific</t>
        </is>
      </c>
      <c r="M126" t="inlineStr">
        <is>
          <t>Only where observable outcome logically belongs to the construct</t>
        </is>
      </c>
      <c r="N126" t="inlineStr">
        <is>
          <t>Claim-only, policy-only, duplicate or unverifiable evidence cannot create strong confidence</t>
        </is>
      </c>
      <c r="O126" t="inlineStr">
        <is>
          <t>Check P0-5 linked-domain contradictions/dependencies</t>
        </is>
      </c>
      <c r="P126" t="inlineStr">
        <is>
          <t>Report confidence separately; never multiply capability score by confidence</t>
        </is>
      </c>
      <c r="Q126" t="inlineStr">
        <is>
          <t>Assessment / Verification Lead</t>
        </is>
      </c>
      <c r="R126" t="inlineStr">
        <is>
          <t>GREEN</t>
        </is>
      </c>
    </row>
    <row r="127">
      <c r="A127" t="inlineStr">
        <is>
          <t>D10</t>
        </is>
      </c>
      <c r="B127" t="inlineStr">
        <is>
          <t>I11</t>
        </is>
      </c>
      <c r="C127" t="inlineStr">
        <is>
          <t>IP &amp; Knowledge Assets</t>
        </is>
      </c>
      <c r="D127" t="inlineStr">
        <is>
          <t>Required for validated metric score</t>
        </is>
      </c>
      <c r="E127" t="inlineStr">
        <is>
          <t>E1</t>
        </is>
      </c>
      <c r="F127" t="inlineStr">
        <is>
          <t>Institutional artifact + operational evidence</t>
        </is>
      </c>
      <c r="G127" t="inlineStr">
        <is>
          <t>Evidence must directly substantiate the construct; prefer operational and outcome evidence where logically applicable</t>
        </is>
      </c>
      <c r="H127" t="inlineStr">
        <is>
          <t>Current assessment cycle preferred; stale evidence requires justification</t>
        </is>
      </c>
      <c r="I127" t="inlineStr">
        <is>
          <t>2 corroborating sources for high-consequence or high-score claims</t>
        </is>
      </c>
      <c r="J127" t="inlineStr">
        <is>
          <t>Independent source preferred for E3/E4 and high-score claims</t>
        </is>
      </c>
      <c r="K127" t="inlineStr">
        <is>
          <t>Reuse allowed only with construct-specific field mapping; otherwise flag</t>
        </is>
      </c>
      <c r="L127" t="inlineStr">
        <is>
          <t>Policy/ops 12–24 months; outcomes 24–36 months unless metric-specific</t>
        </is>
      </c>
      <c r="M127" t="inlineStr">
        <is>
          <t>Only where observable outcome logically belongs to the construct</t>
        </is>
      </c>
      <c r="N127" t="inlineStr">
        <is>
          <t>Claim-only, policy-only, duplicate or unverifiable evidence cannot create strong confidence</t>
        </is>
      </c>
      <c r="O127" t="inlineStr">
        <is>
          <t>Check P0-5 linked-domain contradictions/dependencies</t>
        </is>
      </c>
      <c r="P127" t="inlineStr">
        <is>
          <t>Report confidence separately; never multiply capability score by confidence</t>
        </is>
      </c>
      <c r="Q127" t="inlineStr">
        <is>
          <t>Assessment / Verification Lead</t>
        </is>
      </c>
      <c r="R127" t="inlineStr">
        <is>
          <t>GREEN</t>
        </is>
      </c>
    </row>
    <row r="128">
      <c r="A128" t="inlineStr">
        <is>
          <t>D10</t>
        </is>
      </c>
      <c r="B128" t="inlineStr">
        <is>
          <t>I12</t>
        </is>
      </c>
      <c r="C128" t="inlineStr">
        <is>
          <t>Research Integrity &amp; Responsible AI</t>
        </is>
      </c>
      <c r="D128" t="inlineStr">
        <is>
          <t>Required for validated metric score</t>
        </is>
      </c>
      <c r="E128" t="inlineStr">
        <is>
          <t>E1</t>
        </is>
      </c>
      <c r="F128" t="inlineStr">
        <is>
          <t>Institutional artifact + operational evidence</t>
        </is>
      </c>
      <c r="G128" t="inlineStr">
        <is>
          <t>Evidence must directly substantiate the construct; prefer operational and outcome evidence where logically applicable</t>
        </is>
      </c>
      <c r="H128" t="inlineStr">
        <is>
          <t>Current assessment cycle preferred; stale evidence requires justification</t>
        </is>
      </c>
      <c r="I128" t="inlineStr">
        <is>
          <t>2 corroborating sources for high-consequence or high-score claims</t>
        </is>
      </c>
      <c r="J128" t="inlineStr">
        <is>
          <t>Independent source preferred for E3/E4 and high-score claims</t>
        </is>
      </c>
      <c r="K128" t="inlineStr">
        <is>
          <t>Reuse allowed only with construct-specific field mapping; otherwise flag</t>
        </is>
      </c>
      <c r="L128" t="inlineStr">
        <is>
          <t>Policy/ops 12–24 months; outcomes 24–36 months unless metric-specific</t>
        </is>
      </c>
      <c r="M128" t="inlineStr">
        <is>
          <t>Only where observable outcome logically belongs to the construct</t>
        </is>
      </c>
      <c r="N128" t="inlineStr">
        <is>
          <t>Claim-only, policy-only, duplicate or unverifiable evidence cannot create strong confidence</t>
        </is>
      </c>
      <c r="O128" t="inlineStr">
        <is>
          <t>Check P0-5 linked-domain contradictions/dependencies</t>
        </is>
      </c>
      <c r="P128" t="inlineStr">
        <is>
          <t>Report confidence separately; never multiply capability score by confidence</t>
        </is>
      </c>
      <c r="Q128" t="inlineStr">
        <is>
          <t>Assessment / Verification Lead</t>
        </is>
      </c>
      <c r="R128" t="inlineStr">
        <is>
          <t>GREEN</t>
        </is>
      </c>
    </row>
    <row r="129">
      <c r="A129" t="inlineStr">
        <is>
          <t>D10</t>
        </is>
      </c>
      <c r="B129" t="inlineStr">
        <is>
          <t>I13</t>
        </is>
      </c>
      <c r="C129" t="inlineStr">
        <is>
          <t>Research Impact Evidence</t>
        </is>
      </c>
      <c r="D129" t="inlineStr">
        <is>
          <t>Required for validated metric score</t>
        </is>
      </c>
      <c r="E129" t="inlineStr">
        <is>
          <t>E1</t>
        </is>
      </c>
      <c r="F129" t="inlineStr">
        <is>
          <t>Institutional artifact + operational evidence</t>
        </is>
      </c>
      <c r="G129" t="inlineStr">
        <is>
          <t>Evidence must directly substantiate the construct; prefer operational and outcome evidence where logically applicable</t>
        </is>
      </c>
      <c r="H129" t="inlineStr">
        <is>
          <t>Current assessment cycle preferred; stale evidence requires justification</t>
        </is>
      </c>
      <c r="I129" t="inlineStr">
        <is>
          <t>2 corroborating sources for high-consequence or high-score claims</t>
        </is>
      </c>
      <c r="J129" t="inlineStr">
        <is>
          <t>Independent source preferred for E3/E4 and high-score claims</t>
        </is>
      </c>
      <c r="K129" t="inlineStr">
        <is>
          <t>Reuse allowed only with construct-specific field mapping; otherwise flag</t>
        </is>
      </c>
      <c r="L129" t="inlineStr">
        <is>
          <t>Policy/ops 12–24 months; outcomes 24–36 months unless metric-specific</t>
        </is>
      </c>
      <c r="M129" t="inlineStr">
        <is>
          <t>Only where observable outcome logically belongs to the construct</t>
        </is>
      </c>
      <c r="N129" t="inlineStr">
        <is>
          <t>Claim-only, policy-only, duplicate or unverifiable evidence cannot create strong confidence</t>
        </is>
      </c>
      <c r="O129" t="inlineStr">
        <is>
          <t>Check P0-5 linked-domain contradictions/dependencies</t>
        </is>
      </c>
      <c r="P129" t="inlineStr">
        <is>
          <t>Report confidence separately; never multiply capability score by confidence</t>
        </is>
      </c>
      <c r="Q129" t="inlineStr">
        <is>
          <t>Assessment / Verification Lead</t>
        </is>
      </c>
      <c r="R129" t="inlineStr">
        <is>
          <t>GREEN</t>
        </is>
      </c>
    </row>
    <row r="130">
      <c r="A130" t="inlineStr">
        <is>
          <t>D10</t>
        </is>
      </c>
      <c r="B130" t="inlineStr">
        <is>
          <t>I14</t>
        </is>
      </c>
      <c r="C130" t="inlineStr">
        <is>
          <t>Student Research Capability</t>
        </is>
      </c>
      <c r="D130" t="inlineStr">
        <is>
          <t>Required for validated metric score</t>
        </is>
      </c>
      <c r="E130" t="inlineStr">
        <is>
          <t>E1</t>
        </is>
      </c>
      <c r="F130" t="inlineStr">
        <is>
          <t>Institutional artifact + operational evidence</t>
        </is>
      </c>
      <c r="G130" t="inlineStr">
        <is>
          <t>Evidence must directly substantiate the construct; prefer operational and outcome evidence where logically applicable</t>
        </is>
      </c>
      <c r="H130" t="inlineStr">
        <is>
          <t>Current assessment cycle preferred; stale evidence requires justification</t>
        </is>
      </c>
      <c r="I130" t="inlineStr">
        <is>
          <t>2 corroborating sources for high-consequence or high-score claims</t>
        </is>
      </c>
      <c r="J130" t="inlineStr">
        <is>
          <t>Independent source preferred for E3/E4 and high-score claims</t>
        </is>
      </c>
      <c r="K130" t="inlineStr">
        <is>
          <t>Reuse allowed only with construct-specific field mapping; otherwise flag</t>
        </is>
      </c>
      <c r="L130" t="inlineStr">
        <is>
          <t>Policy/ops 12–24 months; outcomes 24–36 months unless metric-specific</t>
        </is>
      </c>
      <c r="M130" t="inlineStr">
        <is>
          <t>Only where observable outcome logically belongs to the construct</t>
        </is>
      </c>
      <c r="N130" t="inlineStr">
        <is>
          <t>Claim-only, policy-only, duplicate or unverifiable evidence cannot create strong confidence</t>
        </is>
      </c>
      <c r="O130" t="inlineStr">
        <is>
          <t>Check P0-5 linked-domain contradictions/dependencies</t>
        </is>
      </c>
      <c r="P130" t="inlineStr">
        <is>
          <t>Report confidence separately; never multiply capability score by confidence</t>
        </is>
      </c>
      <c r="Q130" t="inlineStr">
        <is>
          <t>Assessment / Verification Lead</t>
        </is>
      </c>
      <c r="R130" t="inlineStr">
        <is>
          <t>GREEN</t>
        </is>
      </c>
    </row>
    <row r="131">
      <c r="A131" t="inlineStr">
        <is>
          <t>D11</t>
        </is>
      </c>
      <c r="B131" t="inlineStr">
        <is>
          <t>I01</t>
        </is>
      </c>
      <c r="C131" t="inlineStr">
        <is>
          <t>External Change Sensing</t>
        </is>
      </c>
      <c r="D131" t="inlineStr">
        <is>
          <t>Required for validated metric score</t>
        </is>
      </c>
      <c r="E131" t="inlineStr">
        <is>
          <t>E1</t>
        </is>
      </c>
      <c r="F131" t="inlineStr">
        <is>
          <t>Institutional artifact + operational evidence</t>
        </is>
      </c>
      <c r="G131" t="inlineStr">
        <is>
          <t>Evidence must directly substantiate the construct; prefer operational and outcome evidence where logically applicable</t>
        </is>
      </c>
      <c r="H131" t="inlineStr">
        <is>
          <t>Current assessment cycle preferred; stale evidence requires justification</t>
        </is>
      </c>
      <c r="I131" t="inlineStr">
        <is>
          <t>2 corroborating sources for high-consequence or high-score claims</t>
        </is>
      </c>
      <c r="J131" t="inlineStr">
        <is>
          <t>Independent source preferred for E3/E4 and high-score claims</t>
        </is>
      </c>
      <c r="K131" t="inlineStr">
        <is>
          <t>Reuse allowed only with construct-specific field mapping; otherwise flag</t>
        </is>
      </c>
      <c r="L131" t="inlineStr">
        <is>
          <t>Policy/ops 12–24 months; outcomes 24–36 months unless metric-specific</t>
        </is>
      </c>
      <c r="M131" t="inlineStr">
        <is>
          <t>Only where observable outcome logically belongs to the construct</t>
        </is>
      </c>
      <c r="N131" t="inlineStr">
        <is>
          <t>Claim-only, policy-only, duplicate or unverifiable evidence cannot create strong confidence</t>
        </is>
      </c>
      <c r="O131" t="inlineStr">
        <is>
          <t>Check P0-5 linked-domain contradictions/dependencies</t>
        </is>
      </c>
      <c r="P131" t="inlineStr">
        <is>
          <t>Report confidence separately; never multiply capability score by confidence</t>
        </is>
      </c>
      <c r="Q131" t="inlineStr">
        <is>
          <t>Assessment / Verification Lead</t>
        </is>
      </c>
      <c r="R131" t="inlineStr">
        <is>
          <t>GREEN</t>
        </is>
      </c>
    </row>
    <row r="132">
      <c r="A132" t="inlineStr">
        <is>
          <t>D11</t>
        </is>
      </c>
      <c r="B132" t="inlineStr">
        <is>
          <t>I02</t>
        </is>
      </c>
      <c r="C132" t="inlineStr">
        <is>
          <t>Strategic Response Agility</t>
        </is>
      </c>
      <c r="D132" t="inlineStr">
        <is>
          <t>Required for validated metric score</t>
        </is>
      </c>
      <c r="E132" t="inlineStr">
        <is>
          <t>E1</t>
        </is>
      </c>
      <c r="F132" t="inlineStr">
        <is>
          <t>Institutional artifact + operational evidence</t>
        </is>
      </c>
      <c r="G132" t="inlineStr">
        <is>
          <t>Evidence must directly substantiate the construct; prefer operational and outcome evidence where logically applicable</t>
        </is>
      </c>
      <c r="H132" t="inlineStr">
        <is>
          <t>Current assessment cycle preferred; stale evidence requires justification</t>
        </is>
      </c>
      <c r="I132" t="inlineStr">
        <is>
          <t>2 corroborating sources for high-consequence or high-score claims</t>
        </is>
      </c>
      <c r="J132" t="inlineStr">
        <is>
          <t>Independent source preferred for E3/E4 and high-score claims</t>
        </is>
      </c>
      <c r="K132" t="inlineStr">
        <is>
          <t>Reuse allowed only with construct-specific field mapping; otherwise flag</t>
        </is>
      </c>
      <c r="L132" t="inlineStr">
        <is>
          <t>Policy/ops 12–24 months; outcomes 24–36 months unless metric-specific</t>
        </is>
      </c>
      <c r="M132" t="inlineStr">
        <is>
          <t>Only where observable outcome logically belongs to the construct</t>
        </is>
      </c>
      <c r="N132" t="inlineStr">
        <is>
          <t>Claim-only, policy-only, duplicate or unverifiable evidence cannot create strong confidence</t>
        </is>
      </c>
      <c r="O132" t="inlineStr">
        <is>
          <t>Check P0-5 linked-domain contradictions/dependencies</t>
        </is>
      </c>
      <c r="P132" t="inlineStr">
        <is>
          <t>Report confidence separately; never multiply capability score by confidence</t>
        </is>
      </c>
      <c r="Q132" t="inlineStr">
        <is>
          <t>Assessment / Verification Lead</t>
        </is>
      </c>
      <c r="R132" t="inlineStr">
        <is>
          <t>GREEN</t>
        </is>
      </c>
    </row>
    <row r="133">
      <c r="A133" t="inlineStr">
        <is>
          <t>D11</t>
        </is>
      </c>
      <c r="B133" t="inlineStr">
        <is>
          <t>I03</t>
        </is>
      </c>
      <c r="C133" t="inlineStr">
        <is>
          <t>Adaptive Decision Architecture</t>
        </is>
      </c>
      <c r="D133" t="inlineStr">
        <is>
          <t>Required for validated metric score</t>
        </is>
      </c>
      <c r="E133" t="inlineStr">
        <is>
          <t>E1</t>
        </is>
      </c>
      <c r="F133" t="inlineStr">
        <is>
          <t>Institutional artifact + operational evidence</t>
        </is>
      </c>
      <c r="G133" t="inlineStr">
        <is>
          <t>Evidence must directly substantiate the construct; prefer operational and outcome evidence where logically applicable</t>
        </is>
      </c>
      <c r="H133" t="inlineStr">
        <is>
          <t>Current assessment cycle preferred; stale evidence requires justification</t>
        </is>
      </c>
      <c r="I133" t="inlineStr">
        <is>
          <t>2 corroborating sources for high-consequence or high-score claims</t>
        </is>
      </c>
      <c r="J133" t="inlineStr">
        <is>
          <t>Independent source preferred for E3/E4 and high-score claims</t>
        </is>
      </c>
      <c r="K133" t="inlineStr">
        <is>
          <t>Reuse allowed only with construct-specific field mapping; otherwise flag</t>
        </is>
      </c>
      <c r="L133" t="inlineStr">
        <is>
          <t>Policy/ops 12–24 months; outcomes 24–36 months unless metric-specific</t>
        </is>
      </c>
      <c r="M133" t="inlineStr">
        <is>
          <t>Only where observable outcome logically belongs to the construct</t>
        </is>
      </c>
      <c r="N133" t="inlineStr">
        <is>
          <t>Claim-only, policy-only, duplicate or unverifiable evidence cannot create strong confidence</t>
        </is>
      </c>
      <c r="O133" t="inlineStr">
        <is>
          <t>Check P0-5 linked-domain contradictions/dependencies</t>
        </is>
      </c>
      <c r="P133" t="inlineStr">
        <is>
          <t>Report confidence separately; never multiply capability score by confidence</t>
        </is>
      </c>
      <c r="Q133" t="inlineStr">
        <is>
          <t>Assessment / Verification Lead</t>
        </is>
      </c>
      <c r="R133" t="inlineStr">
        <is>
          <t>GREEN</t>
        </is>
      </c>
    </row>
    <row r="134">
      <c r="A134" t="inlineStr">
        <is>
          <t>D11</t>
        </is>
      </c>
      <c r="B134" t="inlineStr">
        <is>
          <t>I04</t>
        </is>
      </c>
      <c r="C134" t="inlineStr">
        <is>
          <t>Resource Reallocation Agility</t>
        </is>
      </c>
      <c r="D134" t="inlineStr">
        <is>
          <t>Required for validated metric score</t>
        </is>
      </c>
      <c r="E134" t="inlineStr">
        <is>
          <t>E1</t>
        </is>
      </c>
      <c r="F134" t="inlineStr">
        <is>
          <t>Institutional artifact + operational evidence</t>
        </is>
      </c>
      <c r="G134" t="inlineStr">
        <is>
          <t>Evidence must directly substantiate the construct; prefer operational and outcome evidence where logically applicable</t>
        </is>
      </c>
      <c r="H134" t="inlineStr">
        <is>
          <t>Current assessment cycle preferred; stale evidence requires justification</t>
        </is>
      </c>
      <c r="I134" t="inlineStr">
        <is>
          <t>2 corroborating sources for high-consequence or high-score claims</t>
        </is>
      </c>
      <c r="J134" t="inlineStr">
        <is>
          <t>Independent source preferred for E3/E4 and high-score claims</t>
        </is>
      </c>
      <c r="K134" t="inlineStr">
        <is>
          <t>Reuse allowed only with construct-specific field mapping; otherwise flag</t>
        </is>
      </c>
      <c r="L134" t="inlineStr">
        <is>
          <t>Policy/ops 12–24 months; outcomes 24–36 months unless metric-specific</t>
        </is>
      </c>
      <c r="M134" t="inlineStr">
        <is>
          <t>Only where observable outcome logically belongs to the construct</t>
        </is>
      </c>
      <c r="N134" t="inlineStr">
        <is>
          <t>Claim-only, policy-only, duplicate or unverifiable evidence cannot create strong confidence</t>
        </is>
      </c>
      <c r="O134" t="inlineStr">
        <is>
          <t>Check P0-5 linked-domain contradictions/dependencies</t>
        </is>
      </c>
      <c r="P134" t="inlineStr">
        <is>
          <t>Report confidence separately; never multiply capability score by confidence</t>
        </is>
      </c>
      <c r="Q134" t="inlineStr">
        <is>
          <t>Assessment / Verification Lead</t>
        </is>
      </c>
      <c r="R134" t="inlineStr">
        <is>
          <t>GREEN</t>
        </is>
      </c>
    </row>
    <row r="135">
      <c r="A135" t="inlineStr">
        <is>
          <t>D11</t>
        </is>
      </c>
      <c r="B135" t="inlineStr">
        <is>
          <t>I05</t>
        </is>
      </c>
      <c r="C135" t="inlineStr">
        <is>
          <t>Institutional Experimentation</t>
        </is>
      </c>
      <c r="D135" t="inlineStr">
        <is>
          <t>Required for validated metric score</t>
        </is>
      </c>
      <c r="E135" t="inlineStr">
        <is>
          <t>E1</t>
        </is>
      </c>
      <c r="F135" t="inlineStr">
        <is>
          <t>Institutional artifact + operational evidence</t>
        </is>
      </c>
      <c r="G135" t="inlineStr">
        <is>
          <t>Evidence must directly substantiate the construct; prefer operational and outcome evidence where logically applicable</t>
        </is>
      </c>
      <c r="H135" t="inlineStr">
        <is>
          <t>Current assessment cycle preferred; stale evidence requires justification</t>
        </is>
      </c>
      <c r="I135" t="inlineStr">
        <is>
          <t>2 corroborating sources for high-consequence or high-score claims</t>
        </is>
      </c>
      <c r="J135" t="inlineStr">
        <is>
          <t>Independent source preferred for E3/E4 and high-score claims</t>
        </is>
      </c>
      <c r="K135" t="inlineStr">
        <is>
          <t>Reuse allowed only with construct-specific field mapping; otherwise flag</t>
        </is>
      </c>
      <c r="L135" t="inlineStr">
        <is>
          <t>Policy/ops 12–24 months; outcomes 24–36 months unless metric-specific</t>
        </is>
      </c>
      <c r="M135" t="inlineStr">
        <is>
          <t>Only where observable outcome logically belongs to the construct</t>
        </is>
      </c>
      <c r="N135" t="inlineStr">
        <is>
          <t>Claim-only, policy-only, duplicate or unverifiable evidence cannot create strong confidence</t>
        </is>
      </c>
      <c r="O135" t="inlineStr">
        <is>
          <t>Check P0-5 linked-domain contradictions/dependencies</t>
        </is>
      </c>
      <c r="P135" t="inlineStr">
        <is>
          <t>Report confidence separately; never multiply capability score by confidence</t>
        </is>
      </c>
      <c r="Q135" t="inlineStr">
        <is>
          <t>Assessment / Verification Lead</t>
        </is>
      </c>
      <c r="R135" t="inlineStr">
        <is>
          <t>GREEN</t>
        </is>
      </c>
    </row>
    <row r="136">
      <c r="A136" t="inlineStr">
        <is>
          <t>D11</t>
        </is>
      </c>
      <c r="B136" t="inlineStr">
        <is>
          <t>I06</t>
        </is>
      </c>
      <c r="C136" t="inlineStr">
        <is>
          <t>Failure-to-Learning Capability</t>
        </is>
      </c>
      <c r="D136" t="inlineStr">
        <is>
          <t>Required for validated metric score</t>
        </is>
      </c>
      <c r="E136" t="inlineStr">
        <is>
          <t>E1</t>
        </is>
      </c>
      <c r="F136" t="inlineStr">
        <is>
          <t>Institutional artifact + operational evidence</t>
        </is>
      </c>
      <c r="G136" t="inlineStr">
        <is>
          <t>Evidence must directly substantiate the construct; prefer operational and outcome evidence where logically applicable</t>
        </is>
      </c>
      <c r="H136" t="inlineStr">
        <is>
          <t>Current assessment cycle preferred; stale evidence requires justification</t>
        </is>
      </c>
      <c r="I136" t="inlineStr">
        <is>
          <t>2 corroborating sources for high-consequence or high-score claims</t>
        </is>
      </c>
      <c r="J136" t="inlineStr">
        <is>
          <t>Independent source preferred for E3/E4 and high-score claims</t>
        </is>
      </c>
      <c r="K136" t="inlineStr">
        <is>
          <t>Reuse allowed only with construct-specific field mapping; otherwise flag</t>
        </is>
      </c>
      <c r="L136" t="inlineStr">
        <is>
          <t>Policy/ops 12–24 months; outcomes 24–36 months unless metric-specific</t>
        </is>
      </c>
      <c r="M136" t="inlineStr">
        <is>
          <t>Only where observable outcome logically belongs to the construct</t>
        </is>
      </c>
      <c r="N136" t="inlineStr">
        <is>
          <t>Claim-only, policy-only, duplicate or unverifiable evidence cannot create strong confidence</t>
        </is>
      </c>
      <c r="O136" t="inlineStr">
        <is>
          <t>Check P0-5 linked-domain contradictions/dependencies</t>
        </is>
      </c>
      <c r="P136" t="inlineStr">
        <is>
          <t>Report confidence separately; never multiply capability score by confidence</t>
        </is>
      </c>
      <c r="Q136" t="inlineStr">
        <is>
          <t>Assessment / Verification Lead</t>
        </is>
      </c>
      <c r="R136" t="inlineStr">
        <is>
          <t>GREEN</t>
        </is>
      </c>
    </row>
    <row r="137">
      <c r="A137" t="inlineStr">
        <is>
          <t>D11</t>
        </is>
      </c>
      <c r="B137" t="inlineStr">
        <is>
          <t>I07</t>
        </is>
      </c>
      <c r="C137" t="inlineStr">
        <is>
          <t>Change Management Capacity</t>
        </is>
      </c>
      <c r="D137" t="inlineStr">
        <is>
          <t>Required for validated metric score</t>
        </is>
      </c>
      <c r="E137" t="inlineStr">
        <is>
          <t>E1</t>
        </is>
      </c>
      <c r="F137" t="inlineStr">
        <is>
          <t>Institutional artifact + operational evidence</t>
        </is>
      </c>
      <c r="G137" t="inlineStr">
        <is>
          <t>Evidence must directly substantiate the construct; prefer operational and outcome evidence where logically applicable</t>
        </is>
      </c>
      <c r="H137" t="inlineStr">
        <is>
          <t>Current assessment cycle preferred; stale evidence requires justification</t>
        </is>
      </c>
      <c r="I137" t="inlineStr">
        <is>
          <t>2 corroborating sources for high-consequence or high-score claims</t>
        </is>
      </c>
      <c r="J137" t="inlineStr">
        <is>
          <t>Independent source preferred for E3/E4 and high-score claims</t>
        </is>
      </c>
      <c r="K137" t="inlineStr">
        <is>
          <t>Reuse allowed only with construct-specific field mapping; otherwise flag</t>
        </is>
      </c>
      <c r="L137" t="inlineStr">
        <is>
          <t>Policy/ops 12–24 months; outcomes 24–36 months unless metric-specific</t>
        </is>
      </c>
      <c r="M137" t="inlineStr">
        <is>
          <t>Only where observable outcome logically belongs to the construct</t>
        </is>
      </c>
      <c r="N137" t="inlineStr">
        <is>
          <t>Claim-only, policy-only, duplicate or unverifiable evidence cannot create strong confidence</t>
        </is>
      </c>
      <c r="O137" t="inlineStr">
        <is>
          <t>Check P0-5 linked-domain contradictions/dependencies</t>
        </is>
      </c>
      <c r="P137" t="inlineStr">
        <is>
          <t>Report confidence separately; never multiply capability score by confidence</t>
        </is>
      </c>
      <c r="Q137" t="inlineStr">
        <is>
          <t>Assessment / Verification Lead</t>
        </is>
      </c>
      <c r="R137" t="inlineStr">
        <is>
          <t>GREEN</t>
        </is>
      </c>
    </row>
    <row r="138">
      <c r="A138" t="inlineStr">
        <is>
          <t>D11</t>
        </is>
      </c>
      <c r="B138" t="inlineStr">
        <is>
          <t>I08</t>
        </is>
      </c>
      <c r="C138" t="inlineStr">
        <is>
          <t>Adaptive Leadership Alignment</t>
        </is>
      </c>
      <c r="D138" t="inlineStr">
        <is>
          <t>Required for validated metric score</t>
        </is>
      </c>
      <c r="E138" t="inlineStr">
        <is>
          <t>E1</t>
        </is>
      </c>
      <c r="F138" t="inlineStr">
        <is>
          <t>Institutional artifact + operational evidence</t>
        </is>
      </c>
      <c r="G138" t="inlineStr">
        <is>
          <t>Evidence must directly substantiate the construct; prefer operational and outcome evidence where logically applicable</t>
        </is>
      </c>
      <c r="H138" t="inlineStr">
        <is>
          <t>Current assessment cycle preferred; stale evidence requires justification</t>
        </is>
      </c>
      <c r="I138" t="inlineStr">
        <is>
          <t>2 corroborating sources for high-consequence or high-score claims</t>
        </is>
      </c>
      <c r="J138" t="inlineStr">
        <is>
          <t>Independent source preferred for E3/E4 and high-score claims</t>
        </is>
      </c>
      <c r="K138" t="inlineStr">
        <is>
          <t>Reuse allowed only with construct-specific field mapping; otherwise flag</t>
        </is>
      </c>
      <c r="L138" t="inlineStr">
        <is>
          <t>Policy/ops 12–24 months; outcomes 24–36 months unless metric-specific</t>
        </is>
      </c>
      <c r="M138" t="inlineStr">
        <is>
          <t>Only where observable outcome logically belongs to the construct</t>
        </is>
      </c>
      <c r="N138" t="inlineStr">
        <is>
          <t>Claim-only, policy-only, duplicate or unverifiable evidence cannot create strong confidence</t>
        </is>
      </c>
      <c r="O138" t="inlineStr">
        <is>
          <t>Check P0-5 linked-domain contradictions/dependencies</t>
        </is>
      </c>
      <c r="P138" t="inlineStr">
        <is>
          <t>Report confidence separately; never multiply capability score by confidence</t>
        </is>
      </c>
      <c r="Q138" t="inlineStr">
        <is>
          <t>Assessment / Verification Lead</t>
        </is>
      </c>
      <c r="R138" t="inlineStr">
        <is>
          <t>GREEN</t>
        </is>
      </c>
    </row>
    <row r="139">
      <c r="A139" t="inlineStr">
        <is>
          <t>D11</t>
        </is>
      </c>
      <c r="B139" t="inlineStr">
        <is>
          <t>I09</t>
        </is>
      </c>
      <c r="C139" t="inlineStr">
        <is>
          <t>Learner Signal Responsiveness</t>
        </is>
      </c>
      <c r="D139" t="inlineStr">
        <is>
          <t>Required for validated metric score</t>
        </is>
      </c>
      <c r="E139" t="inlineStr">
        <is>
          <t>E1</t>
        </is>
      </c>
      <c r="F139" t="inlineStr">
        <is>
          <t>Institutional artifact + operational evidence</t>
        </is>
      </c>
      <c r="G139" t="inlineStr">
        <is>
          <t>Evidence must directly substantiate the construct; prefer operational and outcome evidence where logically applicable</t>
        </is>
      </c>
      <c r="H139" t="inlineStr">
        <is>
          <t>Current assessment cycle preferred; stale evidence requires justification</t>
        </is>
      </c>
      <c r="I139" t="inlineStr">
        <is>
          <t>2 corroborating sources for high-consequence or high-score claims</t>
        </is>
      </c>
      <c r="J139" t="inlineStr">
        <is>
          <t>Independent source preferred for E3/E4 and high-score claims</t>
        </is>
      </c>
      <c r="K139" t="inlineStr">
        <is>
          <t>Reuse allowed only with construct-specific field mapping; otherwise flag</t>
        </is>
      </c>
      <c r="L139" t="inlineStr">
        <is>
          <t>Policy/ops 12–24 months; outcomes 24–36 months unless metric-specific</t>
        </is>
      </c>
      <c r="M139" t="inlineStr">
        <is>
          <t>Only where observable outcome logically belongs to the construct</t>
        </is>
      </c>
      <c r="N139" t="inlineStr">
        <is>
          <t>Claim-only, policy-only, duplicate or unverifiable evidence cannot create strong confidence</t>
        </is>
      </c>
      <c r="O139" t="inlineStr">
        <is>
          <t>Check P0-5 linked-domain contradictions/dependencies</t>
        </is>
      </c>
      <c r="P139" t="inlineStr">
        <is>
          <t>Report confidence separately; never multiply capability score by confidence</t>
        </is>
      </c>
      <c r="Q139" t="inlineStr">
        <is>
          <t>Assessment / Verification Lead</t>
        </is>
      </c>
      <c r="R139" t="inlineStr">
        <is>
          <t>GREEN</t>
        </is>
      </c>
    </row>
    <row r="140">
      <c r="A140" t="inlineStr">
        <is>
          <t>D11</t>
        </is>
      </c>
      <c r="B140" t="inlineStr">
        <is>
          <t>I10</t>
        </is>
      </c>
      <c r="C140" t="inlineStr">
        <is>
          <t>Economic &amp; Workforce Responsiveness</t>
        </is>
      </c>
      <c r="D140" t="inlineStr">
        <is>
          <t>Required for validated metric score</t>
        </is>
      </c>
      <c r="E140" t="inlineStr">
        <is>
          <t>E1</t>
        </is>
      </c>
      <c r="F140" t="inlineStr">
        <is>
          <t>Institutional artifact + operational evidence</t>
        </is>
      </c>
      <c r="G140" t="inlineStr">
        <is>
          <t>Evidence must directly substantiate the construct; prefer operational and outcome evidence where logically applicable</t>
        </is>
      </c>
      <c r="H140" t="inlineStr">
        <is>
          <t>Current assessment cycle preferred; stale evidence requires justification</t>
        </is>
      </c>
      <c r="I140" t="inlineStr">
        <is>
          <t>2 corroborating sources for high-consequence or high-score claims</t>
        </is>
      </c>
      <c r="J140" t="inlineStr">
        <is>
          <t>Independent source preferred for E3/E4 and high-score claims</t>
        </is>
      </c>
      <c r="K140" t="inlineStr">
        <is>
          <t>Reuse allowed only with construct-specific field mapping; otherwise flag</t>
        </is>
      </c>
      <c r="L140" t="inlineStr">
        <is>
          <t>Policy/ops 12–24 months; outcomes 24–36 months unless metric-specific</t>
        </is>
      </c>
      <c r="M140" t="inlineStr">
        <is>
          <t>Only where observable outcome logically belongs to the construct</t>
        </is>
      </c>
      <c r="N140" t="inlineStr">
        <is>
          <t>Claim-only, policy-only, duplicate or unverifiable evidence cannot create strong confidence</t>
        </is>
      </c>
      <c r="O140" t="inlineStr">
        <is>
          <t>Check P0-5 linked-domain contradictions/dependencies</t>
        </is>
      </c>
      <c r="P140" t="inlineStr">
        <is>
          <t>Report confidence separately; never multiply capability score by confidence</t>
        </is>
      </c>
      <c r="Q140" t="inlineStr">
        <is>
          <t>Assessment / Verification Lead</t>
        </is>
      </c>
      <c r="R140" t="inlineStr">
        <is>
          <t>GREEN</t>
        </is>
      </c>
    </row>
    <row r="141">
      <c r="A141" t="inlineStr">
        <is>
          <t>D11</t>
        </is>
      </c>
      <c r="B141" t="inlineStr">
        <is>
          <t>I11</t>
        </is>
      </c>
      <c r="C141" t="inlineStr">
        <is>
          <t>Scenario Planning Capability</t>
        </is>
      </c>
      <c r="D141" t="inlineStr">
        <is>
          <t>Required for validated metric score</t>
        </is>
      </c>
      <c r="E141" t="inlineStr">
        <is>
          <t>E1</t>
        </is>
      </c>
      <c r="F141" t="inlineStr">
        <is>
          <t>Institutional artifact + operational evidence</t>
        </is>
      </c>
      <c r="G141" t="inlineStr">
        <is>
          <t>Evidence must directly substantiate the construct; prefer operational and outcome evidence where logically applicable</t>
        </is>
      </c>
      <c r="H141" t="inlineStr">
        <is>
          <t>Current assessment cycle preferred; stale evidence requires justification</t>
        </is>
      </c>
      <c r="I141" t="inlineStr">
        <is>
          <t>2 corroborating sources for high-consequence or high-score claims</t>
        </is>
      </c>
      <c r="J141" t="inlineStr">
        <is>
          <t>Independent source preferred for E3/E4 and high-score claims</t>
        </is>
      </c>
      <c r="K141" t="inlineStr">
        <is>
          <t>Reuse allowed only with construct-specific field mapping; otherwise flag</t>
        </is>
      </c>
      <c r="L141" t="inlineStr">
        <is>
          <t>Policy/ops 12–24 months; outcomes 24–36 months unless metric-specific</t>
        </is>
      </c>
      <c r="M141" t="inlineStr">
        <is>
          <t>Only where observable outcome logically belongs to the construct</t>
        </is>
      </c>
      <c r="N141" t="inlineStr">
        <is>
          <t>Claim-only, policy-only, duplicate or unverifiable evidence cannot create strong confidence</t>
        </is>
      </c>
      <c r="O141" t="inlineStr">
        <is>
          <t>Check P0-5 linked-domain contradictions/dependencies</t>
        </is>
      </c>
      <c r="P141" t="inlineStr">
        <is>
          <t>Report confidence separately; never multiply capability score by confidence</t>
        </is>
      </c>
      <c r="Q141" t="inlineStr">
        <is>
          <t>Assessment / Verification Lead</t>
        </is>
      </c>
      <c r="R141" t="inlineStr">
        <is>
          <t>GREEN</t>
        </is>
      </c>
    </row>
    <row r="142">
      <c r="A142" t="inlineStr">
        <is>
          <t>D11</t>
        </is>
      </c>
      <c r="B142" t="inlineStr">
        <is>
          <t>I12</t>
        </is>
      </c>
      <c r="C142" t="inlineStr">
        <is>
          <t>Institutional Resilience</t>
        </is>
      </c>
      <c r="D142" t="inlineStr">
        <is>
          <t>Required for validated metric score</t>
        </is>
      </c>
      <c r="E142" t="inlineStr">
        <is>
          <t>E1</t>
        </is>
      </c>
      <c r="F142" t="inlineStr">
        <is>
          <t>Institutional artifact + operational evidence</t>
        </is>
      </c>
      <c r="G142" t="inlineStr">
        <is>
          <t>Evidence must directly substantiate the construct; prefer operational and outcome evidence where logically applicable</t>
        </is>
      </c>
      <c r="H142" t="inlineStr">
        <is>
          <t>Current assessment cycle preferred; stale evidence requires justification</t>
        </is>
      </c>
      <c r="I142" t="inlineStr">
        <is>
          <t>2 corroborating sources for high-consequence or high-score claims</t>
        </is>
      </c>
      <c r="J142" t="inlineStr">
        <is>
          <t>Independent source preferred for E3/E4 and high-score claims</t>
        </is>
      </c>
      <c r="K142" t="inlineStr">
        <is>
          <t>Reuse allowed only with construct-specific field mapping; otherwise flag</t>
        </is>
      </c>
      <c r="L142" t="inlineStr">
        <is>
          <t>Policy/ops 12–24 months; outcomes 24–36 months unless metric-specific</t>
        </is>
      </c>
      <c r="M142" t="inlineStr">
        <is>
          <t>Only where observable outcome logically belongs to the construct</t>
        </is>
      </c>
      <c r="N142" t="inlineStr">
        <is>
          <t>Claim-only, policy-only, duplicate or unverifiable evidence cannot create strong confidence</t>
        </is>
      </c>
      <c r="O142" t="inlineStr">
        <is>
          <t>Check P0-5 linked-domain contradictions/dependencies</t>
        </is>
      </c>
      <c r="P142" t="inlineStr">
        <is>
          <t>Report confidence separately; never multiply capability score by confidence</t>
        </is>
      </c>
      <c r="Q142" t="inlineStr">
        <is>
          <t>Assessment / Verification Lead</t>
        </is>
      </c>
      <c r="R142" t="inlineStr">
        <is>
          <t>GREEN</t>
        </is>
      </c>
    </row>
    <row r="143">
      <c r="A143" t="inlineStr">
        <is>
          <t>D11</t>
        </is>
      </c>
      <c r="B143" t="inlineStr">
        <is>
          <t>I13</t>
        </is>
      </c>
      <c r="C143" t="inlineStr">
        <is>
          <t>Institutional Learning System</t>
        </is>
      </c>
      <c r="D143" t="inlineStr">
        <is>
          <t>Required for validated metric score</t>
        </is>
      </c>
      <c r="E143" t="inlineStr">
        <is>
          <t>E1</t>
        </is>
      </c>
      <c r="F143" t="inlineStr">
        <is>
          <t>Institutional artifact + operational evidence</t>
        </is>
      </c>
      <c r="G143" t="inlineStr">
        <is>
          <t>Evidence must directly substantiate the construct; prefer operational and outcome evidence where logically applicable</t>
        </is>
      </c>
      <c r="H143" t="inlineStr">
        <is>
          <t>Current assessment cycle preferred; stale evidence requires justification</t>
        </is>
      </c>
      <c r="I143" t="inlineStr">
        <is>
          <t>2 corroborating sources for high-consequence or high-score claims</t>
        </is>
      </c>
      <c r="J143" t="inlineStr">
        <is>
          <t>Independent source preferred for E3/E4 and high-score claims</t>
        </is>
      </c>
      <c r="K143" t="inlineStr">
        <is>
          <t>Reuse allowed only with construct-specific field mapping; otherwise flag</t>
        </is>
      </c>
      <c r="L143" t="inlineStr">
        <is>
          <t>Policy/ops 12–24 months; outcomes 24–36 months unless metric-specific</t>
        </is>
      </c>
      <c r="M143" t="inlineStr">
        <is>
          <t>Only where observable outcome logically belongs to the construct</t>
        </is>
      </c>
      <c r="N143" t="inlineStr">
        <is>
          <t>Claim-only, policy-only, duplicate or unverifiable evidence cannot create strong confidence</t>
        </is>
      </c>
      <c r="O143" t="inlineStr">
        <is>
          <t>Check P0-5 linked-domain contradictions/dependencies</t>
        </is>
      </c>
      <c r="P143" t="inlineStr">
        <is>
          <t>Report confidence separately; never multiply capability score by confidence</t>
        </is>
      </c>
      <c r="Q143" t="inlineStr">
        <is>
          <t>Assessment / Verification Lead</t>
        </is>
      </c>
      <c r="R143" t="inlineStr">
        <is>
          <t>GREEN</t>
        </is>
      </c>
    </row>
    <row r="144">
      <c r="A144" t="inlineStr">
        <is>
          <t>D11</t>
        </is>
      </c>
      <c r="B144" t="inlineStr">
        <is>
          <t>I14</t>
        </is>
      </c>
      <c r="C144" t="inlineStr">
        <is>
          <t>Future Transformation Capacity</t>
        </is>
      </c>
      <c r="D144" t="inlineStr">
        <is>
          <t>Required for validated metric score</t>
        </is>
      </c>
      <c r="E144" t="inlineStr">
        <is>
          <t>E1</t>
        </is>
      </c>
      <c r="F144" t="inlineStr">
        <is>
          <t>Institutional artifact + operational evidence</t>
        </is>
      </c>
      <c r="G144" t="inlineStr">
        <is>
          <t>Evidence must directly substantiate the construct; prefer operational and outcome evidence where logically applicable</t>
        </is>
      </c>
      <c r="H144" t="inlineStr">
        <is>
          <t>Current assessment cycle preferred; stale evidence requires justification</t>
        </is>
      </c>
      <c r="I144" t="inlineStr">
        <is>
          <t>2 corroborating sources for high-consequence or high-score claims</t>
        </is>
      </c>
      <c r="J144" t="inlineStr">
        <is>
          <t>Independent source preferred for E3/E4 and high-score claims</t>
        </is>
      </c>
      <c r="K144" t="inlineStr">
        <is>
          <t>Reuse allowed only with construct-specific field mapping; otherwise flag</t>
        </is>
      </c>
      <c r="L144" t="inlineStr">
        <is>
          <t>Policy/ops 12–24 months; outcomes 24–36 months unless metric-specific</t>
        </is>
      </c>
      <c r="M144" t="inlineStr">
        <is>
          <t>Only where observable outcome logically belongs to the construct</t>
        </is>
      </c>
      <c r="N144" t="inlineStr">
        <is>
          <t>Claim-only, policy-only, duplicate or unverifiable evidence cannot create strong confidence</t>
        </is>
      </c>
      <c r="O144" t="inlineStr">
        <is>
          <t>Check P0-5 linked-domain contradictions/dependencies</t>
        </is>
      </c>
      <c r="P144" t="inlineStr">
        <is>
          <t>Report confidence separately; never multiply capability score by confidence</t>
        </is>
      </c>
      <c r="Q144" t="inlineStr">
        <is>
          <t>Assessment / Verification Lead</t>
        </is>
      </c>
      <c r="R144" t="inlineStr">
        <is>
          <t>GREEN</t>
        </is>
      </c>
    </row>
  </sheetData>
  <autoFilter ref="A1:R1"/>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R1"/>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5" customWidth="1" min="4" max="4"/>
    <col width="19" customWidth="1" min="5" max="5"/>
    <col width="14" customWidth="1" min="6" max="6"/>
    <col width="12" customWidth="1" min="7" max="7"/>
    <col width="12" customWidth="1" min="8" max="8"/>
    <col width="14" customWidth="1" min="9" max="9"/>
    <col width="12" customWidth="1" min="10" max="10"/>
    <col width="14" customWidth="1" min="11" max="11"/>
    <col width="15" customWidth="1" min="12" max="12"/>
    <col width="24" customWidth="1" min="13" max="13"/>
    <col width="21" customWidth="1" min="14" max="14"/>
    <col width="20" customWidth="1" min="15" max="15"/>
    <col width="18" customWidth="1" min="16" max="16"/>
    <col width="22" customWidth="1" min="17" max="17"/>
    <col width="12" customWidth="1" min="18" max="18"/>
  </cols>
  <sheetData>
    <row r="1">
      <c r="A1" s="19" t="inlineStr">
        <is>
          <t>Evidence ID</t>
        </is>
      </c>
      <c r="B1" s="19" t="inlineStr">
        <is>
          <t>Domain</t>
        </is>
      </c>
      <c r="C1" s="19" t="inlineStr">
        <is>
          <t>Metric ID</t>
        </is>
      </c>
      <c r="D1" s="19" t="inlineStr">
        <is>
          <t>Evidence Type</t>
        </is>
      </c>
      <c r="E1" s="19" t="inlineStr">
        <is>
          <t>Artifact / Source</t>
        </is>
      </c>
      <c r="F1" s="19" t="inlineStr">
        <is>
          <t>Period Start</t>
        </is>
      </c>
      <c r="G1" s="19" t="inlineStr">
        <is>
          <t>Period End</t>
        </is>
      </c>
      <c r="H1" s="19" t="inlineStr">
        <is>
          <t>Direct?</t>
        </is>
      </c>
      <c r="I1" s="19" t="inlineStr">
        <is>
          <t>Operational?</t>
        </is>
      </c>
      <c r="J1" s="19" t="inlineStr">
        <is>
          <t>Outcome?</t>
        </is>
      </c>
      <c r="K1" s="19" t="inlineStr">
        <is>
          <t>Independent?</t>
        </is>
      </c>
      <c r="L1" s="19" t="inlineStr">
        <is>
          <t>Corroborated?</t>
        </is>
      </c>
      <c r="M1" s="19" t="inlineStr">
        <is>
          <t>Used For Other Metrics</t>
        </is>
      </c>
      <c r="N1" s="19" t="inlineStr">
        <is>
          <t>Reuse Justification</t>
        </is>
      </c>
      <c r="O1" s="19" t="inlineStr">
        <is>
          <t>Authenticity Check</t>
        </is>
      </c>
      <c r="P1" s="19" t="inlineStr">
        <is>
          <t>Assessor Finding</t>
        </is>
      </c>
      <c r="Q1" s="19" t="inlineStr">
        <is>
          <t>Evidence Level E0-E4</t>
        </is>
      </c>
      <c r="R1" s="19" t="inlineStr">
        <is>
          <t>Notes</t>
        </is>
      </c>
    </row>
  </sheetData>
  <autoFilter ref="A1:R1"/>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N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 width="12" customWidth="1" min="5" max="5"/>
    <col width="16" customWidth="1" min="6" max="6"/>
    <col width="18" customWidth="1" min="7" max="7"/>
    <col width="14" customWidth="1" min="8" max="8"/>
    <col width="15" customWidth="1" min="9" max="9"/>
    <col width="12" customWidth="1" min="10" max="10"/>
    <col width="15" customWidth="1" min="11" max="11"/>
    <col width="13" customWidth="1" min="12" max="12"/>
    <col width="23" customWidth="1" min="13" max="13"/>
    <col width="55" customWidth="1" min="14" max="14"/>
  </cols>
  <sheetData>
    <row r="1">
      <c r="A1" s="19" t="inlineStr">
        <is>
          <t>Metric Row</t>
        </is>
      </c>
      <c r="B1" s="19" t="inlineStr">
        <is>
          <t>Domain</t>
        </is>
      </c>
      <c r="C1" s="19" t="inlineStr">
        <is>
          <t>Metric ID</t>
        </is>
      </c>
      <c r="D1" s="19" t="inlineStr">
        <is>
          <t>Evidence Level</t>
        </is>
      </c>
      <c r="E1" s="19" t="inlineStr">
        <is>
          <t>Directness</t>
        </is>
      </c>
      <c r="F1" s="19" t="inlineStr">
        <is>
          <t>Operationality</t>
        </is>
      </c>
      <c r="G1" s="19" t="inlineStr">
        <is>
          <t>Outcome Strength</t>
        </is>
      </c>
      <c r="H1" s="19" t="inlineStr">
        <is>
          <t>Independence</t>
        </is>
      </c>
      <c r="I1" s="19" t="inlineStr">
        <is>
          <t>Corroboration</t>
        </is>
      </c>
      <c r="J1" s="19" t="inlineStr">
        <is>
          <t>Recency</t>
        </is>
      </c>
      <c r="K1" s="19" t="inlineStr">
        <is>
          <t>Reuse Penalty</t>
        </is>
      </c>
      <c r="L1" s="19" t="inlineStr">
        <is>
          <t>Consistency</t>
        </is>
      </c>
      <c r="M1" s="19" t="inlineStr">
        <is>
          <t>Confidence Band</t>
        </is>
      </c>
      <c r="N1" s="19" t="inlineStr">
        <is>
          <t>Review Trigger</t>
        </is>
      </c>
    </row>
    <row r="2">
      <c r="A2" t="n">
        <v>2</v>
      </c>
      <c r="B2" t="inlineStr">
        <is>
          <t>D01</t>
        </is>
      </c>
      <c r="C2" t="inlineStr">
        <is>
          <t>I01</t>
        </is>
      </c>
      <c r="D2">
        <f>'P0-3_Scorecard'!H2</f>
        <v/>
      </c>
      <c r="E2" t="inlineStr">
        <is>
          <t>Input 0–1</t>
        </is>
      </c>
      <c r="F2" t="inlineStr">
        <is>
          <t>Input 0–1</t>
        </is>
      </c>
      <c r="G2" t="inlineStr">
        <is>
          <t>Input 0–1</t>
        </is>
      </c>
      <c r="H2" t="inlineStr">
        <is>
          <t>Input 0–1</t>
        </is>
      </c>
      <c r="I2" t="inlineStr">
        <is>
          <t>Input 0–1</t>
        </is>
      </c>
      <c r="J2" t="inlineStr">
        <is>
          <t>Input 0–1</t>
        </is>
      </c>
      <c r="K2" t="inlineStr">
        <is>
          <t>Input 0–1</t>
        </is>
      </c>
      <c r="L2" t="inlineStr">
        <is>
          <t>Input 0–1</t>
        </is>
      </c>
      <c r="M2" t="inlineStr">
        <is>
          <t>LOW / MODERATE / HIGH</t>
        </is>
      </c>
      <c r="N2" t="inlineStr">
        <is>
          <t>Review if high score + weak evidence or contradiction</t>
        </is>
      </c>
    </row>
    <row r="3">
      <c r="A3" t="n">
        <v>3</v>
      </c>
      <c r="B3" t="inlineStr">
        <is>
          <t>D01</t>
        </is>
      </c>
      <c r="C3" t="inlineStr">
        <is>
          <t>I02</t>
        </is>
      </c>
      <c r="D3">
        <f>'P0-3_Scorecard'!H3</f>
        <v/>
      </c>
      <c r="E3" t="inlineStr">
        <is>
          <t>Input 0–1</t>
        </is>
      </c>
      <c r="F3" t="inlineStr">
        <is>
          <t>Input 0–1</t>
        </is>
      </c>
      <c r="G3" t="inlineStr">
        <is>
          <t>Input 0–1</t>
        </is>
      </c>
      <c r="H3" t="inlineStr">
        <is>
          <t>Input 0–1</t>
        </is>
      </c>
      <c r="I3" t="inlineStr">
        <is>
          <t>Input 0–1</t>
        </is>
      </c>
      <c r="J3" t="inlineStr">
        <is>
          <t>Input 0–1</t>
        </is>
      </c>
      <c r="K3" t="inlineStr">
        <is>
          <t>Input 0–1</t>
        </is>
      </c>
      <c r="L3" t="inlineStr">
        <is>
          <t>Input 0–1</t>
        </is>
      </c>
      <c r="M3" t="inlineStr">
        <is>
          <t>LOW / MODERATE / HIGH</t>
        </is>
      </c>
      <c r="N3" t="inlineStr">
        <is>
          <t>Review if high score + weak evidence or contradiction</t>
        </is>
      </c>
    </row>
    <row r="4">
      <c r="A4" t="n">
        <v>4</v>
      </c>
      <c r="B4" t="inlineStr">
        <is>
          <t>D01</t>
        </is>
      </c>
      <c r="C4" t="inlineStr">
        <is>
          <t>I03</t>
        </is>
      </c>
      <c r="D4">
        <f>'P0-3_Scorecard'!H4</f>
        <v/>
      </c>
      <c r="E4" t="inlineStr">
        <is>
          <t>Input 0–1</t>
        </is>
      </c>
      <c r="F4" t="inlineStr">
        <is>
          <t>Input 0–1</t>
        </is>
      </c>
      <c r="G4" t="inlineStr">
        <is>
          <t>Input 0–1</t>
        </is>
      </c>
      <c r="H4" t="inlineStr">
        <is>
          <t>Input 0–1</t>
        </is>
      </c>
      <c r="I4" t="inlineStr">
        <is>
          <t>Input 0–1</t>
        </is>
      </c>
      <c r="J4" t="inlineStr">
        <is>
          <t>Input 0–1</t>
        </is>
      </c>
      <c r="K4" t="inlineStr">
        <is>
          <t>Input 0–1</t>
        </is>
      </c>
      <c r="L4" t="inlineStr">
        <is>
          <t>Input 0–1</t>
        </is>
      </c>
      <c r="M4" t="inlineStr">
        <is>
          <t>LOW / MODERATE / HIGH</t>
        </is>
      </c>
      <c r="N4" t="inlineStr">
        <is>
          <t>Review if high score + weak evidence or contradiction</t>
        </is>
      </c>
    </row>
    <row r="5">
      <c r="A5" t="n">
        <v>5</v>
      </c>
      <c r="B5" t="inlineStr">
        <is>
          <t>D01</t>
        </is>
      </c>
      <c r="C5" t="inlineStr">
        <is>
          <t>I04</t>
        </is>
      </c>
      <c r="D5">
        <f>'P0-3_Scorecard'!H5</f>
        <v/>
      </c>
      <c r="E5" t="inlineStr">
        <is>
          <t>Input 0–1</t>
        </is>
      </c>
      <c r="F5" t="inlineStr">
        <is>
          <t>Input 0–1</t>
        </is>
      </c>
      <c r="G5" t="inlineStr">
        <is>
          <t>Input 0–1</t>
        </is>
      </c>
      <c r="H5" t="inlineStr">
        <is>
          <t>Input 0–1</t>
        </is>
      </c>
      <c r="I5" t="inlineStr">
        <is>
          <t>Input 0–1</t>
        </is>
      </c>
      <c r="J5" t="inlineStr">
        <is>
          <t>Input 0–1</t>
        </is>
      </c>
      <c r="K5" t="inlineStr">
        <is>
          <t>Input 0–1</t>
        </is>
      </c>
      <c r="L5" t="inlineStr">
        <is>
          <t>Input 0–1</t>
        </is>
      </c>
      <c r="M5" t="inlineStr">
        <is>
          <t>LOW / MODERATE / HIGH</t>
        </is>
      </c>
      <c r="N5" t="inlineStr">
        <is>
          <t>Review if high score + weak evidence or contradiction</t>
        </is>
      </c>
    </row>
    <row r="6">
      <c r="A6" t="n">
        <v>6</v>
      </c>
      <c r="B6" t="inlineStr">
        <is>
          <t>D01</t>
        </is>
      </c>
      <c r="C6" t="inlineStr">
        <is>
          <t>I05</t>
        </is>
      </c>
      <c r="D6">
        <f>'P0-3_Scorecard'!H6</f>
        <v/>
      </c>
      <c r="E6" t="inlineStr">
        <is>
          <t>Input 0–1</t>
        </is>
      </c>
      <c r="F6" t="inlineStr">
        <is>
          <t>Input 0–1</t>
        </is>
      </c>
      <c r="G6" t="inlineStr">
        <is>
          <t>Input 0–1</t>
        </is>
      </c>
      <c r="H6" t="inlineStr">
        <is>
          <t>Input 0–1</t>
        </is>
      </c>
      <c r="I6" t="inlineStr">
        <is>
          <t>Input 0–1</t>
        </is>
      </c>
      <c r="J6" t="inlineStr">
        <is>
          <t>Input 0–1</t>
        </is>
      </c>
      <c r="K6" t="inlineStr">
        <is>
          <t>Input 0–1</t>
        </is>
      </c>
      <c r="L6" t="inlineStr">
        <is>
          <t>Input 0–1</t>
        </is>
      </c>
      <c r="M6" t="inlineStr">
        <is>
          <t>LOW / MODERATE / HIGH</t>
        </is>
      </c>
      <c r="N6" t="inlineStr">
        <is>
          <t>Review if high score + weak evidence or contradiction</t>
        </is>
      </c>
    </row>
    <row r="7">
      <c r="A7" t="n">
        <v>7</v>
      </c>
      <c r="B7" t="inlineStr">
        <is>
          <t>D01</t>
        </is>
      </c>
      <c r="C7" t="inlineStr">
        <is>
          <t>I06</t>
        </is>
      </c>
      <c r="D7">
        <f>'P0-3_Scorecard'!H7</f>
        <v/>
      </c>
      <c r="E7" t="inlineStr">
        <is>
          <t>Input 0–1</t>
        </is>
      </c>
      <c r="F7" t="inlineStr">
        <is>
          <t>Input 0–1</t>
        </is>
      </c>
      <c r="G7" t="inlineStr">
        <is>
          <t>Input 0–1</t>
        </is>
      </c>
      <c r="H7" t="inlineStr">
        <is>
          <t>Input 0–1</t>
        </is>
      </c>
      <c r="I7" t="inlineStr">
        <is>
          <t>Input 0–1</t>
        </is>
      </c>
      <c r="J7" t="inlineStr">
        <is>
          <t>Input 0–1</t>
        </is>
      </c>
      <c r="K7" t="inlineStr">
        <is>
          <t>Input 0–1</t>
        </is>
      </c>
      <c r="L7" t="inlineStr">
        <is>
          <t>Input 0–1</t>
        </is>
      </c>
      <c r="M7" t="inlineStr">
        <is>
          <t>LOW / MODERATE / HIGH</t>
        </is>
      </c>
      <c r="N7" t="inlineStr">
        <is>
          <t>Review if high score + weak evidence or contradiction</t>
        </is>
      </c>
    </row>
    <row r="8">
      <c r="A8" t="n">
        <v>8</v>
      </c>
      <c r="B8" t="inlineStr">
        <is>
          <t>D01</t>
        </is>
      </c>
      <c r="C8" t="inlineStr">
        <is>
          <t>I07</t>
        </is>
      </c>
      <c r="D8">
        <f>'P0-3_Scorecard'!H8</f>
        <v/>
      </c>
      <c r="E8" t="inlineStr">
        <is>
          <t>Input 0–1</t>
        </is>
      </c>
      <c r="F8" t="inlineStr">
        <is>
          <t>Input 0–1</t>
        </is>
      </c>
      <c r="G8" t="inlineStr">
        <is>
          <t>Input 0–1</t>
        </is>
      </c>
      <c r="H8" t="inlineStr">
        <is>
          <t>Input 0–1</t>
        </is>
      </c>
      <c r="I8" t="inlineStr">
        <is>
          <t>Input 0–1</t>
        </is>
      </c>
      <c r="J8" t="inlineStr">
        <is>
          <t>Input 0–1</t>
        </is>
      </c>
      <c r="K8" t="inlineStr">
        <is>
          <t>Input 0–1</t>
        </is>
      </c>
      <c r="L8" t="inlineStr">
        <is>
          <t>Input 0–1</t>
        </is>
      </c>
      <c r="M8" t="inlineStr">
        <is>
          <t>LOW / MODERATE / HIGH</t>
        </is>
      </c>
      <c r="N8" t="inlineStr">
        <is>
          <t>Review if high score + weak evidence or contradiction</t>
        </is>
      </c>
    </row>
    <row r="9">
      <c r="A9" t="n">
        <v>9</v>
      </c>
      <c r="B9" t="inlineStr">
        <is>
          <t>D01</t>
        </is>
      </c>
      <c r="C9" t="inlineStr">
        <is>
          <t>I08</t>
        </is>
      </c>
      <c r="D9">
        <f>'P0-3_Scorecard'!H9</f>
        <v/>
      </c>
      <c r="E9" t="inlineStr">
        <is>
          <t>Input 0–1</t>
        </is>
      </c>
      <c r="F9" t="inlineStr">
        <is>
          <t>Input 0–1</t>
        </is>
      </c>
      <c r="G9" t="inlineStr">
        <is>
          <t>Input 0–1</t>
        </is>
      </c>
      <c r="H9" t="inlineStr">
        <is>
          <t>Input 0–1</t>
        </is>
      </c>
      <c r="I9" t="inlineStr">
        <is>
          <t>Input 0–1</t>
        </is>
      </c>
      <c r="J9" t="inlineStr">
        <is>
          <t>Input 0–1</t>
        </is>
      </c>
      <c r="K9" t="inlineStr">
        <is>
          <t>Input 0–1</t>
        </is>
      </c>
      <c r="L9" t="inlineStr">
        <is>
          <t>Input 0–1</t>
        </is>
      </c>
      <c r="M9" t="inlineStr">
        <is>
          <t>LOW / MODERATE / HIGH</t>
        </is>
      </c>
      <c r="N9" t="inlineStr">
        <is>
          <t>Review if high score + weak evidence or contradiction</t>
        </is>
      </c>
    </row>
    <row r="10">
      <c r="A10" t="n">
        <v>10</v>
      </c>
      <c r="B10" t="inlineStr">
        <is>
          <t>D01</t>
        </is>
      </c>
      <c r="C10" t="inlineStr">
        <is>
          <t>I09</t>
        </is>
      </c>
      <c r="D10">
        <f>'P0-3_Scorecard'!H10</f>
        <v/>
      </c>
      <c r="E10" t="inlineStr">
        <is>
          <t>Input 0–1</t>
        </is>
      </c>
      <c r="F10" t="inlineStr">
        <is>
          <t>Input 0–1</t>
        </is>
      </c>
      <c r="G10" t="inlineStr">
        <is>
          <t>Input 0–1</t>
        </is>
      </c>
      <c r="H10" t="inlineStr">
        <is>
          <t>Input 0–1</t>
        </is>
      </c>
      <c r="I10" t="inlineStr">
        <is>
          <t>Input 0–1</t>
        </is>
      </c>
      <c r="J10" t="inlineStr">
        <is>
          <t>Input 0–1</t>
        </is>
      </c>
      <c r="K10" t="inlineStr">
        <is>
          <t>Input 0–1</t>
        </is>
      </c>
      <c r="L10" t="inlineStr">
        <is>
          <t>Input 0–1</t>
        </is>
      </c>
      <c r="M10" t="inlineStr">
        <is>
          <t>LOW / MODERATE / HIGH</t>
        </is>
      </c>
      <c r="N10" t="inlineStr">
        <is>
          <t>Review if high score + weak evidence or contradiction</t>
        </is>
      </c>
    </row>
    <row r="11">
      <c r="A11" t="n">
        <v>11</v>
      </c>
      <c r="B11" t="inlineStr">
        <is>
          <t>D01</t>
        </is>
      </c>
      <c r="C11" t="inlineStr">
        <is>
          <t>I10</t>
        </is>
      </c>
      <c r="D11">
        <f>'P0-3_Scorecard'!H11</f>
        <v/>
      </c>
      <c r="E11" t="inlineStr">
        <is>
          <t>Input 0–1</t>
        </is>
      </c>
      <c r="F11" t="inlineStr">
        <is>
          <t>Input 0–1</t>
        </is>
      </c>
      <c r="G11" t="inlineStr">
        <is>
          <t>Input 0–1</t>
        </is>
      </c>
      <c r="H11" t="inlineStr">
        <is>
          <t>Input 0–1</t>
        </is>
      </c>
      <c r="I11" t="inlineStr">
        <is>
          <t>Input 0–1</t>
        </is>
      </c>
      <c r="J11" t="inlineStr">
        <is>
          <t>Input 0–1</t>
        </is>
      </c>
      <c r="K11" t="inlineStr">
        <is>
          <t>Input 0–1</t>
        </is>
      </c>
      <c r="L11" t="inlineStr">
        <is>
          <t>Input 0–1</t>
        </is>
      </c>
      <c r="M11" t="inlineStr">
        <is>
          <t>LOW / MODERATE / HIGH</t>
        </is>
      </c>
      <c r="N11" t="inlineStr">
        <is>
          <t>Review if high score + weak evidence or contradiction</t>
        </is>
      </c>
    </row>
    <row r="12">
      <c r="A12" t="n">
        <v>12</v>
      </c>
      <c r="B12" t="inlineStr">
        <is>
          <t>D02</t>
        </is>
      </c>
      <c r="C12" t="inlineStr">
        <is>
          <t>I01</t>
        </is>
      </c>
      <c r="D12">
        <f>'P0-3_Scorecard'!H12</f>
        <v/>
      </c>
      <c r="E12" t="inlineStr">
        <is>
          <t>Input 0–1</t>
        </is>
      </c>
      <c r="F12" t="inlineStr">
        <is>
          <t>Input 0–1</t>
        </is>
      </c>
      <c r="G12" t="inlineStr">
        <is>
          <t>Input 0–1</t>
        </is>
      </c>
      <c r="H12" t="inlineStr">
        <is>
          <t>Input 0–1</t>
        </is>
      </c>
      <c r="I12" t="inlineStr">
        <is>
          <t>Input 0–1</t>
        </is>
      </c>
      <c r="J12" t="inlineStr">
        <is>
          <t>Input 0–1</t>
        </is>
      </c>
      <c r="K12" t="inlineStr">
        <is>
          <t>Input 0–1</t>
        </is>
      </c>
      <c r="L12" t="inlineStr">
        <is>
          <t>Input 0–1</t>
        </is>
      </c>
      <c r="M12" t="inlineStr">
        <is>
          <t>LOW / MODERATE / HIGH</t>
        </is>
      </c>
      <c r="N12" t="inlineStr">
        <is>
          <t>Review if high score + weak evidence or contradiction</t>
        </is>
      </c>
    </row>
    <row r="13">
      <c r="A13" t="n">
        <v>13</v>
      </c>
      <c r="B13" t="inlineStr">
        <is>
          <t>D02</t>
        </is>
      </c>
      <c r="C13" t="inlineStr">
        <is>
          <t>I02</t>
        </is>
      </c>
      <c r="D13">
        <f>'P0-3_Scorecard'!H13</f>
        <v/>
      </c>
      <c r="E13" t="inlineStr">
        <is>
          <t>Input 0–1</t>
        </is>
      </c>
      <c r="F13" t="inlineStr">
        <is>
          <t>Input 0–1</t>
        </is>
      </c>
      <c r="G13" t="inlineStr">
        <is>
          <t>Input 0–1</t>
        </is>
      </c>
      <c r="H13" t="inlineStr">
        <is>
          <t>Input 0–1</t>
        </is>
      </c>
      <c r="I13" t="inlineStr">
        <is>
          <t>Input 0–1</t>
        </is>
      </c>
      <c r="J13" t="inlineStr">
        <is>
          <t>Input 0–1</t>
        </is>
      </c>
      <c r="K13" t="inlineStr">
        <is>
          <t>Input 0–1</t>
        </is>
      </c>
      <c r="L13" t="inlineStr">
        <is>
          <t>Input 0–1</t>
        </is>
      </c>
      <c r="M13" t="inlineStr">
        <is>
          <t>LOW / MODERATE / HIGH</t>
        </is>
      </c>
      <c r="N13" t="inlineStr">
        <is>
          <t>Review if high score + weak evidence or contradiction</t>
        </is>
      </c>
    </row>
    <row r="14">
      <c r="A14" t="n">
        <v>14</v>
      </c>
      <c r="B14" t="inlineStr">
        <is>
          <t>D02</t>
        </is>
      </c>
      <c r="C14" t="inlineStr">
        <is>
          <t>I03</t>
        </is>
      </c>
      <c r="D14">
        <f>'P0-3_Scorecard'!H14</f>
        <v/>
      </c>
      <c r="E14" t="inlineStr">
        <is>
          <t>Input 0–1</t>
        </is>
      </c>
      <c r="F14" t="inlineStr">
        <is>
          <t>Input 0–1</t>
        </is>
      </c>
      <c r="G14" t="inlineStr">
        <is>
          <t>Input 0–1</t>
        </is>
      </c>
      <c r="H14" t="inlineStr">
        <is>
          <t>Input 0–1</t>
        </is>
      </c>
      <c r="I14" t="inlineStr">
        <is>
          <t>Input 0–1</t>
        </is>
      </c>
      <c r="J14" t="inlineStr">
        <is>
          <t>Input 0–1</t>
        </is>
      </c>
      <c r="K14" t="inlineStr">
        <is>
          <t>Input 0–1</t>
        </is>
      </c>
      <c r="L14" t="inlineStr">
        <is>
          <t>Input 0–1</t>
        </is>
      </c>
      <c r="M14" t="inlineStr">
        <is>
          <t>LOW / MODERATE / HIGH</t>
        </is>
      </c>
      <c r="N14" t="inlineStr">
        <is>
          <t>Review if high score + weak evidence or contradiction</t>
        </is>
      </c>
    </row>
    <row r="15">
      <c r="A15" t="n">
        <v>15</v>
      </c>
      <c r="B15" t="inlineStr">
        <is>
          <t>D02</t>
        </is>
      </c>
      <c r="C15" t="inlineStr">
        <is>
          <t>I04</t>
        </is>
      </c>
      <c r="D15">
        <f>'P0-3_Scorecard'!H15</f>
        <v/>
      </c>
      <c r="E15" t="inlineStr">
        <is>
          <t>Input 0–1</t>
        </is>
      </c>
      <c r="F15" t="inlineStr">
        <is>
          <t>Input 0–1</t>
        </is>
      </c>
      <c r="G15" t="inlineStr">
        <is>
          <t>Input 0–1</t>
        </is>
      </c>
      <c r="H15" t="inlineStr">
        <is>
          <t>Input 0–1</t>
        </is>
      </c>
      <c r="I15" t="inlineStr">
        <is>
          <t>Input 0–1</t>
        </is>
      </c>
      <c r="J15" t="inlineStr">
        <is>
          <t>Input 0–1</t>
        </is>
      </c>
      <c r="K15" t="inlineStr">
        <is>
          <t>Input 0–1</t>
        </is>
      </c>
      <c r="L15" t="inlineStr">
        <is>
          <t>Input 0–1</t>
        </is>
      </c>
      <c r="M15" t="inlineStr">
        <is>
          <t>LOW / MODERATE / HIGH</t>
        </is>
      </c>
      <c r="N15" t="inlineStr">
        <is>
          <t>Review if high score + weak evidence or contradiction</t>
        </is>
      </c>
    </row>
    <row r="16">
      <c r="A16" t="n">
        <v>16</v>
      </c>
      <c r="B16" t="inlineStr">
        <is>
          <t>D02</t>
        </is>
      </c>
      <c r="C16" t="inlineStr">
        <is>
          <t>I05</t>
        </is>
      </c>
      <c r="D16">
        <f>'P0-3_Scorecard'!H16</f>
        <v/>
      </c>
      <c r="E16" t="inlineStr">
        <is>
          <t>Input 0–1</t>
        </is>
      </c>
      <c r="F16" t="inlineStr">
        <is>
          <t>Input 0–1</t>
        </is>
      </c>
      <c r="G16" t="inlineStr">
        <is>
          <t>Input 0–1</t>
        </is>
      </c>
      <c r="H16" t="inlineStr">
        <is>
          <t>Input 0–1</t>
        </is>
      </c>
      <c r="I16" t="inlineStr">
        <is>
          <t>Input 0–1</t>
        </is>
      </c>
      <c r="J16" t="inlineStr">
        <is>
          <t>Input 0–1</t>
        </is>
      </c>
      <c r="K16" t="inlineStr">
        <is>
          <t>Input 0–1</t>
        </is>
      </c>
      <c r="L16" t="inlineStr">
        <is>
          <t>Input 0–1</t>
        </is>
      </c>
      <c r="M16" t="inlineStr">
        <is>
          <t>LOW / MODERATE / HIGH</t>
        </is>
      </c>
      <c r="N16" t="inlineStr">
        <is>
          <t>Review if high score + weak evidence or contradiction</t>
        </is>
      </c>
    </row>
    <row r="17">
      <c r="A17" t="n">
        <v>17</v>
      </c>
      <c r="B17" t="inlineStr">
        <is>
          <t>D02</t>
        </is>
      </c>
      <c r="C17" t="inlineStr">
        <is>
          <t>I06</t>
        </is>
      </c>
      <c r="D17">
        <f>'P0-3_Scorecard'!H17</f>
        <v/>
      </c>
      <c r="E17" t="inlineStr">
        <is>
          <t>Input 0–1</t>
        </is>
      </c>
      <c r="F17" t="inlineStr">
        <is>
          <t>Input 0–1</t>
        </is>
      </c>
      <c r="G17" t="inlineStr">
        <is>
          <t>Input 0–1</t>
        </is>
      </c>
      <c r="H17" t="inlineStr">
        <is>
          <t>Input 0–1</t>
        </is>
      </c>
      <c r="I17" t="inlineStr">
        <is>
          <t>Input 0–1</t>
        </is>
      </c>
      <c r="J17" t="inlineStr">
        <is>
          <t>Input 0–1</t>
        </is>
      </c>
      <c r="K17" t="inlineStr">
        <is>
          <t>Input 0–1</t>
        </is>
      </c>
      <c r="L17" t="inlineStr">
        <is>
          <t>Input 0–1</t>
        </is>
      </c>
      <c r="M17" t="inlineStr">
        <is>
          <t>LOW / MODERATE / HIGH</t>
        </is>
      </c>
      <c r="N17" t="inlineStr">
        <is>
          <t>Review if high score + weak evidence or contradiction</t>
        </is>
      </c>
    </row>
    <row r="18">
      <c r="A18" t="n">
        <v>18</v>
      </c>
      <c r="B18" t="inlineStr">
        <is>
          <t>D02</t>
        </is>
      </c>
      <c r="C18" t="inlineStr">
        <is>
          <t>I07</t>
        </is>
      </c>
      <c r="D18">
        <f>'P0-3_Scorecard'!H18</f>
        <v/>
      </c>
      <c r="E18" t="inlineStr">
        <is>
          <t>Input 0–1</t>
        </is>
      </c>
      <c r="F18" t="inlineStr">
        <is>
          <t>Input 0–1</t>
        </is>
      </c>
      <c r="G18" t="inlineStr">
        <is>
          <t>Input 0–1</t>
        </is>
      </c>
      <c r="H18" t="inlineStr">
        <is>
          <t>Input 0–1</t>
        </is>
      </c>
      <c r="I18" t="inlineStr">
        <is>
          <t>Input 0–1</t>
        </is>
      </c>
      <c r="J18" t="inlineStr">
        <is>
          <t>Input 0–1</t>
        </is>
      </c>
      <c r="K18" t="inlineStr">
        <is>
          <t>Input 0–1</t>
        </is>
      </c>
      <c r="L18" t="inlineStr">
        <is>
          <t>Input 0–1</t>
        </is>
      </c>
      <c r="M18" t="inlineStr">
        <is>
          <t>LOW / MODERATE / HIGH</t>
        </is>
      </c>
      <c r="N18" t="inlineStr">
        <is>
          <t>Review if high score + weak evidence or contradiction</t>
        </is>
      </c>
    </row>
    <row r="19">
      <c r="A19" t="n">
        <v>19</v>
      </c>
      <c r="B19" t="inlineStr">
        <is>
          <t>D02</t>
        </is>
      </c>
      <c r="C19" t="inlineStr">
        <is>
          <t>I08</t>
        </is>
      </c>
      <c r="D19">
        <f>'P0-3_Scorecard'!H19</f>
        <v/>
      </c>
      <c r="E19" t="inlineStr">
        <is>
          <t>Input 0–1</t>
        </is>
      </c>
      <c r="F19" t="inlineStr">
        <is>
          <t>Input 0–1</t>
        </is>
      </c>
      <c r="G19" t="inlineStr">
        <is>
          <t>Input 0–1</t>
        </is>
      </c>
      <c r="H19" t="inlineStr">
        <is>
          <t>Input 0–1</t>
        </is>
      </c>
      <c r="I19" t="inlineStr">
        <is>
          <t>Input 0–1</t>
        </is>
      </c>
      <c r="J19" t="inlineStr">
        <is>
          <t>Input 0–1</t>
        </is>
      </c>
      <c r="K19" t="inlineStr">
        <is>
          <t>Input 0–1</t>
        </is>
      </c>
      <c r="L19" t="inlineStr">
        <is>
          <t>Input 0–1</t>
        </is>
      </c>
      <c r="M19" t="inlineStr">
        <is>
          <t>LOW / MODERATE / HIGH</t>
        </is>
      </c>
      <c r="N19" t="inlineStr">
        <is>
          <t>Review if high score + weak evidence or contradiction</t>
        </is>
      </c>
    </row>
    <row r="20">
      <c r="A20" t="n">
        <v>20</v>
      </c>
      <c r="B20" t="inlineStr">
        <is>
          <t>D02</t>
        </is>
      </c>
      <c r="C20" t="inlineStr">
        <is>
          <t>I09</t>
        </is>
      </c>
      <c r="D20">
        <f>'P0-3_Scorecard'!H20</f>
        <v/>
      </c>
      <c r="E20" t="inlineStr">
        <is>
          <t>Input 0–1</t>
        </is>
      </c>
      <c r="F20" t="inlineStr">
        <is>
          <t>Input 0–1</t>
        </is>
      </c>
      <c r="G20" t="inlineStr">
        <is>
          <t>Input 0–1</t>
        </is>
      </c>
      <c r="H20" t="inlineStr">
        <is>
          <t>Input 0–1</t>
        </is>
      </c>
      <c r="I20" t="inlineStr">
        <is>
          <t>Input 0–1</t>
        </is>
      </c>
      <c r="J20" t="inlineStr">
        <is>
          <t>Input 0–1</t>
        </is>
      </c>
      <c r="K20" t="inlineStr">
        <is>
          <t>Input 0–1</t>
        </is>
      </c>
      <c r="L20" t="inlineStr">
        <is>
          <t>Input 0–1</t>
        </is>
      </c>
      <c r="M20" t="inlineStr">
        <is>
          <t>LOW / MODERATE / HIGH</t>
        </is>
      </c>
      <c r="N20" t="inlineStr">
        <is>
          <t>Review if high score + weak evidence or contradiction</t>
        </is>
      </c>
    </row>
    <row r="21">
      <c r="A21" t="n">
        <v>21</v>
      </c>
      <c r="B21" t="inlineStr">
        <is>
          <t>D02</t>
        </is>
      </c>
      <c r="C21" t="inlineStr">
        <is>
          <t>I10</t>
        </is>
      </c>
      <c r="D21">
        <f>'P0-3_Scorecard'!H21</f>
        <v/>
      </c>
      <c r="E21" t="inlineStr">
        <is>
          <t>Input 0–1</t>
        </is>
      </c>
      <c r="F21" t="inlineStr">
        <is>
          <t>Input 0–1</t>
        </is>
      </c>
      <c r="G21" t="inlineStr">
        <is>
          <t>Input 0–1</t>
        </is>
      </c>
      <c r="H21" t="inlineStr">
        <is>
          <t>Input 0–1</t>
        </is>
      </c>
      <c r="I21" t="inlineStr">
        <is>
          <t>Input 0–1</t>
        </is>
      </c>
      <c r="J21" t="inlineStr">
        <is>
          <t>Input 0–1</t>
        </is>
      </c>
      <c r="K21" t="inlineStr">
        <is>
          <t>Input 0–1</t>
        </is>
      </c>
      <c r="L21" t="inlineStr">
        <is>
          <t>Input 0–1</t>
        </is>
      </c>
      <c r="M21" t="inlineStr">
        <is>
          <t>LOW / MODERATE / HIGH</t>
        </is>
      </c>
      <c r="N21" t="inlineStr">
        <is>
          <t>Review if high score + weak evidence or contradiction</t>
        </is>
      </c>
    </row>
    <row r="22">
      <c r="A22" t="n">
        <v>22</v>
      </c>
      <c r="B22" t="inlineStr">
        <is>
          <t>D02</t>
        </is>
      </c>
      <c r="C22" t="inlineStr">
        <is>
          <t>I11</t>
        </is>
      </c>
      <c r="D22">
        <f>'P0-3_Scorecard'!H22</f>
        <v/>
      </c>
      <c r="E22" t="inlineStr">
        <is>
          <t>Input 0–1</t>
        </is>
      </c>
      <c r="F22" t="inlineStr">
        <is>
          <t>Input 0–1</t>
        </is>
      </c>
      <c r="G22" t="inlineStr">
        <is>
          <t>Input 0–1</t>
        </is>
      </c>
      <c r="H22" t="inlineStr">
        <is>
          <t>Input 0–1</t>
        </is>
      </c>
      <c r="I22" t="inlineStr">
        <is>
          <t>Input 0–1</t>
        </is>
      </c>
      <c r="J22" t="inlineStr">
        <is>
          <t>Input 0–1</t>
        </is>
      </c>
      <c r="K22" t="inlineStr">
        <is>
          <t>Input 0–1</t>
        </is>
      </c>
      <c r="L22" t="inlineStr">
        <is>
          <t>Input 0–1</t>
        </is>
      </c>
      <c r="M22" t="inlineStr">
        <is>
          <t>LOW / MODERATE / HIGH</t>
        </is>
      </c>
      <c r="N22" t="inlineStr">
        <is>
          <t>Review if high score + weak evidence or contradiction</t>
        </is>
      </c>
    </row>
    <row r="23">
      <c r="A23" t="n">
        <v>23</v>
      </c>
      <c r="B23" t="inlineStr">
        <is>
          <t>D02</t>
        </is>
      </c>
      <c r="C23" t="inlineStr">
        <is>
          <t>I12</t>
        </is>
      </c>
      <c r="D23">
        <f>'P0-3_Scorecard'!H23</f>
        <v/>
      </c>
      <c r="E23" t="inlineStr">
        <is>
          <t>Input 0–1</t>
        </is>
      </c>
      <c r="F23" t="inlineStr">
        <is>
          <t>Input 0–1</t>
        </is>
      </c>
      <c r="G23" t="inlineStr">
        <is>
          <t>Input 0–1</t>
        </is>
      </c>
      <c r="H23" t="inlineStr">
        <is>
          <t>Input 0–1</t>
        </is>
      </c>
      <c r="I23" t="inlineStr">
        <is>
          <t>Input 0–1</t>
        </is>
      </c>
      <c r="J23" t="inlineStr">
        <is>
          <t>Input 0–1</t>
        </is>
      </c>
      <c r="K23" t="inlineStr">
        <is>
          <t>Input 0–1</t>
        </is>
      </c>
      <c r="L23" t="inlineStr">
        <is>
          <t>Input 0–1</t>
        </is>
      </c>
      <c r="M23" t="inlineStr">
        <is>
          <t>LOW / MODERATE / HIGH</t>
        </is>
      </c>
      <c r="N23" t="inlineStr">
        <is>
          <t>Review if high score + weak evidence or contradiction</t>
        </is>
      </c>
    </row>
    <row r="24">
      <c r="A24" t="n">
        <v>24</v>
      </c>
      <c r="B24" t="inlineStr">
        <is>
          <t>D02</t>
        </is>
      </c>
      <c r="C24" t="inlineStr">
        <is>
          <t>I13</t>
        </is>
      </c>
      <c r="D24">
        <f>'P0-3_Scorecard'!H24</f>
        <v/>
      </c>
      <c r="E24" t="inlineStr">
        <is>
          <t>Input 0–1</t>
        </is>
      </c>
      <c r="F24" t="inlineStr">
        <is>
          <t>Input 0–1</t>
        </is>
      </c>
      <c r="G24" t="inlineStr">
        <is>
          <t>Input 0–1</t>
        </is>
      </c>
      <c r="H24" t="inlineStr">
        <is>
          <t>Input 0–1</t>
        </is>
      </c>
      <c r="I24" t="inlineStr">
        <is>
          <t>Input 0–1</t>
        </is>
      </c>
      <c r="J24" t="inlineStr">
        <is>
          <t>Input 0–1</t>
        </is>
      </c>
      <c r="K24" t="inlineStr">
        <is>
          <t>Input 0–1</t>
        </is>
      </c>
      <c r="L24" t="inlineStr">
        <is>
          <t>Input 0–1</t>
        </is>
      </c>
      <c r="M24" t="inlineStr">
        <is>
          <t>LOW / MODERATE / HIGH</t>
        </is>
      </c>
      <c r="N24" t="inlineStr">
        <is>
          <t>Review if high score + weak evidence or contradiction</t>
        </is>
      </c>
    </row>
    <row r="25">
      <c r="A25" t="n">
        <v>25</v>
      </c>
      <c r="B25" t="inlineStr">
        <is>
          <t>D02</t>
        </is>
      </c>
      <c r="C25" t="inlineStr">
        <is>
          <t>I14</t>
        </is>
      </c>
      <c r="D25">
        <f>'P0-3_Scorecard'!H25</f>
        <v/>
      </c>
      <c r="E25" t="inlineStr">
        <is>
          <t>Input 0–1</t>
        </is>
      </c>
      <c r="F25" t="inlineStr">
        <is>
          <t>Input 0–1</t>
        </is>
      </c>
      <c r="G25" t="inlineStr">
        <is>
          <t>Input 0–1</t>
        </is>
      </c>
      <c r="H25" t="inlineStr">
        <is>
          <t>Input 0–1</t>
        </is>
      </c>
      <c r="I25" t="inlineStr">
        <is>
          <t>Input 0–1</t>
        </is>
      </c>
      <c r="J25" t="inlineStr">
        <is>
          <t>Input 0–1</t>
        </is>
      </c>
      <c r="K25" t="inlineStr">
        <is>
          <t>Input 0–1</t>
        </is>
      </c>
      <c r="L25" t="inlineStr">
        <is>
          <t>Input 0–1</t>
        </is>
      </c>
      <c r="M25" t="inlineStr">
        <is>
          <t>LOW / MODERATE / HIGH</t>
        </is>
      </c>
      <c r="N25" t="inlineStr">
        <is>
          <t>Review if high score + weak evidence or contradiction</t>
        </is>
      </c>
    </row>
    <row r="26">
      <c r="A26" t="n">
        <v>26</v>
      </c>
      <c r="B26" t="inlineStr">
        <is>
          <t>D03</t>
        </is>
      </c>
      <c r="C26" t="inlineStr">
        <is>
          <t>I01</t>
        </is>
      </c>
      <c r="D26">
        <f>'P0-3_Scorecard'!H26</f>
        <v/>
      </c>
      <c r="E26" t="inlineStr">
        <is>
          <t>Input 0–1</t>
        </is>
      </c>
      <c r="F26" t="inlineStr">
        <is>
          <t>Input 0–1</t>
        </is>
      </c>
      <c r="G26" t="inlineStr">
        <is>
          <t>Input 0–1</t>
        </is>
      </c>
      <c r="H26" t="inlineStr">
        <is>
          <t>Input 0–1</t>
        </is>
      </c>
      <c r="I26" t="inlineStr">
        <is>
          <t>Input 0–1</t>
        </is>
      </c>
      <c r="J26" t="inlineStr">
        <is>
          <t>Input 0–1</t>
        </is>
      </c>
      <c r="K26" t="inlineStr">
        <is>
          <t>Input 0–1</t>
        </is>
      </c>
      <c r="L26" t="inlineStr">
        <is>
          <t>Input 0–1</t>
        </is>
      </c>
      <c r="M26" t="inlineStr">
        <is>
          <t>LOW / MODERATE / HIGH</t>
        </is>
      </c>
      <c r="N26" t="inlineStr">
        <is>
          <t>Review if high score + weak evidence or contradiction</t>
        </is>
      </c>
    </row>
    <row r="27">
      <c r="A27" t="n">
        <v>27</v>
      </c>
      <c r="B27" t="inlineStr">
        <is>
          <t>D03</t>
        </is>
      </c>
      <c r="C27" t="inlineStr">
        <is>
          <t>I02</t>
        </is>
      </c>
      <c r="D27">
        <f>'P0-3_Scorecard'!H27</f>
        <v/>
      </c>
      <c r="E27" t="inlineStr">
        <is>
          <t>Input 0–1</t>
        </is>
      </c>
      <c r="F27" t="inlineStr">
        <is>
          <t>Input 0–1</t>
        </is>
      </c>
      <c r="G27" t="inlineStr">
        <is>
          <t>Input 0–1</t>
        </is>
      </c>
      <c r="H27" t="inlineStr">
        <is>
          <t>Input 0–1</t>
        </is>
      </c>
      <c r="I27" t="inlineStr">
        <is>
          <t>Input 0–1</t>
        </is>
      </c>
      <c r="J27" t="inlineStr">
        <is>
          <t>Input 0–1</t>
        </is>
      </c>
      <c r="K27" t="inlineStr">
        <is>
          <t>Input 0–1</t>
        </is>
      </c>
      <c r="L27" t="inlineStr">
        <is>
          <t>Input 0–1</t>
        </is>
      </c>
      <c r="M27" t="inlineStr">
        <is>
          <t>LOW / MODERATE / HIGH</t>
        </is>
      </c>
      <c r="N27" t="inlineStr">
        <is>
          <t>Review if high score + weak evidence or contradiction</t>
        </is>
      </c>
    </row>
    <row r="28">
      <c r="A28" t="n">
        <v>28</v>
      </c>
      <c r="B28" t="inlineStr">
        <is>
          <t>D03</t>
        </is>
      </c>
      <c r="C28" t="inlineStr">
        <is>
          <t>I03</t>
        </is>
      </c>
      <c r="D28">
        <f>'P0-3_Scorecard'!H28</f>
        <v/>
      </c>
      <c r="E28" t="inlineStr">
        <is>
          <t>Input 0–1</t>
        </is>
      </c>
      <c r="F28" t="inlineStr">
        <is>
          <t>Input 0–1</t>
        </is>
      </c>
      <c r="G28" t="inlineStr">
        <is>
          <t>Input 0–1</t>
        </is>
      </c>
      <c r="H28" t="inlineStr">
        <is>
          <t>Input 0–1</t>
        </is>
      </c>
      <c r="I28" t="inlineStr">
        <is>
          <t>Input 0–1</t>
        </is>
      </c>
      <c r="J28" t="inlineStr">
        <is>
          <t>Input 0–1</t>
        </is>
      </c>
      <c r="K28" t="inlineStr">
        <is>
          <t>Input 0–1</t>
        </is>
      </c>
      <c r="L28" t="inlineStr">
        <is>
          <t>Input 0–1</t>
        </is>
      </c>
      <c r="M28" t="inlineStr">
        <is>
          <t>LOW / MODERATE / HIGH</t>
        </is>
      </c>
      <c r="N28" t="inlineStr">
        <is>
          <t>Review if high score + weak evidence or contradiction</t>
        </is>
      </c>
    </row>
    <row r="29">
      <c r="A29" t="n">
        <v>29</v>
      </c>
      <c r="B29" t="inlineStr">
        <is>
          <t>D03</t>
        </is>
      </c>
      <c r="C29" t="inlineStr">
        <is>
          <t>I04</t>
        </is>
      </c>
      <c r="D29">
        <f>'P0-3_Scorecard'!H29</f>
        <v/>
      </c>
      <c r="E29" t="inlineStr">
        <is>
          <t>Input 0–1</t>
        </is>
      </c>
      <c r="F29" t="inlineStr">
        <is>
          <t>Input 0–1</t>
        </is>
      </c>
      <c r="G29" t="inlineStr">
        <is>
          <t>Input 0–1</t>
        </is>
      </c>
      <c r="H29" t="inlineStr">
        <is>
          <t>Input 0–1</t>
        </is>
      </c>
      <c r="I29" t="inlineStr">
        <is>
          <t>Input 0–1</t>
        </is>
      </c>
      <c r="J29" t="inlineStr">
        <is>
          <t>Input 0–1</t>
        </is>
      </c>
      <c r="K29" t="inlineStr">
        <is>
          <t>Input 0–1</t>
        </is>
      </c>
      <c r="L29" t="inlineStr">
        <is>
          <t>Input 0–1</t>
        </is>
      </c>
      <c r="M29" t="inlineStr">
        <is>
          <t>LOW / MODERATE / HIGH</t>
        </is>
      </c>
      <c r="N29" t="inlineStr">
        <is>
          <t>Review if high score + weak evidence or contradiction</t>
        </is>
      </c>
    </row>
    <row r="30">
      <c r="A30" t="n">
        <v>30</v>
      </c>
      <c r="B30" t="inlineStr">
        <is>
          <t>D03</t>
        </is>
      </c>
      <c r="C30" t="inlineStr">
        <is>
          <t>I05</t>
        </is>
      </c>
      <c r="D30">
        <f>'P0-3_Scorecard'!H30</f>
        <v/>
      </c>
      <c r="E30" t="inlineStr">
        <is>
          <t>Input 0–1</t>
        </is>
      </c>
      <c r="F30" t="inlineStr">
        <is>
          <t>Input 0–1</t>
        </is>
      </c>
      <c r="G30" t="inlineStr">
        <is>
          <t>Input 0–1</t>
        </is>
      </c>
      <c r="H30" t="inlineStr">
        <is>
          <t>Input 0–1</t>
        </is>
      </c>
      <c r="I30" t="inlineStr">
        <is>
          <t>Input 0–1</t>
        </is>
      </c>
      <c r="J30" t="inlineStr">
        <is>
          <t>Input 0–1</t>
        </is>
      </c>
      <c r="K30" t="inlineStr">
        <is>
          <t>Input 0–1</t>
        </is>
      </c>
      <c r="L30" t="inlineStr">
        <is>
          <t>Input 0–1</t>
        </is>
      </c>
      <c r="M30" t="inlineStr">
        <is>
          <t>LOW / MODERATE / HIGH</t>
        </is>
      </c>
      <c r="N30" t="inlineStr">
        <is>
          <t>Review if high score + weak evidence or contradiction</t>
        </is>
      </c>
    </row>
    <row r="31">
      <c r="A31" t="n">
        <v>31</v>
      </c>
      <c r="B31" t="inlineStr">
        <is>
          <t>D03</t>
        </is>
      </c>
      <c r="C31" t="inlineStr">
        <is>
          <t>I06</t>
        </is>
      </c>
      <c r="D31">
        <f>'P0-3_Scorecard'!H31</f>
        <v/>
      </c>
      <c r="E31" t="inlineStr">
        <is>
          <t>Input 0–1</t>
        </is>
      </c>
      <c r="F31" t="inlineStr">
        <is>
          <t>Input 0–1</t>
        </is>
      </c>
      <c r="G31" t="inlineStr">
        <is>
          <t>Input 0–1</t>
        </is>
      </c>
      <c r="H31" t="inlineStr">
        <is>
          <t>Input 0–1</t>
        </is>
      </c>
      <c r="I31" t="inlineStr">
        <is>
          <t>Input 0–1</t>
        </is>
      </c>
      <c r="J31" t="inlineStr">
        <is>
          <t>Input 0–1</t>
        </is>
      </c>
      <c r="K31" t="inlineStr">
        <is>
          <t>Input 0–1</t>
        </is>
      </c>
      <c r="L31" t="inlineStr">
        <is>
          <t>Input 0–1</t>
        </is>
      </c>
      <c r="M31" t="inlineStr">
        <is>
          <t>LOW / MODERATE / HIGH</t>
        </is>
      </c>
      <c r="N31" t="inlineStr">
        <is>
          <t>Review if high score + weak evidence or contradiction</t>
        </is>
      </c>
    </row>
    <row r="32">
      <c r="A32" t="n">
        <v>32</v>
      </c>
      <c r="B32" t="inlineStr">
        <is>
          <t>D03</t>
        </is>
      </c>
      <c r="C32" t="inlineStr">
        <is>
          <t>I07</t>
        </is>
      </c>
      <c r="D32">
        <f>'P0-3_Scorecard'!H32</f>
        <v/>
      </c>
      <c r="E32" t="inlineStr">
        <is>
          <t>Input 0–1</t>
        </is>
      </c>
      <c r="F32" t="inlineStr">
        <is>
          <t>Input 0–1</t>
        </is>
      </c>
      <c r="G32" t="inlineStr">
        <is>
          <t>Input 0–1</t>
        </is>
      </c>
      <c r="H32" t="inlineStr">
        <is>
          <t>Input 0–1</t>
        </is>
      </c>
      <c r="I32" t="inlineStr">
        <is>
          <t>Input 0–1</t>
        </is>
      </c>
      <c r="J32" t="inlineStr">
        <is>
          <t>Input 0–1</t>
        </is>
      </c>
      <c r="K32" t="inlineStr">
        <is>
          <t>Input 0–1</t>
        </is>
      </c>
      <c r="L32" t="inlineStr">
        <is>
          <t>Input 0–1</t>
        </is>
      </c>
      <c r="M32" t="inlineStr">
        <is>
          <t>LOW / MODERATE / HIGH</t>
        </is>
      </c>
      <c r="N32" t="inlineStr">
        <is>
          <t>Review if high score + weak evidence or contradiction</t>
        </is>
      </c>
    </row>
    <row r="33">
      <c r="A33" t="n">
        <v>33</v>
      </c>
      <c r="B33" t="inlineStr">
        <is>
          <t>D03</t>
        </is>
      </c>
      <c r="C33" t="inlineStr">
        <is>
          <t>I08</t>
        </is>
      </c>
      <c r="D33">
        <f>'P0-3_Scorecard'!H33</f>
        <v/>
      </c>
      <c r="E33" t="inlineStr">
        <is>
          <t>Input 0–1</t>
        </is>
      </c>
      <c r="F33" t="inlineStr">
        <is>
          <t>Input 0–1</t>
        </is>
      </c>
      <c r="G33" t="inlineStr">
        <is>
          <t>Input 0–1</t>
        </is>
      </c>
      <c r="H33" t="inlineStr">
        <is>
          <t>Input 0–1</t>
        </is>
      </c>
      <c r="I33" t="inlineStr">
        <is>
          <t>Input 0–1</t>
        </is>
      </c>
      <c r="J33" t="inlineStr">
        <is>
          <t>Input 0–1</t>
        </is>
      </c>
      <c r="K33" t="inlineStr">
        <is>
          <t>Input 0–1</t>
        </is>
      </c>
      <c r="L33" t="inlineStr">
        <is>
          <t>Input 0–1</t>
        </is>
      </c>
      <c r="M33" t="inlineStr">
        <is>
          <t>LOW / MODERATE / HIGH</t>
        </is>
      </c>
      <c r="N33" t="inlineStr">
        <is>
          <t>Review if high score + weak evidence or contradiction</t>
        </is>
      </c>
    </row>
    <row r="34">
      <c r="A34" t="n">
        <v>34</v>
      </c>
      <c r="B34" t="inlineStr">
        <is>
          <t>D03</t>
        </is>
      </c>
      <c r="C34" t="inlineStr">
        <is>
          <t>I09</t>
        </is>
      </c>
      <c r="D34">
        <f>'P0-3_Scorecard'!H34</f>
        <v/>
      </c>
      <c r="E34" t="inlineStr">
        <is>
          <t>Input 0–1</t>
        </is>
      </c>
      <c r="F34" t="inlineStr">
        <is>
          <t>Input 0–1</t>
        </is>
      </c>
      <c r="G34" t="inlineStr">
        <is>
          <t>Input 0–1</t>
        </is>
      </c>
      <c r="H34" t="inlineStr">
        <is>
          <t>Input 0–1</t>
        </is>
      </c>
      <c r="I34" t="inlineStr">
        <is>
          <t>Input 0–1</t>
        </is>
      </c>
      <c r="J34" t="inlineStr">
        <is>
          <t>Input 0–1</t>
        </is>
      </c>
      <c r="K34" t="inlineStr">
        <is>
          <t>Input 0–1</t>
        </is>
      </c>
      <c r="L34" t="inlineStr">
        <is>
          <t>Input 0–1</t>
        </is>
      </c>
      <c r="M34" t="inlineStr">
        <is>
          <t>LOW / MODERATE / HIGH</t>
        </is>
      </c>
      <c r="N34" t="inlineStr">
        <is>
          <t>Review if high score + weak evidence or contradiction</t>
        </is>
      </c>
    </row>
    <row r="35">
      <c r="A35" t="n">
        <v>35</v>
      </c>
      <c r="B35" t="inlineStr">
        <is>
          <t>D03</t>
        </is>
      </c>
      <c r="C35" t="inlineStr">
        <is>
          <t>I10</t>
        </is>
      </c>
      <c r="D35">
        <f>'P0-3_Scorecard'!H35</f>
        <v/>
      </c>
      <c r="E35" t="inlineStr">
        <is>
          <t>Input 0–1</t>
        </is>
      </c>
      <c r="F35" t="inlineStr">
        <is>
          <t>Input 0–1</t>
        </is>
      </c>
      <c r="G35" t="inlineStr">
        <is>
          <t>Input 0–1</t>
        </is>
      </c>
      <c r="H35" t="inlineStr">
        <is>
          <t>Input 0–1</t>
        </is>
      </c>
      <c r="I35" t="inlineStr">
        <is>
          <t>Input 0–1</t>
        </is>
      </c>
      <c r="J35" t="inlineStr">
        <is>
          <t>Input 0–1</t>
        </is>
      </c>
      <c r="K35" t="inlineStr">
        <is>
          <t>Input 0–1</t>
        </is>
      </c>
      <c r="L35" t="inlineStr">
        <is>
          <t>Input 0–1</t>
        </is>
      </c>
      <c r="M35" t="inlineStr">
        <is>
          <t>LOW / MODERATE / HIGH</t>
        </is>
      </c>
      <c r="N35" t="inlineStr">
        <is>
          <t>Review if high score + weak evidence or contradiction</t>
        </is>
      </c>
    </row>
    <row r="36">
      <c r="A36" t="n">
        <v>36</v>
      </c>
      <c r="B36" t="inlineStr">
        <is>
          <t>D03</t>
        </is>
      </c>
      <c r="C36" t="inlineStr">
        <is>
          <t>I11</t>
        </is>
      </c>
      <c r="D36">
        <f>'P0-3_Scorecard'!H36</f>
        <v/>
      </c>
      <c r="E36" t="inlineStr">
        <is>
          <t>Input 0–1</t>
        </is>
      </c>
      <c r="F36" t="inlineStr">
        <is>
          <t>Input 0–1</t>
        </is>
      </c>
      <c r="G36" t="inlineStr">
        <is>
          <t>Input 0–1</t>
        </is>
      </c>
      <c r="H36" t="inlineStr">
        <is>
          <t>Input 0–1</t>
        </is>
      </c>
      <c r="I36" t="inlineStr">
        <is>
          <t>Input 0–1</t>
        </is>
      </c>
      <c r="J36" t="inlineStr">
        <is>
          <t>Input 0–1</t>
        </is>
      </c>
      <c r="K36" t="inlineStr">
        <is>
          <t>Input 0–1</t>
        </is>
      </c>
      <c r="L36" t="inlineStr">
        <is>
          <t>Input 0–1</t>
        </is>
      </c>
      <c r="M36" t="inlineStr">
        <is>
          <t>LOW / MODERATE / HIGH</t>
        </is>
      </c>
      <c r="N36" t="inlineStr">
        <is>
          <t>Review if high score + weak evidence or contradiction</t>
        </is>
      </c>
    </row>
    <row r="37">
      <c r="A37" t="n">
        <v>37</v>
      </c>
      <c r="B37" t="inlineStr">
        <is>
          <t>D03</t>
        </is>
      </c>
      <c r="C37" t="inlineStr">
        <is>
          <t>I12</t>
        </is>
      </c>
      <c r="D37">
        <f>'P0-3_Scorecard'!H37</f>
        <v/>
      </c>
      <c r="E37" t="inlineStr">
        <is>
          <t>Input 0–1</t>
        </is>
      </c>
      <c r="F37" t="inlineStr">
        <is>
          <t>Input 0–1</t>
        </is>
      </c>
      <c r="G37" t="inlineStr">
        <is>
          <t>Input 0–1</t>
        </is>
      </c>
      <c r="H37" t="inlineStr">
        <is>
          <t>Input 0–1</t>
        </is>
      </c>
      <c r="I37" t="inlineStr">
        <is>
          <t>Input 0–1</t>
        </is>
      </c>
      <c r="J37" t="inlineStr">
        <is>
          <t>Input 0–1</t>
        </is>
      </c>
      <c r="K37" t="inlineStr">
        <is>
          <t>Input 0–1</t>
        </is>
      </c>
      <c r="L37" t="inlineStr">
        <is>
          <t>Input 0–1</t>
        </is>
      </c>
      <c r="M37" t="inlineStr">
        <is>
          <t>LOW / MODERATE / HIGH</t>
        </is>
      </c>
      <c r="N37" t="inlineStr">
        <is>
          <t>Review if high score + weak evidence or contradiction</t>
        </is>
      </c>
    </row>
    <row r="38">
      <c r="A38" t="n">
        <v>38</v>
      </c>
      <c r="B38" t="inlineStr">
        <is>
          <t>D03</t>
        </is>
      </c>
      <c r="C38" t="inlineStr">
        <is>
          <t>I13</t>
        </is>
      </c>
      <c r="D38">
        <f>'P0-3_Scorecard'!H38</f>
        <v/>
      </c>
      <c r="E38" t="inlineStr">
        <is>
          <t>Input 0–1</t>
        </is>
      </c>
      <c r="F38" t="inlineStr">
        <is>
          <t>Input 0–1</t>
        </is>
      </c>
      <c r="G38" t="inlineStr">
        <is>
          <t>Input 0–1</t>
        </is>
      </c>
      <c r="H38" t="inlineStr">
        <is>
          <t>Input 0–1</t>
        </is>
      </c>
      <c r="I38" t="inlineStr">
        <is>
          <t>Input 0–1</t>
        </is>
      </c>
      <c r="J38" t="inlineStr">
        <is>
          <t>Input 0–1</t>
        </is>
      </c>
      <c r="K38" t="inlineStr">
        <is>
          <t>Input 0–1</t>
        </is>
      </c>
      <c r="L38" t="inlineStr">
        <is>
          <t>Input 0–1</t>
        </is>
      </c>
      <c r="M38" t="inlineStr">
        <is>
          <t>LOW / MODERATE / HIGH</t>
        </is>
      </c>
      <c r="N38" t="inlineStr">
        <is>
          <t>Review if high score + weak evidence or contradiction</t>
        </is>
      </c>
    </row>
    <row r="39">
      <c r="A39" t="n">
        <v>39</v>
      </c>
      <c r="B39" t="inlineStr">
        <is>
          <t>D03</t>
        </is>
      </c>
      <c r="C39" t="inlineStr">
        <is>
          <t>I14</t>
        </is>
      </c>
      <c r="D39">
        <f>'P0-3_Scorecard'!H39</f>
        <v/>
      </c>
      <c r="E39" t="inlineStr">
        <is>
          <t>Input 0–1</t>
        </is>
      </c>
      <c r="F39" t="inlineStr">
        <is>
          <t>Input 0–1</t>
        </is>
      </c>
      <c r="G39" t="inlineStr">
        <is>
          <t>Input 0–1</t>
        </is>
      </c>
      <c r="H39" t="inlineStr">
        <is>
          <t>Input 0–1</t>
        </is>
      </c>
      <c r="I39" t="inlineStr">
        <is>
          <t>Input 0–1</t>
        </is>
      </c>
      <c r="J39" t="inlineStr">
        <is>
          <t>Input 0–1</t>
        </is>
      </c>
      <c r="K39" t="inlineStr">
        <is>
          <t>Input 0–1</t>
        </is>
      </c>
      <c r="L39" t="inlineStr">
        <is>
          <t>Input 0–1</t>
        </is>
      </c>
      <c r="M39" t="inlineStr">
        <is>
          <t>LOW / MODERATE / HIGH</t>
        </is>
      </c>
      <c r="N39" t="inlineStr">
        <is>
          <t>Review if high score + weak evidence or contradiction</t>
        </is>
      </c>
    </row>
    <row r="40">
      <c r="A40" t="n">
        <v>40</v>
      </c>
      <c r="B40" t="inlineStr">
        <is>
          <t>D03</t>
        </is>
      </c>
      <c r="C40" t="inlineStr">
        <is>
          <t>I15</t>
        </is>
      </c>
      <c r="D40">
        <f>'P0-3_Scorecard'!H40</f>
        <v/>
      </c>
      <c r="E40" t="inlineStr">
        <is>
          <t>Input 0–1</t>
        </is>
      </c>
      <c r="F40" t="inlineStr">
        <is>
          <t>Input 0–1</t>
        </is>
      </c>
      <c r="G40" t="inlineStr">
        <is>
          <t>Input 0–1</t>
        </is>
      </c>
      <c r="H40" t="inlineStr">
        <is>
          <t>Input 0–1</t>
        </is>
      </c>
      <c r="I40" t="inlineStr">
        <is>
          <t>Input 0–1</t>
        </is>
      </c>
      <c r="J40" t="inlineStr">
        <is>
          <t>Input 0–1</t>
        </is>
      </c>
      <c r="K40" t="inlineStr">
        <is>
          <t>Input 0–1</t>
        </is>
      </c>
      <c r="L40" t="inlineStr">
        <is>
          <t>Input 0–1</t>
        </is>
      </c>
      <c r="M40" t="inlineStr">
        <is>
          <t>LOW / MODERATE / HIGH</t>
        </is>
      </c>
      <c r="N40" t="inlineStr">
        <is>
          <t>Review if high score + weak evidence or contradiction</t>
        </is>
      </c>
    </row>
    <row r="41">
      <c r="A41" t="n">
        <v>41</v>
      </c>
      <c r="B41" t="inlineStr">
        <is>
          <t>D03</t>
        </is>
      </c>
      <c r="C41" t="inlineStr">
        <is>
          <t>I16</t>
        </is>
      </c>
      <c r="D41">
        <f>'P0-3_Scorecard'!H41</f>
        <v/>
      </c>
      <c r="E41" t="inlineStr">
        <is>
          <t>Input 0–1</t>
        </is>
      </c>
      <c r="F41" t="inlineStr">
        <is>
          <t>Input 0–1</t>
        </is>
      </c>
      <c r="G41" t="inlineStr">
        <is>
          <t>Input 0–1</t>
        </is>
      </c>
      <c r="H41" t="inlineStr">
        <is>
          <t>Input 0–1</t>
        </is>
      </c>
      <c r="I41" t="inlineStr">
        <is>
          <t>Input 0–1</t>
        </is>
      </c>
      <c r="J41" t="inlineStr">
        <is>
          <t>Input 0–1</t>
        </is>
      </c>
      <c r="K41" t="inlineStr">
        <is>
          <t>Input 0–1</t>
        </is>
      </c>
      <c r="L41" t="inlineStr">
        <is>
          <t>Input 0–1</t>
        </is>
      </c>
      <c r="M41" t="inlineStr">
        <is>
          <t>LOW / MODERATE / HIGH</t>
        </is>
      </c>
      <c r="N41" t="inlineStr">
        <is>
          <t>Review if high score + weak evidence or contradiction</t>
        </is>
      </c>
    </row>
    <row r="42">
      <c r="A42" t="n">
        <v>42</v>
      </c>
      <c r="B42" t="inlineStr">
        <is>
          <t>D03</t>
        </is>
      </c>
      <c r="C42" t="inlineStr">
        <is>
          <t>I17</t>
        </is>
      </c>
      <c r="D42">
        <f>'P0-3_Scorecard'!H42</f>
        <v/>
      </c>
      <c r="E42" t="inlineStr">
        <is>
          <t>Input 0–1</t>
        </is>
      </c>
      <c r="F42" t="inlineStr">
        <is>
          <t>Input 0–1</t>
        </is>
      </c>
      <c r="G42" t="inlineStr">
        <is>
          <t>Input 0–1</t>
        </is>
      </c>
      <c r="H42" t="inlineStr">
        <is>
          <t>Input 0–1</t>
        </is>
      </c>
      <c r="I42" t="inlineStr">
        <is>
          <t>Input 0–1</t>
        </is>
      </c>
      <c r="J42" t="inlineStr">
        <is>
          <t>Input 0–1</t>
        </is>
      </c>
      <c r="K42" t="inlineStr">
        <is>
          <t>Input 0–1</t>
        </is>
      </c>
      <c r="L42" t="inlineStr">
        <is>
          <t>Input 0–1</t>
        </is>
      </c>
      <c r="M42" t="inlineStr">
        <is>
          <t>LOW / MODERATE / HIGH</t>
        </is>
      </c>
      <c r="N42" t="inlineStr">
        <is>
          <t>Review if high score + weak evidence or contradiction</t>
        </is>
      </c>
    </row>
    <row r="43">
      <c r="A43" t="n">
        <v>43</v>
      </c>
      <c r="B43" t="inlineStr">
        <is>
          <t>D04</t>
        </is>
      </c>
      <c r="C43" t="inlineStr">
        <is>
          <t>I01</t>
        </is>
      </c>
      <c r="D43">
        <f>'P0-3_Scorecard'!H43</f>
        <v/>
      </c>
      <c r="E43" t="inlineStr">
        <is>
          <t>Input 0–1</t>
        </is>
      </c>
      <c r="F43" t="inlineStr">
        <is>
          <t>Input 0–1</t>
        </is>
      </c>
      <c r="G43" t="inlineStr">
        <is>
          <t>Input 0–1</t>
        </is>
      </c>
      <c r="H43" t="inlineStr">
        <is>
          <t>Input 0–1</t>
        </is>
      </c>
      <c r="I43" t="inlineStr">
        <is>
          <t>Input 0–1</t>
        </is>
      </c>
      <c r="J43" t="inlineStr">
        <is>
          <t>Input 0–1</t>
        </is>
      </c>
      <c r="K43" t="inlineStr">
        <is>
          <t>Input 0–1</t>
        </is>
      </c>
      <c r="L43" t="inlineStr">
        <is>
          <t>Input 0–1</t>
        </is>
      </c>
      <c r="M43" t="inlineStr">
        <is>
          <t>LOW / MODERATE / HIGH</t>
        </is>
      </c>
      <c r="N43" t="inlineStr">
        <is>
          <t>Review if high score + weak evidence or contradiction</t>
        </is>
      </c>
    </row>
    <row r="44">
      <c r="A44" t="n">
        <v>44</v>
      </c>
      <c r="B44" t="inlineStr">
        <is>
          <t>D04</t>
        </is>
      </c>
      <c r="C44" t="inlineStr">
        <is>
          <t>I02</t>
        </is>
      </c>
      <c r="D44">
        <f>'P0-3_Scorecard'!H44</f>
        <v/>
      </c>
      <c r="E44" t="inlineStr">
        <is>
          <t>Input 0–1</t>
        </is>
      </c>
      <c r="F44" t="inlineStr">
        <is>
          <t>Input 0–1</t>
        </is>
      </c>
      <c r="G44" t="inlineStr">
        <is>
          <t>Input 0–1</t>
        </is>
      </c>
      <c r="H44" t="inlineStr">
        <is>
          <t>Input 0–1</t>
        </is>
      </c>
      <c r="I44" t="inlineStr">
        <is>
          <t>Input 0–1</t>
        </is>
      </c>
      <c r="J44" t="inlineStr">
        <is>
          <t>Input 0–1</t>
        </is>
      </c>
      <c r="K44" t="inlineStr">
        <is>
          <t>Input 0–1</t>
        </is>
      </c>
      <c r="L44" t="inlineStr">
        <is>
          <t>Input 0–1</t>
        </is>
      </c>
      <c r="M44" t="inlineStr">
        <is>
          <t>LOW / MODERATE / HIGH</t>
        </is>
      </c>
      <c r="N44" t="inlineStr">
        <is>
          <t>Review if high score + weak evidence or contradiction</t>
        </is>
      </c>
    </row>
    <row r="45">
      <c r="A45" t="n">
        <v>45</v>
      </c>
      <c r="B45" t="inlineStr">
        <is>
          <t>D04</t>
        </is>
      </c>
      <c r="C45" t="inlineStr">
        <is>
          <t>I03</t>
        </is>
      </c>
      <c r="D45">
        <f>'P0-3_Scorecard'!H45</f>
        <v/>
      </c>
      <c r="E45" t="inlineStr">
        <is>
          <t>Input 0–1</t>
        </is>
      </c>
      <c r="F45" t="inlineStr">
        <is>
          <t>Input 0–1</t>
        </is>
      </c>
      <c r="G45" t="inlineStr">
        <is>
          <t>Input 0–1</t>
        </is>
      </c>
      <c r="H45" t="inlineStr">
        <is>
          <t>Input 0–1</t>
        </is>
      </c>
      <c r="I45" t="inlineStr">
        <is>
          <t>Input 0–1</t>
        </is>
      </c>
      <c r="J45" t="inlineStr">
        <is>
          <t>Input 0–1</t>
        </is>
      </c>
      <c r="K45" t="inlineStr">
        <is>
          <t>Input 0–1</t>
        </is>
      </c>
      <c r="L45" t="inlineStr">
        <is>
          <t>Input 0–1</t>
        </is>
      </c>
      <c r="M45" t="inlineStr">
        <is>
          <t>LOW / MODERATE / HIGH</t>
        </is>
      </c>
      <c r="N45" t="inlineStr">
        <is>
          <t>Review if high score + weak evidence or contradiction</t>
        </is>
      </c>
    </row>
    <row r="46">
      <c r="A46" t="n">
        <v>46</v>
      </c>
      <c r="B46" t="inlineStr">
        <is>
          <t>D04</t>
        </is>
      </c>
      <c r="C46" t="inlineStr">
        <is>
          <t>I04</t>
        </is>
      </c>
      <c r="D46">
        <f>'P0-3_Scorecard'!H46</f>
        <v/>
      </c>
      <c r="E46" t="inlineStr">
        <is>
          <t>Input 0–1</t>
        </is>
      </c>
      <c r="F46" t="inlineStr">
        <is>
          <t>Input 0–1</t>
        </is>
      </c>
      <c r="G46" t="inlineStr">
        <is>
          <t>Input 0–1</t>
        </is>
      </c>
      <c r="H46" t="inlineStr">
        <is>
          <t>Input 0–1</t>
        </is>
      </c>
      <c r="I46" t="inlineStr">
        <is>
          <t>Input 0–1</t>
        </is>
      </c>
      <c r="J46" t="inlineStr">
        <is>
          <t>Input 0–1</t>
        </is>
      </c>
      <c r="K46" t="inlineStr">
        <is>
          <t>Input 0–1</t>
        </is>
      </c>
      <c r="L46" t="inlineStr">
        <is>
          <t>Input 0–1</t>
        </is>
      </c>
      <c r="M46" t="inlineStr">
        <is>
          <t>LOW / MODERATE / HIGH</t>
        </is>
      </c>
      <c r="N46" t="inlineStr">
        <is>
          <t>Review if high score + weak evidence or contradiction</t>
        </is>
      </c>
    </row>
    <row r="47">
      <c r="A47" t="n">
        <v>47</v>
      </c>
      <c r="B47" t="inlineStr">
        <is>
          <t>D04</t>
        </is>
      </c>
      <c r="C47" t="inlineStr">
        <is>
          <t>I05</t>
        </is>
      </c>
      <c r="D47">
        <f>'P0-3_Scorecard'!H47</f>
        <v/>
      </c>
      <c r="E47" t="inlineStr">
        <is>
          <t>Input 0–1</t>
        </is>
      </c>
      <c r="F47" t="inlineStr">
        <is>
          <t>Input 0–1</t>
        </is>
      </c>
      <c r="G47" t="inlineStr">
        <is>
          <t>Input 0–1</t>
        </is>
      </c>
      <c r="H47" t="inlineStr">
        <is>
          <t>Input 0–1</t>
        </is>
      </c>
      <c r="I47" t="inlineStr">
        <is>
          <t>Input 0–1</t>
        </is>
      </c>
      <c r="J47" t="inlineStr">
        <is>
          <t>Input 0–1</t>
        </is>
      </c>
      <c r="K47" t="inlineStr">
        <is>
          <t>Input 0–1</t>
        </is>
      </c>
      <c r="L47" t="inlineStr">
        <is>
          <t>Input 0–1</t>
        </is>
      </c>
      <c r="M47" t="inlineStr">
        <is>
          <t>LOW / MODERATE / HIGH</t>
        </is>
      </c>
      <c r="N47" t="inlineStr">
        <is>
          <t>Review if high score + weak evidence or contradiction</t>
        </is>
      </c>
    </row>
    <row r="48">
      <c r="A48" t="n">
        <v>48</v>
      </c>
      <c r="B48" t="inlineStr">
        <is>
          <t>D04</t>
        </is>
      </c>
      <c r="C48" t="inlineStr">
        <is>
          <t>I06</t>
        </is>
      </c>
      <c r="D48">
        <f>'P0-3_Scorecard'!H48</f>
        <v/>
      </c>
      <c r="E48" t="inlineStr">
        <is>
          <t>Input 0–1</t>
        </is>
      </c>
      <c r="F48" t="inlineStr">
        <is>
          <t>Input 0–1</t>
        </is>
      </c>
      <c r="G48" t="inlineStr">
        <is>
          <t>Input 0–1</t>
        </is>
      </c>
      <c r="H48" t="inlineStr">
        <is>
          <t>Input 0–1</t>
        </is>
      </c>
      <c r="I48" t="inlineStr">
        <is>
          <t>Input 0–1</t>
        </is>
      </c>
      <c r="J48" t="inlineStr">
        <is>
          <t>Input 0–1</t>
        </is>
      </c>
      <c r="K48" t="inlineStr">
        <is>
          <t>Input 0–1</t>
        </is>
      </c>
      <c r="L48" t="inlineStr">
        <is>
          <t>Input 0–1</t>
        </is>
      </c>
      <c r="M48" t="inlineStr">
        <is>
          <t>LOW / MODERATE / HIGH</t>
        </is>
      </c>
      <c r="N48" t="inlineStr">
        <is>
          <t>Review if high score + weak evidence or contradiction</t>
        </is>
      </c>
    </row>
    <row r="49">
      <c r="A49" t="n">
        <v>49</v>
      </c>
      <c r="B49" t="inlineStr">
        <is>
          <t>D04</t>
        </is>
      </c>
      <c r="C49" t="inlineStr">
        <is>
          <t>I07</t>
        </is>
      </c>
      <c r="D49">
        <f>'P0-3_Scorecard'!H49</f>
        <v/>
      </c>
      <c r="E49" t="inlineStr">
        <is>
          <t>Input 0–1</t>
        </is>
      </c>
      <c r="F49" t="inlineStr">
        <is>
          <t>Input 0–1</t>
        </is>
      </c>
      <c r="G49" t="inlineStr">
        <is>
          <t>Input 0–1</t>
        </is>
      </c>
      <c r="H49" t="inlineStr">
        <is>
          <t>Input 0–1</t>
        </is>
      </c>
      <c r="I49" t="inlineStr">
        <is>
          <t>Input 0–1</t>
        </is>
      </c>
      <c r="J49" t="inlineStr">
        <is>
          <t>Input 0–1</t>
        </is>
      </c>
      <c r="K49" t="inlineStr">
        <is>
          <t>Input 0–1</t>
        </is>
      </c>
      <c r="L49" t="inlineStr">
        <is>
          <t>Input 0–1</t>
        </is>
      </c>
      <c r="M49" t="inlineStr">
        <is>
          <t>LOW / MODERATE / HIGH</t>
        </is>
      </c>
      <c r="N49" t="inlineStr">
        <is>
          <t>Review if high score + weak evidence or contradiction</t>
        </is>
      </c>
    </row>
    <row r="50">
      <c r="A50" t="n">
        <v>50</v>
      </c>
      <c r="B50" t="inlineStr">
        <is>
          <t>D04</t>
        </is>
      </c>
      <c r="C50" t="inlineStr">
        <is>
          <t>I08</t>
        </is>
      </c>
      <c r="D50">
        <f>'P0-3_Scorecard'!H50</f>
        <v/>
      </c>
      <c r="E50" t="inlineStr">
        <is>
          <t>Input 0–1</t>
        </is>
      </c>
      <c r="F50" t="inlineStr">
        <is>
          <t>Input 0–1</t>
        </is>
      </c>
      <c r="G50" t="inlineStr">
        <is>
          <t>Input 0–1</t>
        </is>
      </c>
      <c r="H50" t="inlineStr">
        <is>
          <t>Input 0–1</t>
        </is>
      </c>
      <c r="I50" t="inlineStr">
        <is>
          <t>Input 0–1</t>
        </is>
      </c>
      <c r="J50" t="inlineStr">
        <is>
          <t>Input 0–1</t>
        </is>
      </c>
      <c r="K50" t="inlineStr">
        <is>
          <t>Input 0–1</t>
        </is>
      </c>
      <c r="L50" t="inlineStr">
        <is>
          <t>Input 0–1</t>
        </is>
      </c>
      <c r="M50" t="inlineStr">
        <is>
          <t>LOW / MODERATE / HIGH</t>
        </is>
      </c>
      <c r="N50" t="inlineStr">
        <is>
          <t>Review if high score + weak evidence or contradiction</t>
        </is>
      </c>
    </row>
    <row r="51">
      <c r="A51" t="n">
        <v>51</v>
      </c>
      <c r="B51" t="inlineStr">
        <is>
          <t>D04</t>
        </is>
      </c>
      <c r="C51" t="inlineStr">
        <is>
          <t>I09</t>
        </is>
      </c>
      <c r="D51">
        <f>'P0-3_Scorecard'!H51</f>
        <v/>
      </c>
      <c r="E51" t="inlineStr">
        <is>
          <t>Input 0–1</t>
        </is>
      </c>
      <c r="F51" t="inlineStr">
        <is>
          <t>Input 0–1</t>
        </is>
      </c>
      <c r="G51" t="inlineStr">
        <is>
          <t>Input 0–1</t>
        </is>
      </c>
      <c r="H51" t="inlineStr">
        <is>
          <t>Input 0–1</t>
        </is>
      </c>
      <c r="I51" t="inlineStr">
        <is>
          <t>Input 0–1</t>
        </is>
      </c>
      <c r="J51" t="inlineStr">
        <is>
          <t>Input 0–1</t>
        </is>
      </c>
      <c r="K51" t="inlineStr">
        <is>
          <t>Input 0–1</t>
        </is>
      </c>
      <c r="L51" t="inlineStr">
        <is>
          <t>Input 0–1</t>
        </is>
      </c>
      <c r="M51" t="inlineStr">
        <is>
          <t>LOW / MODERATE / HIGH</t>
        </is>
      </c>
      <c r="N51" t="inlineStr">
        <is>
          <t>Review if high score + weak evidence or contradiction</t>
        </is>
      </c>
    </row>
    <row r="52">
      <c r="A52" t="n">
        <v>52</v>
      </c>
      <c r="B52" t="inlineStr">
        <is>
          <t>D04</t>
        </is>
      </c>
      <c r="C52" t="inlineStr">
        <is>
          <t>I10</t>
        </is>
      </c>
      <c r="D52">
        <f>'P0-3_Scorecard'!H52</f>
        <v/>
      </c>
      <c r="E52" t="inlineStr">
        <is>
          <t>Input 0–1</t>
        </is>
      </c>
      <c r="F52" t="inlineStr">
        <is>
          <t>Input 0–1</t>
        </is>
      </c>
      <c r="G52" t="inlineStr">
        <is>
          <t>Input 0–1</t>
        </is>
      </c>
      <c r="H52" t="inlineStr">
        <is>
          <t>Input 0–1</t>
        </is>
      </c>
      <c r="I52" t="inlineStr">
        <is>
          <t>Input 0–1</t>
        </is>
      </c>
      <c r="J52" t="inlineStr">
        <is>
          <t>Input 0–1</t>
        </is>
      </c>
      <c r="K52" t="inlineStr">
        <is>
          <t>Input 0–1</t>
        </is>
      </c>
      <c r="L52" t="inlineStr">
        <is>
          <t>Input 0–1</t>
        </is>
      </c>
      <c r="M52" t="inlineStr">
        <is>
          <t>LOW / MODERATE / HIGH</t>
        </is>
      </c>
      <c r="N52" t="inlineStr">
        <is>
          <t>Review if high score + weak evidence or contradiction</t>
        </is>
      </c>
    </row>
    <row r="53">
      <c r="A53" t="n">
        <v>53</v>
      </c>
      <c r="B53" t="inlineStr">
        <is>
          <t>D04</t>
        </is>
      </c>
      <c r="C53" t="inlineStr">
        <is>
          <t>I11</t>
        </is>
      </c>
      <c r="D53">
        <f>'P0-3_Scorecard'!H53</f>
        <v/>
      </c>
      <c r="E53" t="inlineStr">
        <is>
          <t>Input 0–1</t>
        </is>
      </c>
      <c r="F53" t="inlineStr">
        <is>
          <t>Input 0–1</t>
        </is>
      </c>
      <c r="G53" t="inlineStr">
        <is>
          <t>Input 0–1</t>
        </is>
      </c>
      <c r="H53" t="inlineStr">
        <is>
          <t>Input 0–1</t>
        </is>
      </c>
      <c r="I53" t="inlineStr">
        <is>
          <t>Input 0–1</t>
        </is>
      </c>
      <c r="J53" t="inlineStr">
        <is>
          <t>Input 0–1</t>
        </is>
      </c>
      <c r="K53" t="inlineStr">
        <is>
          <t>Input 0–1</t>
        </is>
      </c>
      <c r="L53" t="inlineStr">
        <is>
          <t>Input 0–1</t>
        </is>
      </c>
      <c r="M53" t="inlineStr">
        <is>
          <t>LOW / MODERATE / HIGH</t>
        </is>
      </c>
      <c r="N53" t="inlineStr">
        <is>
          <t>Review if high score + weak evidence or contradiction</t>
        </is>
      </c>
    </row>
    <row r="54">
      <c r="A54" t="n">
        <v>54</v>
      </c>
      <c r="B54" t="inlineStr">
        <is>
          <t>D04</t>
        </is>
      </c>
      <c r="C54" t="inlineStr">
        <is>
          <t>I12</t>
        </is>
      </c>
      <c r="D54">
        <f>'P0-3_Scorecard'!H54</f>
        <v/>
      </c>
      <c r="E54" t="inlineStr">
        <is>
          <t>Input 0–1</t>
        </is>
      </c>
      <c r="F54" t="inlineStr">
        <is>
          <t>Input 0–1</t>
        </is>
      </c>
      <c r="G54" t="inlineStr">
        <is>
          <t>Input 0–1</t>
        </is>
      </c>
      <c r="H54" t="inlineStr">
        <is>
          <t>Input 0–1</t>
        </is>
      </c>
      <c r="I54" t="inlineStr">
        <is>
          <t>Input 0–1</t>
        </is>
      </c>
      <c r="J54" t="inlineStr">
        <is>
          <t>Input 0–1</t>
        </is>
      </c>
      <c r="K54" t="inlineStr">
        <is>
          <t>Input 0–1</t>
        </is>
      </c>
      <c r="L54" t="inlineStr">
        <is>
          <t>Input 0–1</t>
        </is>
      </c>
      <c r="M54" t="inlineStr">
        <is>
          <t>LOW / MODERATE / HIGH</t>
        </is>
      </c>
      <c r="N54" t="inlineStr">
        <is>
          <t>Review if high score + weak evidence or contradiction</t>
        </is>
      </c>
    </row>
    <row r="55">
      <c r="A55" t="n">
        <v>55</v>
      </c>
      <c r="B55" t="inlineStr">
        <is>
          <t>D05</t>
        </is>
      </c>
      <c r="C55" t="inlineStr">
        <is>
          <t>I01</t>
        </is>
      </c>
      <c r="D55">
        <f>'P0-3_Scorecard'!H55</f>
        <v/>
      </c>
      <c r="E55" t="inlineStr">
        <is>
          <t>Input 0–1</t>
        </is>
      </c>
      <c r="F55" t="inlineStr">
        <is>
          <t>Input 0–1</t>
        </is>
      </c>
      <c r="G55" t="inlineStr">
        <is>
          <t>Input 0–1</t>
        </is>
      </c>
      <c r="H55" t="inlineStr">
        <is>
          <t>Input 0–1</t>
        </is>
      </c>
      <c r="I55" t="inlineStr">
        <is>
          <t>Input 0–1</t>
        </is>
      </c>
      <c r="J55" t="inlineStr">
        <is>
          <t>Input 0–1</t>
        </is>
      </c>
      <c r="K55" t="inlineStr">
        <is>
          <t>Input 0–1</t>
        </is>
      </c>
      <c r="L55" t="inlineStr">
        <is>
          <t>Input 0–1</t>
        </is>
      </c>
      <c r="M55" t="inlineStr">
        <is>
          <t>LOW / MODERATE / HIGH</t>
        </is>
      </c>
      <c r="N55" t="inlineStr">
        <is>
          <t>Review if high score + weak evidence or contradiction</t>
        </is>
      </c>
    </row>
    <row r="56">
      <c r="A56" t="n">
        <v>56</v>
      </c>
      <c r="B56" t="inlineStr">
        <is>
          <t>D05</t>
        </is>
      </c>
      <c r="C56" t="inlineStr">
        <is>
          <t>I02</t>
        </is>
      </c>
      <c r="D56">
        <f>'P0-3_Scorecard'!H56</f>
        <v/>
      </c>
      <c r="E56" t="inlineStr">
        <is>
          <t>Input 0–1</t>
        </is>
      </c>
      <c r="F56" t="inlineStr">
        <is>
          <t>Input 0–1</t>
        </is>
      </c>
      <c r="G56" t="inlineStr">
        <is>
          <t>Input 0–1</t>
        </is>
      </c>
      <c r="H56" t="inlineStr">
        <is>
          <t>Input 0–1</t>
        </is>
      </c>
      <c r="I56" t="inlineStr">
        <is>
          <t>Input 0–1</t>
        </is>
      </c>
      <c r="J56" t="inlineStr">
        <is>
          <t>Input 0–1</t>
        </is>
      </c>
      <c r="K56" t="inlineStr">
        <is>
          <t>Input 0–1</t>
        </is>
      </c>
      <c r="L56" t="inlineStr">
        <is>
          <t>Input 0–1</t>
        </is>
      </c>
      <c r="M56" t="inlineStr">
        <is>
          <t>LOW / MODERATE / HIGH</t>
        </is>
      </c>
      <c r="N56" t="inlineStr">
        <is>
          <t>Review if high score + weak evidence or contradiction</t>
        </is>
      </c>
    </row>
    <row r="57">
      <c r="A57" t="n">
        <v>57</v>
      </c>
      <c r="B57" t="inlineStr">
        <is>
          <t>D05</t>
        </is>
      </c>
      <c r="C57" t="inlineStr">
        <is>
          <t>I03</t>
        </is>
      </c>
      <c r="D57">
        <f>'P0-3_Scorecard'!H57</f>
        <v/>
      </c>
      <c r="E57" t="inlineStr">
        <is>
          <t>Input 0–1</t>
        </is>
      </c>
      <c r="F57" t="inlineStr">
        <is>
          <t>Input 0–1</t>
        </is>
      </c>
      <c r="G57" t="inlineStr">
        <is>
          <t>Input 0–1</t>
        </is>
      </c>
      <c r="H57" t="inlineStr">
        <is>
          <t>Input 0–1</t>
        </is>
      </c>
      <c r="I57" t="inlineStr">
        <is>
          <t>Input 0–1</t>
        </is>
      </c>
      <c r="J57" t="inlineStr">
        <is>
          <t>Input 0–1</t>
        </is>
      </c>
      <c r="K57" t="inlineStr">
        <is>
          <t>Input 0–1</t>
        </is>
      </c>
      <c r="L57" t="inlineStr">
        <is>
          <t>Input 0–1</t>
        </is>
      </c>
      <c r="M57" t="inlineStr">
        <is>
          <t>LOW / MODERATE / HIGH</t>
        </is>
      </c>
      <c r="N57" t="inlineStr">
        <is>
          <t>Review if high score + weak evidence or contradiction</t>
        </is>
      </c>
    </row>
    <row r="58">
      <c r="A58" t="n">
        <v>58</v>
      </c>
      <c r="B58" t="inlineStr">
        <is>
          <t>D05</t>
        </is>
      </c>
      <c r="C58" t="inlineStr">
        <is>
          <t>I04</t>
        </is>
      </c>
      <c r="D58">
        <f>'P0-3_Scorecard'!H58</f>
        <v/>
      </c>
      <c r="E58" t="inlineStr">
        <is>
          <t>Input 0–1</t>
        </is>
      </c>
      <c r="F58" t="inlineStr">
        <is>
          <t>Input 0–1</t>
        </is>
      </c>
      <c r="G58" t="inlineStr">
        <is>
          <t>Input 0–1</t>
        </is>
      </c>
      <c r="H58" t="inlineStr">
        <is>
          <t>Input 0–1</t>
        </is>
      </c>
      <c r="I58" t="inlineStr">
        <is>
          <t>Input 0–1</t>
        </is>
      </c>
      <c r="J58" t="inlineStr">
        <is>
          <t>Input 0–1</t>
        </is>
      </c>
      <c r="K58" t="inlineStr">
        <is>
          <t>Input 0–1</t>
        </is>
      </c>
      <c r="L58" t="inlineStr">
        <is>
          <t>Input 0–1</t>
        </is>
      </c>
      <c r="M58" t="inlineStr">
        <is>
          <t>LOW / MODERATE / HIGH</t>
        </is>
      </c>
      <c r="N58" t="inlineStr">
        <is>
          <t>Review if high score + weak evidence or contradiction</t>
        </is>
      </c>
    </row>
    <row r="59">
      <c r="A59" t="n">
        <v>59</v>
      </c>
      <c r="B59" t="inlineStr">
        <is>
          <t>D05</t>
        </is>
      </c>
      <c r="C59" t="inlineStr">
        <is>
          <t>I05</t>
        </is>
      </c>
      <c r="D59">
        <f>'P0-3_Scorecard'!H59</f>
        <v/>
      </c>
      <c r="E59" t="inlineStr">
        <is>
          <t>Input 0–1</t>
        </is>
      </c>
      <c r="F59" t="inlineStr">
        <is>
          <t>Input 0–1</t>
        </is>
      </c>
      <c r="G59" t="inlineStr">
        <is>
          <t>Input 0–1</t>
        </is>
      </c>
      <c r="H59" t="inlineStr">
        <is>
          <t>Input 0–1</t>
        </is>
      </c>
      <c r="I59" t="inlineStr">
        <is>
          <t>Input 0–1</t>
        </is>
      </c>
      <c r="J59" t="inlineStr">
        <is>
          <t>Input 0–1</t>
        </is>
      </c>
      <c r="K59" t="inlineStr">
        <is>
          <t>Input 0–1</t>
        </is>
      </c>
      <c r="L59" t="inlineStr">
        <is>
          <t>Input 0–1</t>
        </is>
      </c>
      <c r="M59" t="inlineStr">
        <is>
          <t>LOW / MODERATE / HIGH</t>
        </is>
      </c>
      <c r="N59" t="inlineStr">
        <is>
          <t>Review if high score + weak evidence or contradiction</t>
        </is>
      </c>
    </row>
    <row r="60">
      <c r="A60" t="n">
        <v>60</v>
      </c>
      <c r="B60" t="inlineStr">
        <is>
          <t>D05</t>
        </is>
      </c>
      <c r="C60" t="inlineStr">
        <is>
          <t>I06</t>
        </is>
      </c>
      <c r="D60">
        <f>'P0-3_Scorecard'!H60</f>
        <v/>
      </c>
      <c r="E60" t="inlineStr">
        <is>
          <t>Input 0–1</t>
        </is>
      </c>
      <c r="F60" t="inlineStr">
        <is>
          <t>Input 0–1</t>
        </is>
      </c>
      <c r="G60" t="inlineStr">
        <is>
          <t>Input 0–1</t>
        </is>
      </c>
      <c r="H60" t="inlineStr">
        <is>
          <t>Input 0–1</t>
        </is>
      </c>
      <c r="I60" t="inlineStr">
        <is>
          <t>Input 0–1</t>
        </is>
      </c>
      <c r="J60" t="inlineStr">
        <is>
          <t>Input 0–1</t>
        </is>
      </c>
      <c r="K60" t="inlineStr">
        <is>
          <t>Input 0–1</t>
        </is>
      </c>
      <c r="L60" t="inlineStr">
        <is>
          <t>Input 0–1</t>
        </is>
      </c>
      <c r="M60" t="inlineStr">
        <is>
          <t>LOW / MODERATE / HIGH</t>
        </is>
      </c>
      <c r="N60" t="inlineStr">
        <is>
          <t>Review if high score + weak evidence or contradiction</t>
        </is>
      </c>
    </row>
    <row r="61">
      <c r="A61" t="n">
        <v>61</v>
      </c>
      <c r="B61" t="inlineStr">
        <is>
          <t>D05</t>
        </is>
      </c>
      <c r="C61" t="inlineStr">
        <is>
          <t>I07</t>
        </is>
      </c>
      <c r="D61">
        <f>'P0-3_Scorecard'!H61</f>
        <v/>
      </c>
      <c r="E61" t="inlineStr">
        <is>
          <t>Input 0–1</t>
        </is>
      </c>
      <c r="F61" t="inlineStr">
        <is>
          <t>Input 0–1</t>
        </is>
      </c>
      <c r="G61" t="inlineStr">
        <is>
          <t>Input 0–1</t>
        </is>
      </c>
      <c r="H61" t="inlineStr">
        <is>
          <t>Input 0–1</t>
        </is>
      </c>
      <c r="I61" t="inlineStr">
        <is>
          <t>Input 0–1</t>
        </is>
      </c>
      <c r="J61" t="inlineStr">
        <is>
          <t>Input 0–1</t>
        </is>
      </c>
      <c r="K61" t="inlineStr">
        <is>
          <t>Input 0–1</t>
        </is>
      </c>
      <c r="L61" t="inlineStr">
        <is>
          <t>Input 0–1</t>
        </is>
      </c>
      <c r="M61" t="inlineStr">
        <is>
          <t>LOW / MODERATE / HIGH</t>
        </is>
      </c>
      <c r="N61" t="inlineStr">
        <is>
          <t>Review if high score + weak evidence or contradiction</t>
        </is>
      </c>
    </row>
    <row r="62">
      <c r="A62" t="n">
        <v>62</v>
      </c>
      <c r="B62" t="inlineStr">
        <is>
          <t>D05</t>
        </is>
      </c>
      <c r="C62" t="inlineStr">
        <is>
          <t>I08</t>
        </is>
      </c>
      <c r="D62">
        <f>'P0-3_Scorecard'!H62</f>
        <v/>
      </c>
      <c r="E62" t="inlineStr">
        <is>
          <t>Input 0–1</t>
        </is>
      </c>
      <c r="F62" t="inlineStr">
        <is>
          <t>Input 0–1</t>
        </is>
      </c>
      <c r="G62" t="inlineStr">
        <is>
          <t>Input 0–1</t>
        </is>
      </c>
      <c r="H62" t="inlineStr">
        <is>
          <t>Input 0–1</t>
        </is>
      </c>
      <c r="I62" t="inlineStr">
        <is>
          <t>Input 0–1</t>
        </is>
      </c>
      <c r="J62" t="inlineStr">
        <is>
          <t>Input 0–1</t>
        </is>
      </c>
      <c r="K62" t="inlineStr">
        <is>
          <t>Input 0–1</t>
        </is>
      </c>
      <c r="L62" t="inlineStr">
        <is>
          <t>Input 0–1</t>
        </is>
      </c>
      <c r="M62" t="inlineStr">
        <is>
          <t>LOW / MODERATE / HIGH</t>
        </is>
      </c>
      <c r="N62" t="inlineStr">
        <is>
          <t>Review if high score + weak evidence or contradiction</t>
        </is>
      </c>
    </row>
    <row r="63">
      <c r="A63" t="n">
        <v>63</v>
      </c>
      <c r="B63" t="inlineStr">
        <is>
          <t>D05</t>
        </is>
      </c>
      <c r="C63" t="inlineStr">
        <is>
          <t>I09</t>
        </is>
      </c>
      <c r="D63">
        <f>'P0-3_Scorecard'!H63</f>
        <v/>
      </c>
      <c r="E63" t="inlineStr">
        <is>
          <t>Input 0–1</t>
        </is>
      </c>
      <c r="F63" t="inlineStr">
        <is>
          <t>Input 0–1</t>
        </is>
      </c>
      <c r="G63" t="inlineStr">
        <is>
          <t>Input 0–1</t>
        </is>
      </c>
      <c r="H63" t="inlineStr">
        <is>
          <t>Input 0–1</t>
        </is>
      </c>
      <c r="I63" t="inlineStr">
        <is>
          <t>Input 0–1</t>
        </is>
      </c>
      <c r="J63" t="inlineStr">
        <is>
          <t>Input 0–1</t>
        </is>
      </c>
      <c r="K63" t="inlineStr">
        <is>
          <t>Input 0–1</t>
        </is>
      </c>
      <c r="L63" t="inlineStr">
        <is>
          <t>Input 0–1</t>
        </is>
      </c>
      <c r="M63" t="inlineStr">
        <is>
          <t>LOW / MODERATE / HIGH</t>
        </is>
      </c>
      <c r="N63" t="inlineStr">
        <is>
          <t>Review if high score + weak evidence or contradiction</t>
        </is>
      </c>
    </row>
    <row r="64">
      <c r="A64" t="n">
        <v>64</v>
      </c>
      <c r="B64" t="inlineStr">
        <is>
          <t>D05</t>
        </is>
      </c>
      <c r="C64" t="inlineStr">
        <is>
          <t>I10</t>
        </is>
      </c>
      <c r="D64">
        <f>'P0-3_Scorecard'!H64</f>
        <v/>
      </c>
      <c r="E64" t="inlineStr">
        <is>
          <t>Input 0–1</t>
        </is>
      </c>
      <c r="F64" t="inlineStr">
        <is>
          <t>Input 0–1</t>
        </is>
      </c>
      <c r="G64" t="inlineStr">
        <is>
          <t>Input 0–1</t>
        </is>
      </c>
      <c r="H64" t="inlineStr">
        <is>
          <t>Input 0–1</t>
        </is>
      </c>
      <c r="I64" t="inlineStr">
        <is>
          <t>Input 0–1</t>
        </is>
      </c>
      <c r="J64" t="inlineStr">
        <is>
          <t>Input 0–1</t>
        </is>
      </c>
      <c r="K64" t="inlineStr">
        <is>
          <t>Input 0–1</t>
        </is>
      </c>
      <c r="L64" t="inlineStr">
        <is>
          <t>Input 0–1</t>
        </is>
      </c>
      <c r="M64" t="inlineStr">
        <is>
          <t>LOW / MODERATE / HIGH</t>
        </is>
      </c>
      <c r="N64" t="inlineStr">
        <is>
          <t>Review if high score + weak evidence or contradiction</t>
        </is>
      </c>
    </row>
    <row r="65">
      <c r="A65" t="n">
        <v>65</v>
      </c>
      <c r="B65" t="inlineStr">
        <is>
          <t>D05</t>
        </is>
      </c>
      <c r="C65" t="inlineStr">
        <is>
          <t>I11</t>
        </is>
      </c>
      <c r="D65">
        <f>'P0-3_Scorecard'!H65</f>
        <v/>
      </c>
      <c r="E65" t="inlineStr">
        <is>
          <t>Input 0–1</t>
        </is>
      </c>
      <c r="F65" t="inlineStr">
        <is>
          <t>Input 0–1</t>
        </is>
      </c>
      <c r="G65" t="inlineStr">
        <is>
          <t>Input 0–1</t>
        </is>
      </c>
      <c r="H65" t="inlineStr">
        <is>
          <t>Input 0–1</t>
        </is>
      </c>
      <c r="I65" t="inlineStr">
        <is>
          <t>Input 0–1</t>
        </is>
      </c>
      <c r="J65" t="inlineStr">
        <is>
          <t>Input 0–1</t>
        </is>
      </c>
      <c r="K65" t="inlineStr">
        <is>
          <t>Input 0–1</t>
        </is>
      </c>
      <c r="L65" t="inlineStr">
        <is>
          <t>Input 0–1</t>
        </is>
      </c>
      <c r="M65" t="inlineStr">
        <is>
          <t>LOW / MODERATE / HIGH</t>
        </is>
      </c>
      <c r="N65" t="inlineStr">
        <is>
          <t>Review if high score + weak evidence or contradiction</t>
        </is>
      </c>
    </row>
    <row r="66">
      <c r="A66" t="n">
        <v>66</v>
      </c>
      <c r="B66" t="inlineStr">
        <is>
          <t>D05</t>
        </is>
      </c>
      <c r="C66" t="inlineStr">
        <is>
          <t>I12</t>
        </is>
      </c>
      <c r="D66">
        <f>'P0-3_Scorecard'!H66</f>
        <v/>
      </c>
      <c r="E66" t="inlineStr">
        <is>
          <t>Input 0–1</t>
        </is>
      </c>
      <c r="F66" t="inlineStr">
        <is>
          <t>Input 0–1</t>
        </is>
      </c>
      <c r="G66" t="inlineStr">
        <is>
          <t>Input 0–1</t>
        </is>
      </c>
      <c r="H66" t="inlineStr">
        <is>
          <t>Input 0–1</t>
        </is>
      </c>
      <c r="I66" t="inlineStr">
        <is>
          <t>Input 0–1</t>
        </is>
      </c>
      <c r="J66" t="inlineStr">
        <is>
          <t>Input 0–1</t>
        </is>
      </c>
      <c r="K66" t="inlineStr">
        <is>
          <t>Input 0–1</t>
        </is>
      </c>
      <c r="L66" t="inlineStr">
        <is>
          <t>Input 0–1</t>
        </is>
      </c>
      <c r="M66" t="inlineStr">
        <is>
          <t>LOW / MODERATE / HIGH</t>
        </is>
      </c>
      <c r="N66" t="inlineStr">
        <is>
          <t>Review if high score + weak evidence or contradiction</t>
        </is>
      </c>
    </row>
    <row r="67">
      <c r="A67" t="n">
        <v>67</v>
      </c>
      <c r="B67" t="inlineStr">
        <is>
          <t>D06</t>
        </is>
      </c>
      <c r="C67" t="inlineStr">
        <is>
          <t>I01</t>
        </is>
      </c>
      <c r="D67">
        <f>'P0-3_Scorecard'!H67</f>
        <v/>
      </c>
      <c r="E67" t="inlineStr">
        <is>
          <t>Input 0–1</t>
        </is>
      </c>
      <c r="F67" t="inlineStr">
        <is>
          <t>Input 0–1</t>
        </is>
      </c>
      <c r="G67" t="inlineStr">
        <is>
          <t>Input 0–1</t>
        </is>
      </c>
      <c r="H67" t="inlineStr">
        <is>
          <t>Input 0–1</t>
        </is>
      </c>
      <c r="I67" t="inlineStr">
        <is>
          <t>Input 0–1</t>
        </is>
      </c>
      <c r="J67" t="inlineStr">
        <is>
          <t>Input 0–1</t>
        </is>
      </c>
      <c r="K67" t="inlineStr">
        <is>
          <t>Input 0–1</t>
        </is>
      </c>
      <c r="L67" t="inlineStr">
        <is>
          <t>Input 0–1</t>
        </is>
      </c>
      <c r="M67" t="inlineStr">
        <is>
          <t>LOW / MODERATE / HIGH</t>
        </is>
      </c>
      <c r="N67" t="inlineStr">
        <is>
          <t>Review if high score + weak evidence or contradiction</t>
        </is>
      </c>
    </row>
    <row r="68">
      <c r="A68" t="n">
        <v>68</v>
      </c>
      <c r="B68" t="inlineStr">
        <is>
          <t>D06</t>
        </is>
      </c>
      <c r="C68" t="inlineStr">
        <is>
          <t>I02</t>
        </is>
      </c>
      <c r="D68">
        <f>'P0-3_Scorecard'!H68</f>
        <v/>
      </c>
      <c r="E68" t="inlineStr">
        <is>
          <t>Input 0–1</t>
        </is>
      </c>
      <c r="F68" t="inlineStr">
        <is>
          <t>Input 0–1</t>
        </is>
      </c>
      <c r="G68" t="inlineStr">
        <is>
          <t>Input 0–1</t>
        </is>
      </c>
      <c r="H68" t="inlineStr">
        <is>
          <t>Input 0–1</t>
        </is>
      </c>
      <c r="I68" t="inlineStr">
        <is>
          <t>Input 0–1</t>
        </is>
      </c>
      <c r="J68" t="inlineStr">
        <is>
          <t>Input 0–1</t>
        </is>
      </c>
      <c r="K68" t="inlineStr">
        <is>
          <t>Input 0–1</t>
        </is>
      </c>
      <c r="L68" t="inlineStr">
        <is>
          <t>Input 0–1</t>
        </is>
      </c>
      <c r="M68" t="inlineStr">
        <is>
          <t>LOW / MODERATE / HIGH</t>
        </is>
      </c>
      <c r="N68" t="inlineStr">
        <is>
          <t>Review if high score + weak evidence or contradiction</t>
        </is>
      </c>
    </row>
    <row r="69">
      <c r="A69" t="n">
        <v>69</v>
      </c>
      <c r="B69" t="inlineStr">
        <is>
          <t>D06</t>
        </is>
      </c>
      <c r="C69" t="inlineStr">
        <is>
          <t>I03</t>
        </is>
      </c>
      <c r="D69">
        <f>'P0-3_Scorecard'!H69</f>
        <v/>
      </c>
      <c r="E69" t="inlineStr">
        <is>
          <t>Input 0–1</t>
        </is>
      </c>
      <c r="F69" t="inlineStr">
        <is>
          <t>Input 0–1</t>
        </is>
      </c>
      <c r="G69" t="inlineStr">
        <is>
          <t>Input 0–1</t>
        </is>
      </c>
      <c r="H69" t="inlineStr">
        <is>
          <t>Input 0–1</t>
        </is>
      </c>
      <c r="I69" t="inlineStr">
        <is>
          <t>Input 0–1</t>
        </is>
      </c>
      <c r="J69" t="inlineStr">
        <is>
          <t>Input 0–1</t>
        </is>
      </c>
      <c r="K69" t="inlineStr">
        <is>
          <t>Input 0–1</t>
        </is>
      </c>
      <c r="L69" t="inlineStr">
        <is>
          <t>Input 0–1</t>
        </is>
      </c>
      <c r="M69" t="inlineStr">
        <is>
          <t>LOW / MODERATE / HIGH</t>
        </is>
      </c>
      <c r="N69" t="inlineStr">
        <is>
          <t>Review if high score + weak evidence or contradiction</t>
        </is>
      </c>
    </row>
    <row r="70">
      <c r="A70" t="n">
        <v>70</v>
      </c>
      <c r="B70" t="inlineStr">
        <is>
          <t>D06</t>
        </is>
      </c>
      <c r="C70" t="inlineStr">
        <is>
          <t>I04</t>
        </is>
      </c>
      <c r="D70">
        <f>'P0-3_Scorecard'!H70</f>
        <v/>
      </c>
      <c r="E70" t="inlineStr">
        <is>
          <t>Input 0–1</t>
        </is>
      </c>
      <c r="F70" t="inlineStr">
        <is>
          <t>Input 0–1</t>
        </is>
      </c>
      <c r="G70" t="inlineStr">
        <is>
          <t>Input 0–1</t>
        </is>
      </c>
      <c r="H70" t="inlineStr">
        <is>
          <t>Input 0–1</t>
        </is>
      </c>
      <c r="I70" t="inlineStr">
        <is>
          <t>Input 0–1</t>
        </is>
      </c>
      <c r="J70" t="inlineStr">
        <is>
          <t>Input 0–1</t>
        </is>
      </c>
      <c r="K70" t="inlineStr">
        <is>
          <t>Input 0–1</t>
        </is>
      </c>
      <c r="L70" t="inlineStr">
        <is>
          <t>Input 0–1</t>
        </is>
      </c>
      <c r="M70" t="inlineStr">
        <is>
          <t>LOW / MODERATE / HIGH</t>
        </is>
      </c>
      <c r="N70" t="inlineStr">
        <is>
          <t>Review if high score + weak evidence or contradiction</t>
        </is>
      </c>
    </row>
    <row r="71">
      <c r="A71" t="n">
        <v>71</v>
      </c>
      <c r="B71" t="inlineStr">
        <is>
          <t>D06</t>
        </is>
      </c>
      <c r="C71" t="inlineStr">
        <is>
          <t>I05</t>
        </is>
      </c>
      <c r="D71">
        <f>'P0-3_Scorecard'!H71</f>
        <v/>
      </c>
      <c r="E71" t="inlineStr">
        <is>
          <t>Input 0–1</t>
        </is>
      </c>
      <c r="F71" t="inlineStr">
        <is>
          <t>Input 0–1</t>
        </is>
      </c>
      <c r="G71" t="inlineStr">
        <is>
          <t>Input 0–1</t>
        </is>
      </c>
      <c r="H71" t="inlineStr">
        <is>
          <t>Input 0–1</t>
        </is>
      </c>
      <c r="I71" t="inlineStr">
        <is>
          <t>Input 0–1</t>
        </is>
      </c>
      <c r="J71" t="inlineStr">
        <is>
          <t>Input 0–1</t>
        </is>
      </c>
      <c r="K71" t="inlineStr">
        <is>
          <t>Input 0–1</t>
        </is>
      </c>
      <c r="L71" t="inlineStr">
        <is>
          <t>Input 0–1</t>
        </is>
      </c>
      <c r="M71" t="inlineStr">
        <is>
          <t>LOW / MODERATE / HIGH</t>
        </is>
      </c>
      <c r="N71" t="inlineStr">
        <is>
          <t>Review if high score + weak evidence or contradiction</t>
        </is>
      </c>
    </row>
    <row r="72">
      <c r="A72" t="n">
        <v>72</v>
      </c>
      <c r="B72" t="inlineStr">
        <is>
          <t>D06</t>
        </is>
      </c>
      <c r="C72" t="inlineStr">
        <is>
          <t>I06</t>
        </is>
      </c>
      <c r="D72">
        <f>'P0-3_Scorecard'!H72</f>
        <v/>
      </c>
      <c r="E72" t="inlineStr">
        <is>
          <t>Input 0–1</t>
        </is>
      </c>
      <c r="F72" t="inlineStr">
        <is>
          <t>Input 0–1</t>
        </is>
      </c>
      <c r="G72" t="inlineStr">
        <is>
          <t>Input 0–1</t>
        </is>
      </c>
      <c r="H72" t="inlineStr">
        <is>
          <t>Input 0–1</t>
        </is>
      </c>
      <c r="I72" t="inlineStr">
        <is>
          <t>Input 0–1</t>
        </is>
      </c>
      <c r="J72" t="inlineStr">
        <is>
          <t>Input 0–1</t>
        </is>
      </c>
      <c r="K72" t="inlineStr">
        <is>
          <t>Input 0–1</t>
        </is>
      </c>
      <c r="L72" t="inlineStr">
        <is>
          <t>Input 0–1</t>
        </is>
      </c>
      <c r="M72" t="inlineStr">
        <is>
          <t>LOW / MODERATE / HIGH</t>
        </is>
      </c>
      <c r="N72" t="inlineStr">
        <is>
          <t>Review if high score + weak evidence or contradiction</t>
        </is>
      </c>
    </row>
    <row r="73">
      <c r="A73" t="n">
        <v>73</v>
      </c>
      <c r="B73" t="inlineStr">
        <is>
          <t>D06</t>
        </is>
      </c>
      <c r="C73" t="inlineStr">
        <is>
          <t>I07</t>
        </is>
      </c>
      <c r="D73">
        <f>'P0-3_Scorecard'!H73</f>
        <v/>
      </c>
      <c r="E73" t="inlineStr">
        <is>
          <t>Input 0–1</t>
        </is>
      </c>
      <c r="F73" t="inlineStr">
        <is>
          <t>Input 0–1</t>
        </is>
      </c>
      <c r="G73" t="inlineStr">
        <is>
          <t>Input 0–1</t>
        </is>
      </c>
      <c r="H73" t="inlineStr">
        <is>
          <t>Input 0–1</t>
        </is>
      </c>
      <c r="I73" t="inlineStr">
        <is>
          <t>Input 0–1</t>
        </is>
      </c>
      <c r="J73" t="inlineStr">
        <is>
          <t>Input 0–1</t>
        </is>
      </c>
      <c r="K73" t="inlineStr">
        <is>
          <t>Input 0–1</t>
        </is>
      </c>
      <c r="L73" t="inlineStr">
        <is>
          <t>Input 0–1</t>
        </is>
      </c>
      <c r="M73" t="inlineStr">
        <is>
          <t>LOW / MODERATE / HIGH</t>
        </is>
      </c>
      <c r="N73" t="inlineStr">
        <is>
          <t>Review if high score + weak evidence or contradiction</t>
        </is>
      </c>
    </row>
    <row r="74">
      <c r="A74" t="n">
        <v>74</v>
      </c>
      <c r="B74" t="inlineStr">
        <is>
          <t>D06</t>
        </is>
      </c>
      <c r="C74" t="inlineStr">
        <is>
          <t>I08</t>
        </is>
      </c>
      <c r="D74">
        <f>'P0-3_Scorecard'!H74</f>
        <v/>
      </c>
      <c r="E74" t="inlineStr">
        <is>
          <t>Input 0–1</t>
        </is>
      </c>
      <c r="F74" t="inlineStr">
        <is>
          <t>Input 0–1</t>
        </is>
      </c>
      <c r="G74" t="inlineStr">
        <is>
          <t>Input 0–1</t>
        </is>
      </c>
      <c r="H74" t="inlineStr">
        <is>
          <t>Input 0–1</t>
        </is>
      </c>
      <c r="I74" t="inlineStr">
        <is>
          <t>Input 0–1</t>
        </is>
      </c>
      <c r="J74" t="inlineStr">
        <is>
          <t>Input 0–1</t>
        </is>
      </c>
      <c r="K74" t="inlineStr">
        <is>
          <t>Input 0–1</t>
        </is>
      </c>
      <c r="L74" t="inlineStr">
        <is>
          <t>Input 0–1</t>
        </is>
      </c>
      <c r="M74" t="inlineStr">
        <is>
          <t>LOW / MODERATE / HIGH</t>
        </is>
      </c>
      <c r="N74" t="inlineStr">
        <is>
          <t>Review if high score + weak evidence or contradiction</t>
        </is>
      </c>
    </row>
    <row r="75">
      <c r="A75" t="n">
        <v>75</v>
      </c>
      <c r="B75" t="inlineStr">
        <is>
          <t>D06</t>
        </is>
      </c>
      <c r="C75" t="inlineStr">
        <is>
          <t>I09</t>
        </is>
      </c>
      <c r="D75">
        <f>'P0-3_Scorecard'!H75</f>
        <v/>
      </c>
      <c r="E75" t="inlineStr">
        <is>
          <t>Input 0–1</t>
        </is>
      </c>
      <c r="F75" t="inlineStr">
        <is>
          <t>Input 0–1</t>
        </is>
      </c>
      <c r="G75" t="inlineStr">
        <is>
          <t>Input 0–1</t>
        </is>
      </c>
      <c r="H75" t="inlineStr">
        <is>
          <t>Input 0–1</t>
        </is>
      </c>
      <c r="I75" t="inlineStr">
        <is>
          <t>Input 0–1</t>
        </is>
      </c>
      <c r="J75" t="inlineStr">
        <is>
          <t>Input 0–1</t>
        </is>
      </c>
      <c r="K75" t="inlineStr">
        <is>
          <t>Input 0–1</t>
        </is>
      </c>
      <c r="L75" t="inlineStr">
        <is>
          <t>Input 0–1</t>
        </is>
      </c>
      <c r="M75" t="inlineStr">
        <is>
          <t>LOW / MODERATE / HIGH</t>
        </is>
      </c>
      <c r="N75" t="inlineStr">
        <is>
          <t>Review if high score + weak evidence or contradiction</t>
        </is>
      </c>
    </row>
    <row r="76">
      <c r="A76" t="n">
        <v>76</v>
      </c>
      <c r="B76" t="inlineStr">
        <is>
          <t>D06</t>
        </is>
      </c>
      <c r="C76" t="inlineStr">
        <is>
          <t>I10</t>
        </is>
      </c>
      <c r="D76">
        <f>'P0-3_Scorecard'!H76</f>
        <v/>
      </c>
      <c r="E76" t="inlineStr">
        <is>
          <t>Input 0–1</t>
        </is>
      </c>
      <c r="F76" t="inlineStr">
        <is>
          <t>Input 0–1</t>
        </is>
      </c>
      <c r="G76" t="inlineStr">
        <is>
          <t>Input 0–1</t>
        </is>
      </c>
      <c r="H76" t="inlineStr">
        <is>
          <t>Input 0–1</t>
        </is>
      </c>
      <c r="I76" t="inlineStr">
        <is>
          <t>Input 0–1</t>
        </is>
      </c>
      <c r="J76" t="inlineStr">
        <is>
          <t>Input 0–1</t>
        </is>
      </c>
      <c r="K76" t="inlineStr">
        <is>
          <t>Input 0–1</t>
        </is>
      </c>
      <c r="L76" t="inlineStr">
        <is>
          <t>Input 0–1</t>
        </is>
      </c>
      <c r="M76" t="inlineStr">
        <is>
          <t>LOW / MODERATE / HIGH</t>
        </is>
      </c>
      <c r="N76" t="inlineStr">
        <is>
          <t>Review if high score + weak evidence or contradiction</t>
        </is>
      </c>
    </row>
    <row r="77">
      <c r="A77" t="n">
        <v>77</v>
      </c>
      <c r="B77" t="inlineStr">
        <is>
          <t>D06</t>
        </is>
      </c>
      <c r="C77" t="inlineStr">
        <is>
          <t>I11</t>
        </is>
      </c>
      <c r="D77">
        <f>'P0-3_Scorecard'!H77</f>
        <v/>
      </c>
      <c r="E77" t="inlineStr">
        <is>
          <t>Input 0–1</t>
        </is>
      </c>
      <c r="F77" t="inlineStr">
        <is>
          <t>Input 0–1</t>
        </is>
      </c>
      <c r="G77" t="inlineStr">
        <is>
          <t>Input 0–1</t>
        </is>
      </c>
      <c r="H77" t="inlineStr">
        <is>
          <t>Input 0–1</t>
        </is>
      </c>
      <c r="I77" t="inlineStr">
        <is>
          <t>Input 0–1</t>
        </is>
      </c>
      <c r="J77" t="inlineStr">
        <is>
          <t>Input 0–1</t>
        </is>
      </c>
      <c r="K77" t="inlineStr">
        <is>
          <t>Input 0–1</t>
        </is>
      </c>
      <c r="L77" t="inlineStr">
        <is>
          <t>Input 0–1</t>
        </is>
      </c>
      <c r="M77" t="inlineStr">
        <is>
          <t>LOW / MODERATE / HIGH</t>
        </is>
      </c>
      <c r="N77" t="inlineStr">
        <is>
          <t>Review if high score + weak evidence or contradiction</t>
        </is>
      </c>
    </row>
    <row r="78">
      <c r="A78" t="n">
        <v>78</v>
      </c>
      <c r="B78" t="inlineStr">
        <is>
          <t>D06</t>
        </is>
      </c>
      <c r="C78" t="inlineStr">
        <is>
          <t>I12</t>
        </is>
      </c>
      <c r="D78">
        <f>'P0-3_Scorecard'!H78</f>
        <v/>
      </c>
      <c r="E78" t="inlineStr">
        <is>
          <t>Input 0–1</t>
        </is>
      </c>
      <c r="F78" t="inlineStr">
        <is>
          <t>Input 0–1</t>
        </is>
      </c>
      <c r="G78" t="inlineStr">
        <is>
          <t>Input 0–1</t>
        </is>
      </c>
      <c r="H78" t="inlineStr">
        <is>
          <t>Input 0–1</t>
        </is>
      </c>
      <c r="I78" t="inlineStr">
        <is>
          <t>Input 0–1</t>
        </is>
      </c>
      <c r="J78" t="inlineStr">
        <is>
          <t>Input 0–1</t>
        </is>
      </c>
      <c r="K78" t="inlineStr">
        <is>
          <t>Input 0–1</t>
        </is>
      </c>
      <c r="L78" t="inlineStr">
        <is>
          <t>Input 0–1</t>
        </is>
      </c>
      <c r="M78" t="inlineStr">
        <is>
          <t>LOW / MODERATE / HIGH</t>
        </is>
      </c>
      <c r="N78" t="inlineStr">
        <is>
          <t>Review if high score + weak evidence or contradiction</t>
        </is>
      </c>
    </row>
    <row r="79">
      <c r="A79" t="n">
        <v>79</v>
      </c>
      <c r="B79" t="inlineStr">
        <is>
          <t>D06</t>
        </is>
      </c>
      <c r="C79" t="inlineStr">
        <is>
          <t>I13</t>
        </is>
      </c>
      <c r="D79">
        <f>'P0-3_Scorecard'!H79</f>
        <v/>
      </c>
      <c r="E79" t="inlineStr">
        <is>
          <t>Input 0–1</t>
        </is>
      </c>
      <c r="F79" t="inlineStr">
        <is>
          <t>Input 0–1</t>
        </is>
      </c>
      <c r="G79" t="inlineStr">
        <is>
          <t>Input 0–1</t>
        </is>
      </c>
      <c r="H79" t="inlineStr">
        <is>
          <t>Input 0–1</t>
        </is>
      </c>
      <c r="I79" t="inlineStr">
        <is>
          <t>Input 0–1</t>
        </is>
      </c>
      <c r="J79" t="inlineStr">
        <is>
          <t>Input 0–1</t>
        </is>
      </c>
      <c r="K79" t="inlineStr">
        <is>
          <t>Input 0–1</t>
        </is>
      </c>
      <c r="L79" t="inlineStr">
        <is>
          <t>Input 0–1</t>
        </is>
      </c>
      <c r="M79" t="inlineStr">
        <is>
          <t>LOW / MODERATE / HIGH</t>
        </is>
      </c>
      <c r="N79" t="inlineStr">
        <is>
          <t>Review if high score + weak evidence or contradiction</t>
        </is>
      </c>
    </row>
    <row r="80">
      <c r="A80" t="n">
        <v>80</v>
      </c>
      <c r="B80" t="inlineStr">
        <is>
          <t>D06</t>
        </is>
      </c>
      <c r="C80" t="inlineStr">
        <is>
          <t>I14</t>
        </is>
      </c>
      <c r="D80">
        <f>'P0-3_Scorecard'!H80</f>
        <v/>
      </c>
      <c r="E80" t="inlineStr">
        <is>
          <t>Input 0–1</t>
        </is>
      </c>
      <c r="F80" t="inlineStr">
        <is>
          <t>Input 0–1</t>
        </is>
      </c>
      <c r="G80" t="inlineStr">
        <is>
          <t>Input 0–1</t>
        </is>
      </c>
      <c r="H80" t="inlineStr">
        <is>
          <t>Input 0–1</t>
        </is>
      </c>
      <c r="I80" t="inlineStr">
        <is>
          <t>Input 0–1</t>
        </is>
      </c>
      <c r="J80" t="inlineStr">
        <is>
          <t>Input 0–1</t>
        </is>
      </c>
      <c r="K80" t="inlineStr">
        <is>
          <t>Input 0–1</t>
        </is>
      </c>
      <c r="L80" t="inlineStr">
        <is>
          <t>Input 0–1</t>
        </is>
      </c>
      <c r="M80" t="inlineStr">
        <is>
          <t>LOW / MODERATE / HIGH</t>
        </is>
      </c>
      <c r="N80" t="inlineStr">
        <is>
          <t>Review if high score + weak evidence or contradiction</t>
        </is>
      </c>
    </row>
    <row r="81">
      <c r="A81" t="n">
        <v>81</v>
      </c>
      <c r="B81" t="inlineStr">
        <is>
          <t>D07</t>
        </is>
      </c>
      <c r="C81" t="inlineStr">
        <is>
          <t>I01</t>
        </is>
      </c>
      <c r="D81">
        <f>'P0-3_Scorecard'!H81</f>
        <v/>
      </c>
      <c r="E81" t="inlineStr">
        <is>
          <t>Input 0–1</t>
        </is>
      </c>
      <c r="F81" t="inlineStr">
        <is>
          <t>Input 0–1</t>
        </is>
      </c>
      <c r="G81" t="inlineStr">
        <is>
          <t>Input 0–1</t>
        </is>
      </c>
      <c r="H81" t="inlineStr">
        <is>
          <t>Input 0–1</t>
        </is>
      </c>
      <c r="I81" t="inlineStr">
        <is>
          <t>Input 0–1</t>
        </is>
      </c>
      <c r="J81" t="inlineStr">
        <is>
          <t>Input 0–1</t>
        </is>
      </c>
      <c r="K81" t="inlineStr">
        <is>
          <t>Input 0–1</t>
        </is>
      </c>
      <c r="L81" t="inlineStr">
        <is>
          <t>Input 0–1</t>
        </is>
      </c>
      <c r="M81" t="inlineStr">
        <is>
          <t>LOW / MODERATE / HIGH</t>
        </is>
      </c>
      <c r="N81" t="inlineStr">
        <is>
          <t>Review if high score + weak evidence or contradiction</t>
        </is>
      </c>
    </row>
    <row r="82">
      <c r="A82" t="n">
        <v>82</v>
      </c>
      <c r="B82" t="inlineStr">
        <is>
          <t>D07</t>
        </is>
      </c>
      <c r="C82" t="inlineStr">
        <is>
          <t>I02</t>
        </is>
      </c>
      <c r="D82">
        <f>'P0-3_Scorecard'!H82</f>
        <v/>
      </c>
      <c r="E82" t="inlineStr">
        <is>
          <t>Input 0–1</t>
        </is>
      </c>
      <c r="F82" t="inlineStr">
        <is>
          <t>Input 0–1</t>
        </is>
      </c>
      <c r="G82" t="inlineStr">
        <is>
          <t>Input 0–1</t>
        </is>
      </c>
      <c r="H82" t="inlineStr">
        <is>
          <t>Input 0–1</t>
        </is>
      </c>
      <c r="I82" t="inlineStr">
        <is>
          <t>Input 0–1</t>
        </is>
      </c>
      <c r="J82" t="inlineStr">
        <is>
          <t>Input 0–1</t>
        </is>
      </c>
      <c r="K82" t="inlineStr">
        <is>
          <t>Input 0–1</t>
        </is>
      </c>
      <c r="L82" t="inlineStr">
        <is>
          <t>Input 0–1</t>
        </is>
      </c>
      <c r="M82" t="inlineStr">
        <is>
          <t>LOW / MODERATE / HIGH</t>
        </is>
      </c>
      <c r="N82" t="inlineStr">
        <is>
          <t>Review if high score + weak evidence or contradiction</t>
        </is>
      </c>
    </row>
    <row r="83">
      <c r="A83" t="n">
        <v>83</v>
      </c>
      <c r="B83" t="inlineStr">
        <is>
          <t>D07</t>
        </is>
      </c>
      <c r="C83" t="inlineStr">
        <is>
          <t>I03</t>
        </is>
      </c>
      <c r="D83">
        <f>'P0-3_Scorecard'!H83</f>
        <v/>
      </c>
      <c r="E83" t="inlineStr">
        <is>
          <t>Input 0–1</t>
        </is>
      </c>
      <c r="F83" t="inlineStr">
        <is>
          <t>Input 0–1</t>
        </is>
      </c>
      <c r="G83" t="inlineStr">
        <is>
          <t>Input 0–1</t>
        </is>
      </c>
      <c r="H83" t="inlineStr">
        <is>
          <t>Input 0–1</t>
        </is>
      </c>
      <c r="I83" t="inlineStr">
        <is>
          <t>Input 0–1</t>
        </is>
      </c>
      <c r="J83" t="inlineStr">
        <is>
          <t>Input 0–1</t>
        </is>
      </c>
      <c r="K83" t="inlineStr">
        <is>
          <t>Input 0–1</t>
        </is>
      </c>
      <c r="L83" t="inlineStr">
        <is>
          <t>Input 0–1</t>
        </is>
      </c>
      <c r="M83" t="inlineStr">
        <is>
          <t>LOW / MODERATE / HIGH</t>
        </is>
      </c>
      <c r="N83" t="inlineStr">
        <is>
          <t>Review if high score + weak evidence or contradiction</t>
        </is>
      </c>
    </row>
    <row r="84">
      <c r="A84" t="n">
        <v>84</v>
      </c>
      <c r="B84" t="inlineStr">
        <is>
          <t>D07</t>
        </is>
      </c>
      <c r="C84" t="inlineStr">
        <is>
          <t>I04</t>
        </is>
      </c>
      <c r="D84">
        <f>'P0-3_Scorecard'!H84</f>
        <v/>
      </c>
      <c r="E84" t="inlineStr">
        <is>
          <t>Input 0–1</t>
        </is>
      </c>
      <c r="F84" t="inlineStr">
        <is>
          <t>Input 0–1</t>
        </is>
      </c>
      <c r="G84" t="inlineStr">
        <is>
          <t>Input 0–1</t>
        </is>
      </c>
      <c r="H84" t="inlineStr">
        <is>
          <t>Input 0–1</t>
        </is>
      </c>
      <c r="I84" t="inlineStr">
        <is>
          <t>Input 0–1</t>
        </is>
      </c>
      <c r="J84" t="inlineStr">
        <is>
          <t>Input 0–1</t>
        </is>
      </c>
      <c r="K84" t="inlineStr">
        <is>
          <t>Input 0–1</t>
        </is>
      </c>
      <c r="L84" t="inlineStr">
        <is>
          <t>Input 0–1</t>
        </is>
      </c>
      <c r="M84" t="inlineStr">
        <is>
          <t>LOW / MODERATE / HIGH</t>
        </is>
      </c>
      <c r="N84" t="inlineStr">
        <is>
          <t>Review if high score + weak evidence or contradiction</t>
        </is>
      </c>
    </row>
    <row r="85">
      <c r="A85" t="n">
        <v>85</v>
      </c>
      <c r="B85" t="inlineStr">
        <is>
          <t>D07</t>
        </is>
      </c>
      <c r="C85" t="inlineStr">
        <is>
          <t>I05</t>
        </is>
      </c>
      <c r="D85">
        <f>'P0-3_Scorecard'!H85</f>
        <v/>
      </c>
      <c r="E85" t="inlineStr">
        <is>
          <t>Input 0–1</t>
        </is>
      </c>
      <c r="F85" t="inlineStr">
        <is>
          <t>Input 0–1</t>
        </is>
      </c>
      <c r="G85" t="inlineStr">
        <is>
          <t>Input 0–1</t>
        </is>
      </c>
      <c r="H85" t="inlineStr">
        <is>
          <t>Input 0–1</t>
        </is>
      </c>
      <c r="I85" t="inlineStr">
        <is>
          <t>Input 0–1</t>
        </is>
      </c>
      <c r="J85" t="inlineStr">
        <is>
          <t>Input 0–1</t>
        </is>
      </c>
      <c r="K85" t="inlineStr">
        <is>
          <t>Input 0–1</t>
        </is>
      </c>
      <c r="L85" t="inlineStr">
        <is>
          <t>Input 0–1</t>
        </is>
      </c>
      <c r="M85" t="inlineStr">
        <is>
          <t>LOW / MODERATE / HIGH</t>
        </is>
      </c>
      <c r="N85" t="inlineStr">
        <is>
          <t>Review if high score + weak evidence or contradiction</t>
        </is>
      </c>
    </row>
    <row r="86">
      <c r="A86" t="n">
        <v>86</v>
      </c>
      <c r="B86" t="inlineStr">
        <is>
          <t>D07</t>
        </is>
      </c>
      <c r="C86" t="inlineStr">
        <is>
          <t>I06</t>
        </is>
      </c>
      <c r="D86">
        <f>'P0-3_Scorecard'!H86</f>
        <v/>
      </c>
      <c r="E86" t="inlineStr">
        <is>
          <t>Input 0–1</t>
        </is>
      </c>
      <c r="F86" t="inlineStr">
        <is>
          <t>Input 0–1</t>
        </is>
      </c>
      <c r="G86" t="inlineStr">
        <is>
          <t>Input 0–1</t>
        </is>
      </c>
      <c r="H86" t="inlineStr">
        <is>
          <t>Input 0–1</t>
        </is>
      </c>
      <c r="I86" t="inlineStr">
        <is>
          <t>Input 0–1</t>
        </is>
      </c>
      <c r="J86" t="inlineStr">
        <is>
          <t>Input 0–1</t>
        </is>
      </c>
      <c r="K86" t="inlineStr">
        <is>
          <t>Input 0–1</t>
        </is>
      </c>
      <c r="L86" t="inlineStr">
        <is>
          <t>Input 0–1</t>
        </is>
      </c>
      <c r="M86" t="inlineStr">
        <is>
          <t>LOW / MODERATE / HIGH</t>
        </is>
      </c>
      <c r="N86" t="inlineStr">
        <is>
          <t>Review if high score + weak evidence or contradiction</t>
        </is>
      </c>
    </row>
    <row r="87">
      <c r="A87" t="n">
        <v>87</v>
      </c>
      <c r="B87" t="inlineStr">
        <is>
          <t>D07</t>
        </is>
      </c>
      <c r="C87" t="inlineStr">
        <is>
          <t>I07</t>
        </is>
      </c>
      <c r="D87">
        <f>'P0-3_Scorecard'!H87</f>
        <v/>
      </c>
      <c r="E87" t="inlineStr">
        <is>
          <t>Input 0–1</t>
        </is>
      </c>
      <c r="F87" t="inlineStr">
        <is>
          <t>Input 0–1</t>
        </is>
      </c>
      <c r="G87" t="inlineStr">
        <is>
          <t>Input 0–1</t>
        </is>
      </c>
      <c r="H87" t="inlineStr">
        <is>
          <t>Input 0–1</t>
        </is>
      </c>
      <c r="I87" t="inlineStr">
        <is>
          <t>Input 0–1</t>
        </is>
      </c>
      <c r="J87" t="inlineStr">
        <is>
          <t>Input 0–1</t>
        </is>
      </c>
      <c r="K87" t="inlineStr">
        <is>
          <t>Input 0–1</t>
        </is>
      </c>
      <c r="L87" t="inlineStr">
        <is>
          <t>Input 0–1</t>
        </is>
      </c>
      <c r="M87" t="inlineStr">
        <is>
          <t>LOW / MODERATE / HIGH</t>
        </is>
      </c>
      <c r="N87" t="inlineStr">
        <is>
          <t>Review if high score + weak evidence or contradiction</t>
        </is>
      </c>
    </row>
    <row r="88">
      <c r="A88" t="n">
        <v>88</v>
      </c>
      <c r="B88" t="inlineStr">
        <is>
          <t>D07</t>
        </is>
      </c>
      <c r="C88" t="inlineStr">
        <is>
          <t>I08</t>
        </is>
      </c>
      <c r="D88">
        <f>'P0-3_Scorecard'!H88</f>
        <v/>
      </c>
      <c r="E88" t="inlineStr">
        <is>
          <t>Input 0–1</t>
        </is>
      </c>
      <c r="F88" t="inlineStr">
        <is>
          <t>Input 0–1</t>
        </is>
      </c>
      <c r="G88" t="inlineStr">
        <is>
          <t>Input 0–1</t>
        </is>
      </c>
      <c r="H88" t="inlineStr">
        <is>
          <t>Input 0–1</t>
        </is>
      </c>
      <c r="I88" t="inlineStr">
        <is>
          <t>Input 0–1</t>
        </is>
      </c>
      <c r="J88" t="inlineStr">
        <is>
          <t>Input 0–1</t>
        </is>
      </c>
      <c r="K88" t="inlineStr">
        <is>
          <t>Input 0–1</t>
        </is>
      </c>
      <c r="L88" t="inlineStr">
        <is>
          <t>Input 0–1</t>
        </is>
      </c>
      <c r="M88" t="inlineStr">
        <is>
          <t>LOW / MODERATE / HIGH</t>
        </is>
      </c>
      <c r="N88" t="inlineStr">
        <is>
          <t>Review if high score + weak evidence or contradiction</t>
        </is>
      </c>
    </row>
    <row r="89">
      <c r="A89" t="n">
        <v>89</v>
      </c>
      <c r="B89" t="inlineStr">
        <is>
          <t>D07</t>
        </is>
      </c>
      <c r="C89" t="inlineStr">
        <is>
          <t>I09</t>
        </is>
      </c>
      <c r="D89">
        <f>'P0-3_Scorecard'!H89</f>
        <v/>
      </c>
      <c r="E89" t="inlineStr">
        <is>
          <t>Input 0–1</t>
        </is>
      </c>
      <c r="F89" t="inlineStr">
        <is>
          <t>Input 0–1</t>
        </is>
      </c>
      <c r="G89" t="inlineStr">
        <is>
          <t>Input 0–1</t>
        </is>
      </c>
      <c r="H89" t="inlineStr">
        <is>
          <t>Input 0–1</t>
        </is>
      </c>
      <c r="I89" t="inlineStr">
        <is>
          <t>Input 0–1</t>
        </is>
      </c>
      <c r="J89" t="inlineStr">
        <is>
          <t>Input 0–1</t>
        </is>
      </c>
      <c r="K89" t="inlineStr">
        <is>
          <t>Input 0–1</t>
        </is>
      </c>
      <c r="L89" t="inlineStr">
        <is>
          <t>Input 0–1</t>
        </is>
      </c>
      <c r="M89" t="inlineStr">
        <is>
          <t>LOW / MODERATE / HIGH</t>
        </is>
      </c>
      <c r="N89" t="inlineStr">
        <is>
          <t>Review if high score + weak evidence or contradiction</t>
        </is>
      </c>
    </row>
    <row r="90">
      <c r="A90" t="n">
        <v>90</v>
      </c>
      <c r="B90" t="inlineStr">
        <is>
          <t>D07</t>
        </is>
      </c>
      <c r="C90" t="inlineStr">
        <is>
          <t>I10</t>
        </is>
      </c>
      <c r="D90">
        <f>'P0-3_Scorecard'!H90</f>
        <v/>
      </c>
      <c r="E90" t="inlineStr">
        <is>
          <t>Input 0–1</t>
        </is>
      </c>
      <c r="F90" t="inlineStr">
        <is>
          <t>Input 0–1</t>
        </is>
      </c>
      <c r="G90" t="inlineStr">
        <is>
          <t>Input 0–1</t>
        </is>
      </c>
      <c r="H90" t="inlineStr">
        <is>
          <t>Input 0–1</t>
        </is>
      </c>
      <c r="I90" t="inlineStr">
        <is>
          <t>Input 0–1</t>
        </is>
      </c>
      <c r="J90" t="inlineStr">
        <is>
          <t>Input 0–1</t>
        </is>
      </c>
      <c r="K90" t="inlineStr">
        <is>
          <t>Input 0–1</t>
        </is>
      </c>
      <c r="L90" t="inlineStr">
        <is>
          <t>Input 0–1</t>
        </is>
      </c>
      <c r="M90" t="inlineStr">
        <is>
          <t>LOW / MODERATE / HIGH</t>
        </is>
      </c>
      <c r="N90" t="inlineStr">
        <is>
          <t>Review if high score + weak evidence or contradiction</t>
        </is>
      </c>
    </row>
    <row r="91">
      <c r="A91" t="n">
        <v>91</v>
      </c>
      <c r="B91" t="inlineStr">
        <is>
          <t>D07</t>
        </is>
      </c>
      <c r="C91" t="inlineStr">
        <is>
          <t>I11</t>
        </is>
      </c>
      <c r="D91">
        <f>'P0-3_Scorecard'!H91</f>
        <v/>
      </c>
      <c r="E91" t="inlineStr">
        <is>
          <t>Input 0–1</t>
        </is>
      </c>
      <c r="F91" t="inlineStr">
        <is>
          <t>Input 0–1</t>
        </is>
      </c>
      <c r="G91" t="inlineStr">
        <is>
          <t>Input 0–1</t>
        </is>
      </c>
      <c r="H91" t="inlineStr">
        <is>
          <t>Input 0–1</t>
        </is>
      </c>
      <c r="I91" t="inlineStr">
        <is>
          <t>Input 0–1</t>
        </is>
      </c>
      <c r="J91" t="inlineStr">
        <is>
          <t>Input 0–1</t>
        </is>
      </c>
      <c r="K91" t="inlineStr">
        <is>
          <t>Input 0–1</t>
        </is>
      </c>
      <c r="L91" t="inlineStr">
        <is>
          <t>Input 0–1</t>
        </is>
      </c>
      <c r="M91" t="inlineStr">
        <is>
          <t>LOW / MODERATE / HIGH</t>
        </is>
      </c>
      <c r="N91" t="inlineStr">
        <is>
          <t>Review if high score + weak evidence or contradiction</t>
        </is>
      </c>
    </row>
    <row r="92">
      <c r="A92" t="n">
        <v>92</v>
      </c>
      <c r="B92" t="inlineStr">
        <is>
          <t>D07</t>
        </is>
      </c>
      <c r="C92" t="inlineStr">
        <is>
          <t>I12</t>
        </is>
      </c>
      <c r="D92">
        <f>'P0-3_Scorecard'!H92</f>
        <v/>
      </c>
      <c r="E92" t="inlineStr">
        <is>
          <t>Input 0–1</t>
        </is>
      </c>
      <c r="F92" t="inlineStr">
        <is>
          <t>Input 0–1</t>
        </is>
      </c>
      <c r="G92" t="inlineStr">
        <is>
          <t>Input 0–1</t>
        </is>
      </c>
      <c r="H92" t="inlineStr">
        <is>
          <t>Input 0–1</t>
        </is>
      </c>
      <c r="I92" t="inlineStr">
        <is>
          <t>Input 0–1</t>
        </is>
      </c>
      <c r="J92" t="inlineStr">
        <is>
          <t>Input 0–1</t>
        </is>
      </c>
      <c r="K92" t="inlineStr">
        <is>
          <t>Input 0–1</t>
        </is>
      </c>
      <c r="L92" t="inlineStr">
        <is>
          <t>Input 0–1</t>
        </is>
      </c>
      <c r="M92" t="inlineStr">
        <is>
          <t>LOW / MODERATE / HIGH</t>
        </is>
      </c>
      <c r="N92" t="inlineStr">
        <is>
          <t>Review if high score + weak evidence or contradiction</t>
        </is>
      </c>
    </row>
    <row r="93">
      <c r="A93" t="n">
        <v>93</v>
      </c>
      <c r="B93" t="inlineStr">
        <is>
          <t>D08</t>
        </is>
      </c>
      <c r="C93" t="inlineStr">
        <is>
          <t>I01</t>
        </is>
      </c>
      <c r="D93">
        <f>'P0-3_Scorecard'!H93</f>
        <v/>
      </c>
      <c r="E93" t="inlineStr">
        <is>
          <t>Input 0–1</t>
        </is>
      </c>
      <c r="F93" t="inlineStr">
        <is>
          <t>Input 0–1</t>
        </is>
      </c>
      <c r="G93" t="inlineStr">
        <is>
          <t>Input 0–1</t>
        </is>
      </c>
      <c r="H93" t="inlineStr">
        <is>
          <t>Input 0–1</t>
        </is>
      </c>
      <c r="I93" t="inlineStr">
        <is>
          <t>Input 0–1</t>
        </is>
      </c>
      <c r="J93" t="inlineStr">
        <is>
          <t>Input 0–1</t>
        </is>
      </c>
      <c r="K93" t="inlineStr">
        <is>
          <t>Input 0–1</t>
        </is>
      </c>
      <c r="L93" t="inlineStr">
        <is>
          <t>Input 0–1</t>
        </is>
      </c>
      <c r="M93" t="inlineStr">
        <is>
          <t>LOW / MODERATE / HIGH</t>
        </is>
      </c>
      <c r="N93" t="inlineStr">
        <is>
          <t>Review if high score + weak evidence or contradiction</t>
        </is>
      </c>
    </row>
    <row r="94">
      <c r="A94" t="n">
        <v>94</v>
      </c>
      <c r="B94" t="inlineStr">
        <is>
          <t>D08</t>
        </is>
      </c>
      <c r="C94" t="inlineStr">
        <is>
          <t>I02</t>
        </is>
      </c>
      <c r="D94">
        <f>'P0-3_Scorecard'!H94</f>
        <v/>
      </c>
      <c r="E94" t="inlineStr">
        <is>
          <t>Input 0–1</t>
        </is>
      </c>
      <c r="F94" t="inlineStr">
        <is>
          <t>Input 0–1</t>
        </is>
      </c>
      <c r="G94" t="inlineStr">
        <is>
          <t>Input 0–1</t>
        </is>
      </c>
      <c r="H94" t="inlineStr">
        <is>
          <t>Input 0–1</t>
        </is>
      </c>
      <c r="I94" t="inlineStr">
        <is>
          <t>Input 0–1</t>
        </is>
      </c>
      <c r="J94" t="inlineStr">
        <is>
          <t>Input 0–1</t>
        </is>
      </c>
      <c r="K94" t="inlineStr">
        <is>
          <t>Input 0–1</t>
        </is>
      </c>
      <c r="L94" t="inlineStr">
        <is>
          <t>Input 0–1</t>
        </is>
      </c>
      <c r="M94" t="inlineStr">
        <is>
          <t>LOW / MODERATE / HIGH</t>
        </is>
      </c>
      <c r="N94" t="inlineStr">
        <is>
          <t>Review if high score + weak evidence or contradiction</t>
        </is>
      </c>
    </row>
    <row r="95">
      <c r="A95" t="n">
        <v>95</v>
      </c>
      <c r="B95" t="inlineStr">
        <is>
          <t>D08</t>
        </is>
      </c>
      <c r="C95" t="inlineStr">
        <is>
          <t>I03</t>
        </is>
      </c>
      <c r="D95">
        <f>'P0-3_Scorecard'!H95</f>
        <v/>
      </c>
      <c r="E95" t="inlineStr">
        <is>
          <t>Input 0–1</t>
        </is>
      </c>
      <c r="F95" t="inlineStr">
        <is>
          <t>Input 0–1</t>
        </is>
      </c>
      <c r="G95" t="inlineStr">
        <is>
          <t>Input 0–1</t>
        </is>
      </c>
      <c r="H95" t="inlineStr">
        <is>
          <t>Input 0–1</t>
        </is>
      </c>
      <c r="I95" t="inlineStr">
        <is>
          <t>Input 0–1</t>
        </is>
      </c>
      <c r="J95" t="inlineStr">
        <is>
          <t>Input 0–1</t>
        </is>
      </c>
      <c r="K95" t="inlineStr">
        <is>
          <t>Input 0–1</t>
        </is>
      </c>
      <c r="L95" t="inlineStr">
        <is>
          <t>Input 0–1</t>
        </is>
      </c>
      <c r="M95" t="inlineStr">
        <is>
          <t>LOW / MODERATE / HIGH</t>
        </is>
      </c>
      <c r="N95" t="inlineStr">
        <is>
          <t>Review if high score + weak evidence or contradiction</t>
        </is>
      </c>
    </row>
    <row r="96">
      <c r="A96" t="n">
        <v>96</v>
      </c>
      <c r="B96" t="inlineStr">
        <is>
          <t>D08</t>
        </is>
      </c>
      <c r="C96" t="inlineStr">
        <is>
          <t>I04</t>
        </is>
      </c>
      <c r="D96">
        <f>'P0-3_Scorecard'!H96</f>
        <v/>
      </c>
      <c r="E96" t="inlineStr">
        <is>
          <t>Input 0–1</t>
        </is>
      </c>
      <c r="F96" t="inlineStr">
        <is>
          <t>Input 0–1</t>
        </is>
      </c>
      <c r="G96" t="inlineStr">
        <is>
          <t>Input 0–1</t>
        </is>
      </c>
      <c r="H96" t="inlineStr">
        <is>
          <t>Input 0–1</t>
        </is>
      </c>
      <c r="I96" t="inlineStr">
        <is>
          <t>Input 0–1</t>
        </is>
      </c>
      <c r="J96" t="inlineStr">
        <is>
          <t>Input 0–1</t>
        </is>
      </c>
      <c r="K96" t="inlineStr">
        <is>
          <t>Input 0–1</t>
        </is>
      </c>
      <c r="L96" t="inlineStr">
        <is>
          <t>Input 0–1</t>
        </is>
      </c>
      <c r="M96" t="inlineStr">
        <is>
          <t>LOW / MODERATE / HIGH</t>
        </is>
      </c>
      <c r="N96" t="inlineStr">
        <is>
          <t>Review if high score + weak evidence or contradiction</t>
        </is>
      </c>
    </row>
    <row r="97">
      <c r="A97" t="n">
        <v>97</v>
      </c>
      <c r="B97" t="inlineStr">
        <is>
          <t>D08</t>
        </is>
      </c>
      <c r="C97" t="inlineStr">
        <is>
          <t>I05</t>
        </is>
      </c>
      <c r="D97">
        <f>'P0-3_Scorecard'!H97</f>
        <v/>
      </c>
      <c r="E97" t="inlineStr">
        <is>
          <t>Input 0–1</t>
        </is>
      </c>
      <c r="F97" t="inlineStr">
        <is>
          <t>Input 0–1</t>
        </is>
      </c>
      <c r="G97" t="inlineStr">
        <is>
          <t>Input 0–1</t>
        </is>
      </c>
      <c r="H97" t="inlineStr">
        <is>
          <t>Input 0–1</t>
        </is>
      </c>
      <c r="I97" t="inlineStr">
        <is>
          <t>Input 0–1</t>
        </is>
      </c>
      <c r="J97" t="inlineStr">
        <is>
          <t>Input 0–1</t>
        </is>
      </c>
      <c r="K97" t="inlineStr">
        <is>
          <t>Input 0–1</t>
        </is>
      </c>
      <c r="L97" t="inlineStr">
        <is>
          <t>Input 0–1</t>
        </is>
      </c>
      <c r="M97" t="inlineStr">
        <is>
          <t>LOW / MODERATE / HIGH</t>
        </is>
      </c>
      <c r="N97" t="inlineStr">
        <is>
          <t>Review if high score + weak evidence or contradiction</t>
        </is>
      </c>
    </row>
    <row r="98">
      <c r="A98" t="n">
        <v>98</v>
      </c>
      <c r="B98" t="inlineStr">
        <is>
          <t>D08</t>
        </is>
      </c>
      <c r="C98" t="inlineStr">
        <is>
          <t>I06</t>
        </is>
      </c>
      <c r="D98">
        <f>'P0-3_Scorecard'!H98</f>
        <v/>
      </c>
      <c r="E98" t="inlineStr">
        <is>
          <t>Input 0–1</t>
        </is>
      </c>
      <c r="F98" t="inlineStr">
        <is>
          <t>Input 0–1</t>
        </is>
      </c>
      <c r="G98" t="inlineStr">
        <is>
          <t>Input 0–1</t>
        </is>
      </c>
      <c r="H98" t="inlineStr">
        <is>
          <t>Input 0–1</t>
        </is>
      </c>
      <c r="I98" t="inlineStr">
        <is>
          <t>Input 0–1</t>
        </is>
      </c>
      <c r="J98" t="inlineStr">
        <is>
          <t>Input 0–1</t>
        </is>
      </c>
      <c r="K98" t="inlineStr">
        <is>
          <t>Input 0–1</t>
        </is>
      </c>
      <c r="L98" t="inlineStr">
        <is>
          <t>Input 0–1</t>
        </is>
      </c>
      <c r="M98" t="inlineStr">
        <is>
          <t>LOW / MODERATE / HIGH</t>
        </is>
      </c>
      <c r="N98" t="inlineStr">
        <is>
          <t>Review if high score + weak evidence or contradiction</t>
        </is>
      </c>
    </row>
    <row r="99">
      <c r="A99" t="n">
        <v>99</v>
      </c>
      <c r="B99" t="inlineStr">
        <is>
          <t>D08</t>
        </is>
      </c>
      <c r="C99" t="inlineStr">
        <is>
          <t>I07</t>
        </is>
      </c>
      <c r="D99">
        <f>'P0-3_Scorecard'!H99</f>
        <v/>
      </c>
      <c r="E99" t="inlineStr">
        <is>
          <t>Input 0–1</t>
        </is>
      </c>
      <c r="F99" t="inlineStr">
        <is>
          <t>Input 0–1</t>
        </is>
      </c>
      <c r="G99" t="inlineStr">
        <is>
          <t>Input 0–1</t>
        </is>
      </c>
      <c r="H99" t="inlineStr">
        <is>
          <t>Input 0–1</t>
        </is>
      </c>
      <c r="I99" t="inlineStr">
        <is>
          <t>Input 0–1</t>
        </is>
      </c>
      <c r="J99" t="inlineStr">
        <is>
          <t>Input 0–1</t>
        </is>
      </c>
      <c r="K99" t="inlineStr">
        <is>
          <t>Input 0–1</t>
        </is>
      </c>
      <c r="L99" t="inlineStr">
        <is>
          <t>Input 0–1</t>
        </is>
      </c>
      <c r="M99" t="inlineStr">
        <is>
          <t>LOW / MODERATE / HIGH</t>
        </is>
      </c>
      <c r="N99" t="inlineStr">
        <is>
          <t>Review if high score + weak evidence or contradiction</t>
        </is>
      </c>
    </row>
    <row r="100">
      <c r="A100" t="n">
        <v>100</v>
      </c>
      <c r="B100" t="inlineStr">
        <is>
          <t>D08</t>
        </is>
      </c>
      <c r="C100" t="inlineStr">
        <is>
          <t>I08</t>
        </is>
      </c>
      <c r="D100">
        <f>'P0-3_Scorecard'!H100</f>
        <v/>
      </c>
      <c r="E100" t="inlineStr">
        <is>
          <t>Input 0–1</t>
        </is>
      </c>
      <c r="F100" t="inlineStr">
        <is>
          <t>Input 0–1</t>
        </is>
      </c>
      <c r="G100" t="inlineStr">
        <is>
          <t>Input 0–1</t>
        </is>
      </c>
      <c r="H100" t="inlineStr">
        <is>
          <t>Input 0–1</t>
        </is>
      </c>
      <c r="I100" t="inlineStr">
        <is>
          <t>Input 0–1</t>
        </is>
      </c>
      <c r="J100" t="inlineStr">
        <is>
          <t>Input 0–1</t>
        </is>
      </c>
      <c r="K100" t="inlineStr">
        <is>
          <t>Input 0–1</t>
        </is>
      </c>
      <c r="L100" t="inlineStr">
        <is>
          <t>Input 0–1</t>
        </is>
      </c>
      <c r="M100" t="inlineStr">
        <is>
          <t>LOW / MODERATE / HIGH</t>
        </is>
      </c>
      <c r="N100" t="inlineStr">
        <is>
          <t>Review if high score + weak evidence or contradiction</t>
        </is>
      </c>
    </row>
    <row r="101">
      <c r="A101" t="n">
        <v>101</v>
      </c>
      <c r="B101" t="inlineStr">
        <is>
          <t>D08</t>
        </is>
      </c>
      <c r="C101" t="inlineStr">
        <is>
          <t>I09</t>
        </is>
      </c>
      <c r="D101">
        <f>'P0-3_Scorecard'!H101</f>
        <v/>
      </c>
      <c r="E101" t="inlineStr">
        <is>
          <t>Input 0–1</t>
        </is>
      </c>
      <c r="F101" t="inlineStr">
        <is>
          <t>Input 0–1</t>
        </is>
      </c>
      <c r="G101" t="inlineStr">
        <is>
          <t>Input 0–1</t>
        </is>
      </c>
      <c r="H101" t="inlineStr">
        <is>
          <t>Input 0–1</t>
        </is>
      </c>
      <c r="I101" t="inlineStr">
        <is>
          <t>Input 0–1</t>
        </is>
      </c>
      <c r="J101" t="inlineStr">
        <is>
          <t>Input 0–1</t>
        </is>
      </c>
      <c r="K101" t="inlineStr">
        <is>
          <t>Input 0–1</t>
        </is>
      </c>
      <c r="L101" t="inlineStr">
        <is>
          <t>Input 0–1</t>
        </is>
      </c>
      <c r="M101" t="inlineStr">
        <is>
          <t>LOW / MODERATE / HIGH</t>
        </is>
      </c>
      <c r="N101" t="inlineStr">
        <is>
          <t>Review if high score + weak evidence or contradiction</t>
        </is>
      </c>
    </row>
    <row r="102">
      <c r="A102" t="n">
        <v>102</v>
      </c>
      <c r="B102" t="inlineStr">
        <is>
          <t>D08</t>
        </is>
      </c>
      <c r="C102" t="inlineStr">
        <is>
          <t>I10</t>
        </is>
      </c>
      <c r="D102">
        <f>'P0-3_Scorecard'!H102</f>
        <v/>
      </c>
      <c r="E102" t="inlineStr">
        <is>
          <t>Input 0–1</t>
        </is>
      </c>
      <c r="F102" t="inlineStr">
        <is>
          <t>Input 0–1</t>
        </is>
      </c>
      <c r="G102" t="inlineStr">
        <is>
          <t>Input 0–1</t>
        </is>
      </c>
      <c r="H102" t="inlineStr">
        <is>
          <t>Input 0–1</t>
        </is>
      </c>
      <c r="I102" t="inlineStr">
        <is>
          <t>Input 0–1</t>
        </is>
      </c>
      <c r="J102" t="inlineStr">
        <is>
          <t>Input 0–1</t>
        </is>
      </c>
      <c r="K102" t="inlineStr">
        <is>
          <t>Input 0–1</t>
        </is>
      </c>
      <c r="L102" t="inlineStr">
        <is>
          <t>Input 0–1</t>
        </is>
      </c>
      <c r="M102" t="inlineStr">
        <is>
          <t>LOW / MODERATE / HIGH</t>
        </is>
      </c>
      <c r="N102" t="inlineStr">
        <is>
          <t>Review if high score + weak evidence or contradiction</t>
        </is>
      </c>
    </row>
    <row r="103">
      <c r="A103" t="n">
        <v>103</v>
      </c>
      <c r="B103" t="inlineStr">
        <is>
          <t>D08</t>
        </is>
      </c>
      <c r="C103" t="inlineStr">
        <is>
          <t>I11</t>
        </is>
      </c>
      <c r="D103">
        <f>'P0-3_Scorecard'!H103</f>
        <v/>
      </c>
      <c r="E103" t="inlineStr">
        <is>
          <t>Input 0–1</t>
        </is>
      </c>
      <c r="F103" t="inlineStr">
        <is>
          <t>Input 0–1</t>
        </is>
      </c>
      <c r="G103" t="inlineStr">
        <is>
          <t>Input 0–1</t>
        </is>
      </c>
      <c r="H103" t="inlineStr">
        <is>
          <t>Input 0–1</t>
        </is>
      </c>
      <c r="I103" t="inlineStr">
        <is>
          <t>Input 0–1</t>
        </is>
      </c>
      <c r="J103" t="inlineStr">
        <is>
          <t>Input 0–1</t>
        </is>
      </c>
      <c r="K103" t="inlineStr">
        <is>
          <t>Input 0–1</t>
        </is>
      </c>
      <c r="L103" t="inlineStr">
        <is>
          <t>Input 0–1</t>
        </is>
      </c>
      <c r="M103" t="inlineStr">
        <is>
          <t>LOW / MODERATE / HIGH</t>
        </is>
      </c>
      <c r="N103" t="inlineStr">
        <is>
          <t>Review if high score + weak evidence or contradiction</t>
        </is>
      </c>
    </row>
    <row r="104">
      <c r="A104" t="n">
        <v>104</v>
      </c>
      <c r="B104" t="inlineStr">
        <is>
          <t>D08</t>
        </is>
      </c>
      <c r="C104" t="inlineStr">
        <is>
          <t>I12</t>
        </is>
      </c>
      <c r="D104">
        <f>'P0-3_Scorecard'!H104</f>
        <v/>
      </c>
      <c r="E104" t="inlineStr">
        <is>
          <t>Input 0–1</t>
        </is>
      </c>
      <c r="F104" t="inlineStr">
        <is>
          <t>Input 0–1</t>
        </is>
      </c>
      <c r="G104" t="inlineStr">
        <is>
          <t>Input 0–1</t>
        </is>
      </c>
      <c r="H104" t="inlineStr">
        <is>
          <t>Input 0–1</t>
        </is>
      </c>
      <c r="I104" t="inlineStr">
        <is>
          <t>Input 0–1</t>
        </is>
      </c>
      <c r="J104" t="inlineStr">
        <is>
          <t>Input 0–1</t>
        </is>
      </c>
      <c r="K104" t="inlineStr">
        <is>
          <t>Input 0–1</t>
        </is>
      </c>
      <c r="L104" t="inlineStr">
        <is>
          <t>Input 0–1</t>
        </is>
      </c>
      <c r="M104" t="inlineStr">
        <is>
          <t>LOW / MODERATE / HIGH</t>
        </is>
      </c>
      <c r="N104" t="inlineStr">
        <is>
          <t>Review if high score + weak evidence or contradiction</t>
        </is>
      </c>
    </row>
    <row r="105">
      <c r="A105" t="n">
        <v>105</v>
      </c>
      <c r="B105" t="inlineStr">
        <is>
          <t>D09</t>
        </is>
      </c>
      <c r="C105" t="inlineStr">
        <is>
          <t>I01</t>
        </is>
      </c>
      <c r="D105">
        <f>'P0-3_Scorecard'!H105</f>
        <v/>
      </c>
      <c r="E105" t="inlineStr">
        <is>
          <t>Input 0–1</t>
        </is>
      </c>
      <c r="F105" t="inlineStr">
        <is>
          <t>Input 0–1</t>
        </is>
      </c>
      <c r="G105" t="inlineStr">
        <is>
          <t>Input 0–1</t>
        </is>
      </c>
      <c r="H105" t="inlineStr">
        <is>
          <t>Input 0–1</t>
        </is>
      </c>
      <c r="I105" t="inlineStr">
        <is>
          <t>Input 0–1</t>
        </is>
      </c>
      <c r="J105" t="inlineStr">
        <is>
          <t>Input 0–1</t>
        </is>
      </c>
      <c r="K105" t="inlineStr">
        <is>
          <t>Input 0–1</t>
        </is>
      </c>
      <c r="L105" t="inlineStr">
        <is>
          <t>Input 0–1</t>
        </is>
      </c>
      <c r="M105" t="inlineStr">
        <is>
          <t>LOW / MODERATE / HIGH</t>
        </is>
      </c>
      <c r="N105" t="inlineStr">
        <is>
          <t>Review if high score + weak evidence or contradiction</t>
        </is>
      </c>
    </row>
    <row r="106">
      <c r="A106" t="n">
        <v>106</v>
      </c>
      <c r="B106" t="inlineStr">
        <is>
          <t>D09</t>
        </is>
      </c>
      <c r="C106" t="inlineStr">
        <is>
          <t>I02</t>
        </is>
      </c>
      <c r="D106">
        <f>'P0-3_Scorecard'!H106</f>
        <v/>
      </c>
      <c r="E106" t="inlineStr">
        <is>
          <t>Input 0–1</t>
        </is>
      </c>
      <c r="F106" t="inlineStr">
        <is>
          <t>Input 0–1</t>
        </is>
      </c>
      <c r="G106" t="inlineStr">
        <is>
          <t>Input 0–1</t>
        </is>
      </c>
      <c r="H106" t="inlineStr">
        <is>
          <t>Input 0–1</t>
        </is>
      </c>
      <c r="I106" t="inlineStr">
        <is>
          <t>Input 0–1</t>
        </is>
      </c>
      <c r="J106" t="inlineStr">
        <is>
          <t>Input 0–1</t>
        </is>
      </c>
      <c r="K106" t="inlineStr">
        <is>
          <t>Input 0–1</t>
        </is>
      </c>
      <c r="L106" t="inlineStr">
        <is>
          <t>Input 0–1</t>
        </is>
      </c>
      <c r="M106" t="inlineStr">
        <is>
          <t>LOW / MODERATE / HIGH</t>
        </is>
      </c>
      <c r="N106" t="inlineStr">
        <is>
          <t>Review if high score + weak evidence or contradiction</t>
        </is>
      </c>
    </row>
    <row r="107">
      <c r="A107" t="n">
        <v>107</v>
      </c>
      <c r="B107" t="inlineStr">
        <is>
          <t>D09</t>
        </is>
      </c>
      <c r="C107" t="inlineStr">
        <is>
          <t>I03</t>
        </is>
      </c>
      <c r="D107">
        <f>'P0-3_Scorecard'!H107</f>
        <v/>
      </c>
      <c r="E107" t="inlineStr">
        <is>
          <t>Input 0–1</t>
        </is>
      </c>
      <c r="F107" t="inlineStr">
        <is>
          <t>Input 0–1</t>
        </is>
      </c>
      <c r="G107" t="inlineStr">
        <is>
          <t>Input 0–1</t>
        </is>
      </c>
      <c r="H107" t="inlineStr">
        <is>
          <t>Input 0–1</t>
        </is>
      </c>
      <c r="I107" t="inlineStr">
        <is>
          <t>Input 0–1</t>
        </is>
      </c>
      <c r="J107" t="inlineStr">
        <is>
          <t>Input 0–1</t>
        </is>
      </c>
      <c r="K107" t="inlineStr">
        <is>
          <t>Input 0–1</t>
        </is>
      </c>
      <c r="L107" t="inlineStr">
        <is>
          <t>Input 0–1</t>
        </is>
      </c>
      <c r="M107" t="inlineStr">
        <is>
          <t>LOW / MODERATE / HIGH</t>
        </is>
      </c>
      <c r="N107" t="inlineStr">
        <is>
          <t>Review if high score + weak evidence or contradiction</t>
        </is>
      </c>
    </row>
    <row r="108">
      <c r="A108" t="n">
        <v>108</v>
      </c>
      <c r="B108" t="inlineStr">
        <is>
          <t>D09</t>
        </is>
      </c>
      <c r="C108" t="inlineStr">
        <is>
          <t>I04</t>
        </is>
      </c>
      <c r="D108">
        <f>'P0-3_Scorecard'!H108</f>
        <v/>
      </c>
      <c r="E108" t="inlineStr">
        <is>
          <t>Input 0–1</t>
        </is>
      </c>
      <c r="F108" t="inlineStr">
        <is>
          <t>Input 0–1</t>
        </is>
      </c>
      <c r="G108" t="inlineStr">
        <is>
          <t>Input 0–1</t>
        </is>
      </c>
      <c r="H108" t="inlineStr">
        <is>
          <t>Input 0–1</t>
        </is>
      </c>
      <c r="I108" t="inlineStr">
        <is>
          <t>Input 0–1</t>
        </is>
      </c>
      <c r="J108" t="inlineStr">
        <is>
          <t>Input 0–1</t>
        </is>
      </c>
      <c r="K108" t="inlineStr">
        <is>
          <t>Input 0–1</t>
        </is>
      </c>
      <c r="L108" t="inlineStr">
        <is>
          <t>Input 0–1</t>
        </is>
      </c>
      <c r="M108" t="inlineStr">
        <is>
          <t>LOW / MODERATE / HIGH</t>
        </is>
      </c>
      <c r="N108" t="inlineStr">
        <is>
          <t>Review if high score + weak evidence or contradiction</t>
        </is>
      </c>
    </row>
    <row r="109">
      <c r="A109" t="n">
        <v>109</v>
      </c>
      <c r="B109" t="inlineStr">
        <is>
          <t>D09</t>
        </is>
      </c>
      <c r="C109" t="inlineStr">
        <is>
          <t>I05</t>
        </is>
      </c>
      <c r="D109">
        <f>'P0-3_Scorecard'!H109</f>
        <v/>
      </c>
      <c r="E109" t="inlineStr">
        <is>
          <t>Input 0–1</t>
        </is>
      </c>
      <c r="F109" t="inlineStr">
        <is>
          <t>Input 0–1</t>
        </is>
      </c>
      <c r="G109" t="inlineStr">
        <is>
          <t>Input 0–1</t>
        </is>
      </c>
      <c r="H109" t="inlineStr">
        <is>
          <t>Input 0–1</t>
        </is>
      </c>
      <c r="I109" t="inlineStr">
        <is>
          <t>Input 0–1</t>
        </is>
      </c>
      <c r="J109" t="inlineStr">
        <is>
          <t>Input 0–1</t>
        </is>
      </c>
      <c r="K109" t="inlineStr">
        <is>
          <t>Input 0–1</t>
        </is>
      </c>
      <c r="L109" t="inlineStr">
        <is>
          <t>Input 0–1</t>
        </is>
      </c>
      <c r="M109" t="inlineStr">
        <is>
          <t>LOW / MODERATE / HIGH</t>
        </is>
      </c>
      <c r="N109" t="inlineStr">
        <is>
          <t>Review if high score + weak evidence or contradiction</t>
        </is>
      </c>
    </row>
    <row r="110">
      <c r="A110" t="n">
        <v>110</v>
      </c>
      <c r="B110" t="inlineStr">
        <is>
          <t>D09</t>
        </is>
      </c>
      <c r="C110" t="inlineStr">
        <is>
          <t>I06</t>
        </is>
      </c>
      <c r="D110">
        <f>'P0-3_Scorecard'!H110</f>
        <v/>
      </c>
      <c r="E110" t="inlineStr">
        <is>
          <t>Input 0–1</t>
        </is>
      </c>
      <c r="F110" t="inlineStr">
        <is>
          <t>Input 0–1</t>
        </is>
      </c>
      <c r="G110" t="inlineStr">
        <is>
          <t>Input 0–1</t>
        </is>
      </c>
      <c r="H110" t="inlineStr">
        <is>
          <t>Input 0–1</t>
        </is>
      </c>
      <c r="I110" t="inlineStr">
        <is>
          <t>Input 0–1</t>
        </is>
      </c>
      <c r="J110" t="inlineStr">
        <is>
          <t>Input 0–1</t>
        </is>
      </c>
      <c r="K110" t="inlineStr">
        <is>
          <t>Input 0–1</t>
        </is>
      </c>
      <c r="L110" t="inlineStr">
        <is>
          <t>Input 0–1</t>
        </is>
      </c>
      <c r="M110" t="inlineStr">
        <is>
          <t>LOW / MODERATE / HIGH</t>
        </is>
      </c>
      <c r="N110" t="inlineStr">
        <is>
          <t>Review if high score + weak evidence or contradiction</t>
        </is>
      </c>
    </row>
    <row r="111">
      <c r="A111" t="n">
        <v>111</v>
      </c>
      <c r="B111" t="inlineStr">
        <is>
          <t>D09</t>
        </is>
      </c>
      <c r="C111" t="inlineStr">
        <is>
          <t>I07</t>
        </is>
      </c>
      <c r="D111">
        <f>'P0-3_Scorecard'!H111</f>
        <v/>
      </c>
      <c r="E111" t="inlineStr">
        <is>
          <t>Input 0–1</t>
        </is>
      </c>
      <c r="F111" t="inlineStr">
        <is>
          <t>Input 0–1</t>
        </is>
      </c>
      <c r="G111" t="inlineStr">
        <is>
          <t>Input 0–1</t>
        </is>
      </c>
      <c r="H111" t="inlineStr">
        <is>
          <t>Input 0–1</t>
        </is>
      </c>
      <c r="I111" t="inlineStr">
        <is>
          <t>Input 0–1</t>
        </is>
      </c>
      <c r="J111" t="inlineStr">
        <is>
          <t>Input 0–1</t>
        </is>
      </c>
      <c r="K111" t="inlineStr">
        <is>
          <t>Input 0–1</t>
        </is>
      </c>
      <c r="L111" t="inlineStr">
        <is>
          <t>Input 0–1</t>
        </is>
      </c>
      <c r="M111" t="inlineStr">
        <is>
          <t>LOW / MODERATE / HIGH</t>
        </is>
      </c>
      <c r="N111" t="inlineStr">
        <is>
          <t>Review if high score + weak evidence or contradiction</t>
        </is>
      </c>
    </row>
    <row r="112">
      <c r="A112" t="n">
        <v>112</v>
      </c>
      <c r="B112" t="inlineStr">
        <is>
          <t>D09</t>
        </is>
      </c>
      <c r="C112" t="inlineStr">
        <is>
          <t>I08</t>
        </is>
      </c>
      <c r="D112">
        <f>'P0-3_Scorecard'!H112</f>
        <v/>
      </c>
      <c r="E112" t="inlineStr">
        <is>
          <t>Input 0–1</t>
        </is>
      </c>
      <c r="F112" t="inlineStr">
        <is>
          <t>Input 0–1</t>
        </is>
      </c>
      <c r="G112" t="inlineStr">
        <is>
          <t>Input 0–1</t>
        </is>
      </c>
      <c r="H112" t="inlineStr">
        <is>
          <t>Input 0–1</t>
        </is>
      </c>
      <c r="I112" t="inlineStr">
        <is>
          <t>Input 0–1</t>
        </is>
      </c>
      <c r="J112" t="inlineStr">
        <is>
          <t>Input 0–1</t>
        </is>
      </c>
      <c r="K112" t="inlineStr">
        <is>
          <t>Input 0–1</t>
        </is>
      </c>
      <c r="L112" t="inlineStr">
        <is>
          <t>Input 0–1</t>
        </is>
      </c>
      <c r="M112" t="inlineStr">
        <is>
          <t>LOW / MODERATE / HIGH</t>
        </is>
      </c>
      <c r="N112" t="inlineStr">
        <is>
          <t>Review if high score + weak evidence or contradiction</t>
        </is>
      </c>
    </row>
    <row r="113">
      <c r="A113" t="n">
        <v>113</v>
      </c>
      <c r="B113" t="inlineStr">
        <is>
          <t>D09</t>
        </is>
      </c>
      <c r="C113" t="inlineStr">
        <is>
          <t>I09</t>
        </is>
      </c>
      <c r="D113">
        <f>'P0-3_Scorecard'!H113</f>
        <v/>
      </c>
      <c r="E113" t="inlineStr">
        <is>
          <t>Input 0–1</t>
        </is>
      </c>
      <c r="F113" t="inlineStr">
        <is>
          <t>Input 0–1</t>
        </is>
      </c>
      <c r="G113" t="inlineStr">
        <is>
          <t>Input 0–1</t>
        </is>
      </c>
      <c r="H113" t="inlineStr">
        <is>
          <t>Input 0–1</t>
        </is>
      </c>
      <c r="I113" t="inlineStr">
        <is>
          <t>Input 0–1</t>
        </is>
      </c>
      <c r="J113" t="inlineStr">
        <is>
          <t>Input 0–1</t>
        </is>
      </c>
      <c r="K113" t="inlineStr">
        <is>
          <t>Input 0–1</t>
        </is>
      </c>
      <c r="L113" t="inlineStr">
        <is>
          <t>Input 0–1</t>
        </is>
      </c>
      <c r="M113" t="inlineStr">
        <is>
          <t>LOW / MODERATE / HIGH</t>
        </is>
      </c>
      <c r="N113" t="inlineStr">
        <is>
          <t>Review if high score + weak evidence or contradiction</t>
        </is>
      </c>
    </row>
    <row r="114">
      <c r="A114" t="n">
        <v>114</v>
      </c>
      <c r="B114" t="inlineStr">
        <is>
          <t>D09</t>
        </is>
      </c>
      <c r="C114" t="inlineStr">
        <is>
          <t>I10</t>
        </is>
      </c>
      <c r="D114">
        <f>'P0-3_Scorecard'!H114</f>
        <v/>
      </c>
      <c r="E114" t="inlineStr">
        <is>
          <t>Input 0–1</t>
        </is>
      </c>
      <c r="F114" t="inlineStr">
        <is>
          <t>Input 0–1</t>
        </is>
      </c>
      <c r="G114" t="inlineStr">
        <is>
          <t>Input 0–1</t>
        </is>
      </c>
      <c r="H114" t="inlineStr">
        <is>
          <t>Input 0–1</t>
        </is>
      </c>
      <c r="I114" t="inlineStr">
        <is>
          <t>Input 0–1</t>
        </is>
      </c>
      <c r="J114" t="inlineStr">
        <is>
          <t>Input 0–1</t>
        </is>
      </c>
      <c r="K114" t="inlineStr">
        <is>
          <t>Input 0–1</t>
        </is>
      </c>
      <c r="L114" t="inlineStr">
        <is>
          <t>Input 0–1</t>
        </is>
      </c>
      <c r="M114" t="inlineStr">
        <is>
          <t>LOW / MODERATE / HIGH</t>
        </is>
      </c>
      <c r="N114" t="inlineStr">
        <is>
          <t>Review if high score + weak evidence or contradiction</t>
        </is>
      </c>
    </row>
    <row r="115">
      <c r="A115" t="n">
        <v>115</v>
      </c>
      <c r="B115" t="inlineStr">
        <is>
          <t>D09</t>
        </is>
      </c>
      <c r="C115" t="inlineStr">
        <is>
          <t>I11</t>
        </is>
      </c>
      <c r="D115">
        <f>'P0-3_Scorecard'!H115</f>
        <v/>
      </c>
      <c r="E115" t="inlineStr">
        <is>
          <t>Input 0–1</t>
        </is>
      </c>
      <c r="F115" t="inlineStr">
        <is>
          <t>Input 0–1</t>
        </is>
      </c>
      <c r="G115" t="inlineStr">
        <is>
          <t>Input 0–1</t>
        </is>
      </c>
      <c r="H115" t="inlineStr">
        <is>
          <t>Input 0–1</t>
        </is>
      </c>
      <c r="I115" t="inlineStr">
        <is>
          <t>Input 0–1</t>
        </is>
      </c>
      <c r="J115" t="inlineStr">
        <is>
          <t>Input 0–1</t>
        </is>
      </c>
      <c r="K115" t="inlineStr">
        <is>
          <t>Input 0–1</t>
        </is>
      </c>
      <c r="L115" t="inlineStr">
        <is>
          <t>Input 0–1</t>
        </is>
      </c>
      <c r="M115" t="inlineStr">
        <is>
          <t>LOW / MODERATE / HIGH</t>
        </is>
      </c>
      <c r="N115" t="inlineStr">
        <is>
          <t>Review if high score + weak evidence or contradiction</t>
        </is>
      </c>
    </row>
    <row r="116">
      <c r="A116" t="n">
        <v>116</v>
      </c>
      <c r="B116" t="inlineStr">
        <is>
          <t>D09</t>
        </is>
      </c>
      <c r="C116" t="inlineStr">
        <is>
          <t>I12</t>
        </is>
      </c>
      <c r="D116">
        <f>'P0-3_Scorecard'!H116</f>
        <v/>
      </c>
      <c r="E116" t="inlineStr">
        <is>
          <t>Input 0–1</t>
        </is>
      </c>
      <c r="F116" t="inlineStr">
        <is>
          <t>Input 0–1</t>
        </is>
      </c>
      <c r="G116" t="inlineStr">
        <is>
          <t>Input 0–1</t>
        </is>
      </c>
      <c r="H116" t="inlineStr">
        <is>
          <t>Input 0–1</t>
        </is>
      </c>
      <c r="I116" t="inlineStr">
        <is>
          <t>Input 0–1</t>
        </is>
      </c>
      <c r="J116" t="inlineStr">
        <is>
          <t>Input 0–1</t>
        </is>
      </c>
      <c r="K116" t="inlineStr">
        <is>
          <t>Input 0–1</t>
        </is>
      </c>
      <c r="L116" t="inlineStr">
        <is>
          <t>Input 0–1</t>
        </is>
      </c>
      <c r="M116" t="inlineStr">
        <is>
          <t>LOW / MODERATE / HIGH</t>
        </is>
      </c>
      <c r="N116" t="inlineStr">
        <is>
          <t>Review if high score + weak evidence or contradiction</t>
        </is>
      </c>
    </row>
    <row r="117">
      <c r="A117" t="n">
        <v>117</v>
      </c>
      <c r="B117" t="inlineStr">
        <is>
          <t>D10</t>
        </is>
      </c>
      <c r="C117" t="inlineStr">
        <is>
          <t>I01</t>
        </is>
      </c>
      <c r="D117">
        <f>'P0-3_Scorecard'!H117</f>
        <v/>
      </c>
      <c r="E117" t="inlineStr">
        <is>
          <t>Input 0–1</t>
        </is>
      </c>
      <c r="F117" t="inlineStr">
        <is>
          <t>Input 0–1</t>
        </is>
      </c>
      <c r="G117" t="inlineStr">
        <is>
          <t>Input 0–1</t>
        </is>
      </c>
      <c r="H117" t="inlineStr">
        <is>
          <t>Input 0–1</t>
        </is>
      </c>
      <c r="I117" t="inlineStr">
        <is>
          <t>Input 0–1</t>
        </is>
      </c>
      <c r="J117" t="inlineStr">
        <is>
          <t>Input 0–1</t>
        </is>
      </c>
      <c r="K117" t="inlineStr">
        <is>
          <t>Input 0–1</t>
        </is>
      </c>
      <c r="L117" t="inlineStr">
        <is>
          <t>Input 0–1</t>
        </is>
      </c>
      <c r="M117" t="inlineStr">
        <is>
          <t>LOW / MODERATE / HIGH</t>
        </is>
      </c>
      <c r="N117" t="inlineStr">
        <is>
          <t>Review if high score + weak evidence or contradiction</t>
        </is>
      </c>
    </row>
    <row r="118">
      <c r="A118" t="n">
        <v>118</v>
      </c>
      <c r="B118" t="inlineStr">
        <is>
          <t>D10</t>
        </is>
      </c>
      <c r="C118" t="inlineStr">
        <is>
          <t>I02</t>
        </is>
      </c>
      <c r="D118">
        <f>'P0-3_Scorecard'!H118</f>
        <v/>
      </c>
      <c r="E118" t="inlineStr">
        <is>
          <t>Input 0–1</t>
        </is>
      </c>
      <c r="F118" t="inlineStr">
        <is>
          <t>Input 0–1</t>
        </is>
      </c>
      <c r="G118" t="inlineStr">
        <is>
          <t>Input 0–1</t>
        </is>
      </c>
      <c r="H118" t="inlineStr">
        <is>
          <t>Input 0–1</t>
        </is>
      </c>
      <c r="I118" t="inlineStr">
        <is>
          <t>Input 0–1</t>
        </is>
      </c>
      <c r="J118" t="inlineStr">
        <is>
          <t>Input 0–1</t>
        </is>
      </c>
      <c r="K118" t="inlineStr">
        <is>
          <t>Input 0–1</t>
        </is>
      </c>
      <c r="L118" t="inlineStr">
        <is>
          <t>Input 0–1</t>
        </is>
      </c>
      <c r="M118" t="inlineStr">
        <is>
          <t>LOW / MODERATE / HIGH</t>
        </is>
      </c>
      <c r="N118" t="inlineStr">
        <is>
          <t>Review if high score + weak evidence or contradiction</t>
        </is>
      </c>
    </row>
    <row r="119">
      <c r="A119" t="n">
        <v>119</v>
      </c>
      <c r="B119" t="inlineStr">
        <is>
          <t>D10</t>
        </is>
      </c>
      <c r="C119" t="inlineStr">
        <is>
          <t>I03</t>
        </is>
      </c>
      <c r="D119">
        <f>'P0-3_Scorecard'!H119</f>
        <v/>
      </c>
      <c r="E119" t="inlineStr">
        <is>
          <t>Input 0–1</t>
        </is>
      </c>
      <c r="F119" t="inlineStr">
        <is>
          <t>Input 0–1</t>
        </is>
      </c>
      <c r="G119" t="inlineStr">
        <is>
          <t>Input 0–1</t>
        </is>
      </c>
      <c r="H119" t="inlineStr">
        <is>
          <t>Input 0–1</t>
        </is>
      </c>
      <c r="I119" t="inlineStr">
        <is>
          <t>Input 0–1</t>
        </is>
      </c>
      <c r="J119" t="inlineStr">
        <is>
          <t>Input 0–1</t>
        </is>
      </c>
      <c r="K119" t="inlineStr">
        <is>
          <t>Input 0–1</t>
        </is>
      </c>
      <c r="L119" t="inlineStr">
        <is>
          <t>Input 0–1</t>
        </is>
      </c>
      <c r="M119" t="inlineStr">
        <is>
          <t>LOW / MODERATE / HIGH</t>
        </is>
      </c>
      <c r="N119" t="inlineStr">
        <is>
          <t>Review if high score + weak evidence or contradiction</t>
        </is>
      </c>
    </row>
    <row r="120">
      <c r="A120" t="n">
        <v>120</v>
      </c>
      <c r="B120" t="inlineStr">
        <is>
          <t>D10</t>
        </is>
      </c>
      <c r="C120" t="inlineStr">
        <is>
          <t>I04</t>
        </is>
      </c>
      <c r="D120">
        <f>'P0-3_Scorecard'!H120</f>
        <v/>
      </c>
      <c r="E120" t="inlineStr">
        <is>
          <t>Input 0–1</t>
        </is>
      </c>
      <c r="F120" t="inlineStr">
        <is>
          <t>Input 0–1</t>
        </is>
      </c>
      <c r="G120" t="inlineStr">
        <is>
          <t>Input 0–1</t>
        </is>
      </c>
      <c r="H120" t="inlineStr">
        <is>
          <t>Input 0–1</t>
        </is>
      </c>
      <c r="I120" t="inlineStr">
        <is>
          <t>Input 0–1</t>
        </is>
      </c>
      <c r="J120" t="inlineStr">
        <is>
          <t>Input 0–1</t>
        </is>
      </c>
      <c r="K120" t="inlineStr">
        <is>
          <t>Input 0–1</t>
        </is>
      </c>
      <c r="L120" t="inlineStr">
        <is>
          <t>Input 0–1</t>
        </is>
      </c>
      <c r="M120" t="inlineStr">
        <is>
          <t>LOW / MODERATE / HIGH</t>
        </is>
      </c>
      <c r="N120" t="inlineStr">
        <is>
          <t>Review if high score + weak evidence or contradiction</t>
        </is>
      </c>
    </row>
    <row r="121">
      <c r="A121" t="n">
        <v>121</v>
      </c>
      <c r="B121" t="inlineStr">
        <is>
          <t>D10</t>
        </is>
      </c>
      <c r="C121" t="inlineStr">
        <is>
          <t>I05</t>
        </is>
      </c>
      <c r="D121">
        <f>'P0-3_Scorecard'!H121</f>
        <v/>
      </c>
      <c r="E121" t="inlineStr">
        <is>
          <t>Input 0–1</t>
        </is>
      </c>
      <c r="F121" t="inlineStr">
        <is>
          <t>Input 0–1</t>
        </is>
      </c>
      <c r="G121" t="inlineStr">
        <is>
          <t>Input 0–1</t>
        </is>
      </c>
      <c r="H121" t="inlineStr">
        <is>
          <t>Input 0–1</t>
        </is>
      </c>
      <c r="I121" t="inlineStr">
        <is>
          <t>Input 0–1</t>
        </is>
      </c>
      <c r="J121" t="inlineStr">
        <is>
          <t>Input 0–1</t>
        </is>
      </c>
      <c r="K121" t="inlineStr">
        <is>
          <t>Input 0–1</t>
        </is>
      </c>
      <c r="L121" t="inlineStr">
        <is>
          <t>Input 0–1</t>
        </is>
      </c>
      <c r="M121" t="inlineStr">
        <is>
          <t>LOW / MODERATE / HIGH</t>
        </is>
      </c>
      <c r="N121" t="inlineStr">
        <is>
          <t>Review if high score + weak evidence or contradiction</t>
        </is>
      </c>
    </row>
    <row r="122">
      <c r="A122" t="n">
        <v>122</v>
      </c>
      <c r="B122" t="inlineStr">
        <is>
          <t>D10</t>
        </is>
      </c>
      <c r="C122" t="inlineStr">
        <is>
          <t>I06</t>
        </is>
      </c>
      <c r="D122">
        <f>'P0-3_Scorecard'!H122</f>
        <v/>
      </c>
      <c r="E122" t="inlineStr">
        <is>
          <t>Input 0–1</t>
        </is>
      </c>
      <c r="F122" t="inlineStr">
        <is>
          <t>Input 0–1</t>
        </is>
      </c>
      <c r="G122" t="inlineStr">
        <is>
          <t>Input 0–1</t>
        </is>
      </c>
      <c r="H122" t="inlineStr">
        <is>
          <t>Input 0–1</t>
        </is>
      </c>
      <c r="I122" t="inlineStr">
        <is>
          <t>Input 0–1</t>
        </is>
      </c>
      <c r="J122" t="inlineStr">
        <is>
          <t>Input 0–1</t>
        </is>
      </c>
      <c r="K122" t="inlineStr">
        <is>
          <t>Input 0–1</t>
        </is>
      </c>
      <c r="L122" t="inlineStr">
        <is>
          <t>Input 0–1</t>
        </is>
      </c>
      <c r="M122" t="inlineStr">
        <is>
          <t>LOW / MODERATE / HIGH</t>
        </is>
      </c>
      <c r="N122" t="inlineStr">
        <is>
          <t>Review if high score + weak evidence or contradiction</t>
        </is>
      </c>
    </row>
    <row r="123">
      <c r="A123" t="n">
        <v>123</v>
      </c>
      <c r="B123" t="inlineStr">
        <is>
          <t>D10</t>
        </is>
      </c>
      <c r="C123" t="inlineStr">
        <is>
          <t>I07</t>
        </is>
      </c>
      <c r="D123">
        <f>'P0-3_Scorecard'!H123</f>
        <v/>
      </c>
      <c r="E123" t="inlineStr">
        <is>
          <t>Input 0–1</t>
        </is>
      </c>
      <c r="F123" t="inlineStr">
        <is>
          <t>Input 0–1</t>
        </is>
      </c>
      <c r="G123" t="inlineStr">
        <is>
          <t>Input 0–1</t>
        </is>
      </c>
      <c r="H123" t="inlineStr">
        <is>
          <t>Input 0–1</t>
        </is>
      </c>
      <c r="I123" t="inlineStr">
        <is>
          <t>Input 0–1</t>
        </is>
      </c>
      <c r="J123" t="inlineStr">
        <is>
          <t>Input 0–1</t>
        </is>
      </c>
      <c r="K123" t="inlineStr">
        <is>
          <t>Input 0–1</t>
        </is>
      </c>
      <c r="L123" t="inlineStr">
        <is>
          <t>Input 0–1</t>
        </is>
      </c>
      <c r="M123" t="inlineStr">
        <is>
          <t>LOW / MODERATE / HIGH</t>
        </is>
      </c>
      <c r="N123" t="inlineStr">
        <is>
          <t>Review if high score + weak evidence or contradiction</t>
        </is>
      </c>
    </row>
    <row r="124">
      <c r="A124" t="n">
        <v>124</v>
      </c>
      <c r="B124" t="inlineStr">
        <is>
          <t>D10</t>
        </is>
      </c>
      <c r="C124" t="inlineStr">
        <is>
          <t>I08</t>
        </is>
      </c>
      <c r="D124">
        <f>'P0-3_Scorecard'!H124</f>
        <v/>
      </c>
      <c r="E124" t="inlineStr">
        <is>
          <t>Input 0–1</t>
        </is>
      </c>
      <c r="F124" t="inlineStr">
        <is>
          <t>Input 0–1</t>
        </is>
      </c>
      <c r="G124" t="inlineStr">
        <is>
          <t>Input 0–1</t>
        </is>
      </c>
      <c r="H124" t="inlineStr">
        <is>
          <t>Input 0–1</t>
        </is>
      </c>
      <c r="I124" t="inlineStr">
        <is>
          <t>Input 0–1</t>
        </is>
      </c>
      <c r="J124" t="inlineStr">
        <is>
          <t>Input 0–1</t>
        </is>
      </c>
      <c r="K124" t="inlineStr">
        <is>
          <t>Input 0–1</t>
        </is>
      </c>
      <c r="L124" t="inlineStr">
        <is>
          <t>Input 0–1</t>
        </is>
      </c>
      <c r="M124" t="inlineStr">
        <is>
          <t>LOW / MODERATE / HIGH</t>
        </is>
      </c>
      <c r="N124" t="inlineStr">
        <is>
          <t>Review if high score + weak evidence or contradiction</t>
        </is>
      </c>
    </row>
    <row r="125">
      <c r="A125" t="n">
        <v>125</v>
      </c>
      <c r="B125" t="inlineStr">
        <is>
          <t>D10</t>
        </is>
      </c>
      <c r="C125" t="inlineStr">
        <is>
          <t>I09</t>
        </is>
      </c>
      <c r="D125">
        <f>'P0-3_Scorecard'!H125</f>
        <v/>
      </c>
      <c r="E125" t="inlineStr">
        <is>
          <t>Input 0–1</t>
        </is>
      </c>
      <c r="F125" t="inlineStr">
        <is>
          <t>Input 0–1</t>
        </is>
      </c>
      <c r="G125" t="inlineStr">
        <is>
          <t>Input 0–1</t>
        </is>
      </c>
      <c r="H125" t="inlineStr">
        <is>
          <t>Input 0–1</t>
        </is>
      </c>
      <c r="I125" t="inlineStr">
        <is>
          <t>Input 0–1</t>
        </is>
      </c>
      <c r="J125" t="inlineStr">
        <is>
          <t>Input 0–1</t>
        </is>
      </c>
      <c r="K125" t="inlineStr">
        <is>
          <t>Input 0–1</t>
        </is>
      </c>
      <c r="L125" t="inlineStr">
        <is>
          <t>Input 0–1</t>
        </is>
      </c>
      <c r="M125" t="inlineStr">
        <is>
          <t>LOW / MODERATE / HIGH</t>
        </is>
      </c>
      <c r="N125" t="inlineStr">
        <is>
          <t>Review if high score + weak evidence or contradiction</t>
        </is>
      </c>
    </row>
    <row r="126">
      <c r="A126" t="n">
        <v>126</v>
      </c>
      <c r="B126" t="inlineStr">
        <is>
          <t>D10</t>
        </is>
      </c>
      <c r="C126" t="inlineStr">
        <is>
          <t>I10</t>
        </is>
      </c>
      <c r="D126">
        <f>'P0-3_Scorecard'!H126</f>
        <v/>
      </c>
      <c r="E126" t="inlineStr">
        <is>
          <t>Input 0–1</t>
        </is>
      </c>
      <c r="F126" t="inlineStr">
        <is>
          <t>Input 0–1</t>
        </is>
      </c>
      <c r="G126" t="inlineStr">
        <is>
          <t>Input 0–1</t>
        </is>
      </c>
      <c r="H126" t="inlineStr">
        <is>
          <t>Input 0–1</t>
        </is>
      </c>
      <c r="I126" t="inlineStr">
        <is>
          <t>Input 0–1</t>
        </is>
      </c>
      <c r="J126" t="inlineStr">
        <is>
          <t>Input 0–1</t>
        </is>
      </c>
      <c r="K126" t="inlineStr">
        <is>
          <t>Input 0–1</t>
        </is>
      </c>
      <c r="L126" t="inlineStr">
        <is>
          <t>Input 0–1</t>
        </is>
      </c>
      <c r="M126" t="inlineStr">
        <is>
          <t>LOW / MODERATE / HIGH</t>
        </is>
      </c>
      <c r="N126" t="inlineStr">
        <is>
          <t>Review if high score + weak evidence or contradiction</t>
        </is>
      </c>
    </row>
    <row r="127">
      <c r="A127" t="n">
        <v>127</v>
      </c>
      <c r="B127" t="inlineStr">
        <is>
          <t>D10</t>
        </is>
      </c>
      <c r="C127" t="inlineStr">
        <is>
          <t>I11</t>
        </is>
      </c>
      <c r="D127">
        <f>'P0-3_Scorecard'!H127</f>
        <v/>
      </c>
      <c r="E127" t="inlineStr">
        <is>
          <t>Input 0–1</t>
        </is>
      </c>
      <c r="F127" t="inlineStr">
        <is>
          <t>Input 0–1</t>
        </is>
      </c>
      <c r="G127" t="inlineStr">
        <is>
          <t>Input 0–1</t>
        </is>
      </c>
      <c r="H127" t="inlineStr">
        <is>
          <t>Input 0–1</t>
        </is>
      </c>
      <c r="I127" t="inlineStr">
        <is>
          <t>Input 0–1</t>
        </is>
      </c>
      <c r="J127" t="inlineStr">
        <is>
          <t>Input 0–1</t>
        </is>
      </c>
      <c r="K127" t="inlineStr">
        <is>
          <t>Input 0–1</t>
        </is>
      </c>
      <c r="L127" t="inlineStr">
        <is>
          <t>Input 0–1</t>
        </is>
      </c>
      <c r="M127" t="inlineStr">
        <is>
          <t>LOW / MODERATE / HIGH</t>
        </is>
      </c>
      <c r="N127" t="inlineStr">
        <is>
          <t>Review if high score + weak evidence or contradiction</t>
        </is>
      </c>
    </row>
    <row r="128">
      <c r="A128" t="n">
        <v>128</v>
      </c>
      <c r="B128" t="inlineStr">
        <is>
          <t>D10</t>
        </is>
      </c>
      <c r="C128" t="inlineStr">
        <is>
          <t>I12</t>
        </is>
      </c>
      <c r="D128">
        <f>'P0-3_Scorecard'!H128</f>
        <v/>
      </c>
      <c r="E128" t="inlineStr">
        <is>
          <t>Input 0–1</t>
        </is>
      </c>
      <c r="F128" t="inlineStr">
        <is>
          <t>Input 0–1</t>
        </is>
      </c>
      <c r="G128" t="inlineStr">
        <is>
          <t>Input 0–1</t>
        </is>
      </c>
      <c r="H128" t="inlineStr">
        <is>
          <t>Input 0–1</t>
        </is>
      </c>
      <c r="I128" t="inlineStr">
        <is>
          <t>Input 0–1</t>
        </is>
      </c>
      <c r="J128" t="inlineStr">
        <is>
          <t>Input 0–1</t>
        </is>
      </c>
      <c r="K128" t="inlineStr">
        <is>
          <t>Input 0–1</t>
        </is>
      </c>
      <c r="L128" t="inlineStr">
        <is>
          <t>Input 0–1</t>
        </is>
      </c>
      <c r="M128" t="inlineStr">
        <is>
          <t>LOW / MODERATE / HIGH</t>
        </is>
      </c>
      <c r="N128" t="inlineStr">
        <is>
          <t>Review if high score + weak evidence or contradiction</t>
        </is>
      </c>
    </row>
    <row r="129">
      <c r="A129" t="n">
        <v>129</v>
      </c>
      <c r="B129" t="inlineStr">
        <is>
          <t>D10</t>
        </is>
      </c>
      <c r="C129" t="inlineStr">
        <is>
          <t>I13</t>
        </is>
      </c>
      <c r="D129">
        <f>'P0-3_Scorecard'!H129</f>
        <v/>
      </c>
      <c r="E129" t="inlineStr">
        <is>
          <t>Input 0–1</t>
        </is>
      </c>
      <c r="F129" t="inlineStr">
        <is>
          <t>Input 0–1</t>
        </is>
      </c>
      <c r="G129" t="inlineStr">
        <is>
          <t>Input 0–1</t>
        </is>
      </c>
      <c r="H129" t="inlineStr">
        <is>
          <t>Input 0–1</t>
        </is>
      </c>
      <c r="I129" t="inlineStr">
        <is>
          <t>Input 0–1</t>
        </is>
      </c>
      <c r="J129" t="inlineStr">
        <is>
          <t>Input 0–1</t>
        </is>
      </c>
      <c r="K129" t="inlineStr">
        <is>
          <t>Input 0–1</t>
        </is>
      </c>
      <c r="L129" t="inlineStr">
        <is>
          <t>Input 0–1</t>
        </is>
      </c>
      <c r="M129" t="inlineStr">
        <is>
          <t>LOW / MODERATE / HIGH</t>
        </is>
      </c>
      <c r="N129" t="inlineStr">
        <is>
          <t>Review if high score + weak evidence or contradiction</t>
        </is>
      </c>
    </row>
    <row r="130">
      <c r="A130" t="n">
        <v>130</v>
      </c>
      <c r="B130" t="inlineStr">
        <is>
          <t>D10</t>
        </is>
      </c>
      <c r="C130" t="inlineStr">
        <is>
          <t>I14</t>
        </is>
      </c>
      <c r="D130">
        <f>'P0-3_Scorecard'!H130</f>
        <v/>
      </c>
      <c r="E130" t="inlineStr">
        <is>
          <t>Input 0–1</t>
        </is>
      </c>
      <c r="F130" t="inlineStr">
        <is>
          <t>Input 0–1</t>
        </is>
      </c>
      <c r="G130" t="inlineStr">
        <is>
          <t>Input 0–1</t>
        </is>
      </c>
      <c r="H130" t="inlineStr">
        <is>
          <t>Input 0–1</t>
        </is>
      </c>
      <c r="I130" t="inlineStr">
        <is>
          <t>Input 0–1</t>
        </is>
      </c>
      <c r="J130" t="inlineStr">
        <is>
          <t>Input 0–1</t>
        </is>
      </c>
      <c r="K130" t="inlineStr">
        <is>
          <t>Input 0–1</t>
        </is>
      </c>
      <c r="L130" t="inlineStr">
        <is>
          <t>Input 0–1</t>
        </is>
      </c>
      <c r="M130" t="inlineStr">
        <is>
          <t>LOW / MODERATE / HIGH</t>
        </is>
      </c>
      <c r="N130" t="inlineStr">
        <is>
          <t>Review if high score + weak evidence or contradiction</t>
        </is>
      </c>
    </row>
    <row r="131">
      <c r="A131" t="n">
        <v>131</v>
      </c>
      <c r="B131" t="inlineStr">
        <is>
          <t>D11</t>
        </is>
      </c>
      <c r="C131" t="inlineStr">
        <is>
          <t>I01</t>
        </is>
      </c>
      <c r="D131">
        <f>'P0-3_Scorecard'!H131</f>
        <v/>
      </c>
      <c r="E131" t="inlineStr">
        <is>
          <t>Input 0–1</t>
        </is>
      </c>
      <c r="F131" t="inlineStr">
        <is>
          <t>Input 0–1</t>
        </is>
      </c>
      <c r="G131" t="inlineStr">
        <is>
          <t>Input 0–1</t>
        </is>
      </c>
      <c r="H131" t="inlineStr">
        <is>
          <t>Input 0–1</t>
        </is>
      </c>
      <c r="I131" t="inlineStr">
        <is>
          <t>Input 0–1</t>
        </is>
      </c>
      <c r="J131" t="inlineStr">
        <is>
          <t>Input 0–1</t>
        </is>
      </c>
      <c r="K131" t="inlineStr">
        <is>
          <t>Input 0–1</t>
        </is>
      </c>
      <c r="L131" t="inlineStr">
        <is>
          <t>Input 0–1</t>
        </is>
      </c>
      <c r="M131" t="inlineStr">
        <is>
          <t>LOW / MODERATE / HIGH</t>
        </is>
      </c>
      <c r="N131" t="inlineStr">
        <is>
          <t>Review if high score + weak evidence or contradiction</t>
        </is>
      </c>
    </row>
    <row r="132">
      <c r="A132" t="n">
        <v>132</v>
      </c>
      <c r="B132" t="inlineStr">
        <is>
          <t>D11</t>
        </is>
      </c>
      <c r="C132" t="inlineStr">
        <is>
          <t>I02</t>
        </is>
      </c>
      <c r="D132">
        <f>'P0-3_Scorecard'!H132</f>
        <v/>
      </c>
      <c r="E132" t="inlineStr">
        <is>
          <t>Input 0–1</t>
        </is>
      </c>
      <c r="F132" t="inlineStr">
        <is>
          <t>Input 0–1</t>
        </is>
      </c>
      <c r="G132" t="inlineStr">
        <is>
          <t>Input 0–1</t>
        </is>
      </c>
      <c r="H132" t="inlineStr">
        <is>
          <t>Input 0–1</t>
        </is>
      </c>
      <c r="I132" t="inlineStr">
        <is>
          <t>Input 0–1</t>
        </is>
      </c>
      <c r="J132" t="inlineStr">
        <is>
          <t>Input 0–1</t>
        </is>
      </c>
      <c r="K132" t="inlineStr">
        <is>
          <t>Input 0–1</t>
        </is>
      </c>
      <c r="L132" t="inlineStr">
        <is>
          <t>Input 0–1</t>
        </is>
      </c>
      <c r="M132" t="inlineStr">
        <is>
          <t>LOW / MODERATE / HIGH</t>
        </is>
      </c>
      <c r="N132" t="inlineStr">
        <is>
          <t>Review if high score + weak evidence or contradiction</t>
        </is>
      </c>
    </row>
    <row r="133">
      <c r="A133" t="n">
        <v>133</v>
      </c>
      <c r="B133" t="inlineStr">
        <is>
          <t>D11</t>
        </is>
      </c>
      <c r="C133" t="inlineStr">
        <is>
          <t>I03</t>
        </is>
      </c>
      <c r="D133">
        <f>'P0-3_Scorecard'!H133</f>
        <v/>
      </c>
      <c r="E133" t="inlineStr">
        <is>
          <t>Input 0–1</t>
        </is>
      </c>
      <c r="F133" t="inlineStr">
        <is>
          <t>Input 0–1</t>
        </is>
      </c>
      <c r="G133" t="inlineStr">
        <is>
          <t>Input 0–1</t>
        </is>
      </c>
      <c r="H133" t="inlineStr">
        <is>
          <t>Input 0–1</t>
        </is>
      </c>
      <c r="I133" t="inlineStr">
        <is>
          <t>Input 0–1</t>
        </is>
      </c>
      <c r="J133" t="inlineStr">
        <is>
          <t>Input 0–1</t>
        </is>
      </c>
      <c r="K133" t="inlineStr">
        <is>
          <t>Input 0–1</t>
        </is>
      </c>
      <c r="L133" t="inlineStr">
        <is>
          <t>Input 0–1</t>
        </is>
      </c>
      <c r="M133" t="inlineStr">
        <is>
          <t>LOW / MODERATE / HIGH</t>
        </is>
      </c>
      <c r="N133" t="inlineStr">
        <is>
          <t>Review if high score + weak evidence or contradiction</t>
        </is>
      </c>
    </row>
    <row r="134">
      <c r="A134" t="n">
        <v>134</v>
      </c>
      <c r="B134" t="inlineStr">
        <is>
          <t>D11</t>
        </is>
      </c>
      <c r="C134" t="inlineStr">
        <is>
          <t>I04</t>
        </is>
      </c>
      <c r="D134">
        <f>'P0-3_Scorecard'!H134</f>
        <v/>
      </c>
      <c r="E134" t="inlineStr">
        <is>
          <t>Input 0–1</t>
        </is>
      </c>
      <c r="F134" t="inlineStr">
        <is>
          <t>Input 0–1</t>
        </is>
      </c>
      <c r="G134" t="inlineStr">
        <is>
          <t>Input 0–1</t>
        </is>
      </c>
      <c r="H134" t="inlineStr">
        <is>
          <t>Input 0–1</t>
        </is>
      </c>
      <c r="I134" t="inlineStr">
        <is>
          <t>Input 0–1</t>
        </is>
      </c>
      <c r="J134" t="inlineStr">
        <is>
          <t>Input 0–1</t>
        </is>
      </c>
      <c r="K134" t="inlineStr">
        <is>
          <t>Input 0–1</t>
        </is>
      </c>
      <c r="L134" t="inlineStr">
        <is>
          <t>Input 0–1</t>
        </is>
      </c>
      <c r="M134" t="inlineStr">
        <is>
          <t>LOW / MODERATE / HIGH</t>
        </is>
      </c>
      <c r="N134" t="inlineStr">
        <is>
          <t>Review if high score + weak evidence or contradiction</t>
        </is>
      </c>
    </row>
    <row r="135">
      <c r="A135" t="n">
        <v>135</v>
      </c>
      <c r="B135" t="inlineStr">
        <is>
          <t>D11</t>
        </is>
      </c>
      <c r="C135" t="inlineStr">
        <is>
          <t>I05</t>
        </is>
      </c>
      <c r="D135">
        <f>'P0-3_Scorecard'!H135</f>
        <v/>
      </c>
      <c r="E135" t="inlineStr">
        <is>
          <t>Input 0–1</t>
        </is>
      </c>
      <c r="F135" t="inlineStr">
        <is>
          <t>Input 0–1</t>
        </is>
      </c>
      <c r="G135" t="inlineStr">
        <is>
          <t>Input 0–1</t>
        </is>
      </c>
      <c r="H135" t="inlineStr">
        <is>
          <t>Input 0–1</t>
        </is>
      </c>
      <c r="I135" t="inlineStr">
        <is>
          <t>Input 0–1</t>
        </is>
      </c>
      <c r="J135" t="inlineStr">
        <is>
          <t>Input 0–1</t>
        </is>
      </c>
      <c r="K135" t="inlineStr">
        <is>
          <t>Input 0–1</t>
        </is>
      </c>
      <c r="L135" t="inlineStr">
        <is>
          <t>Input 0–1</t>
        </is>
      </c>
      <c r="M135" t="inlineStr">
        <is>
          <t>LOW / MODERATE / HIGH</t>
        </is>
      </c>
      <c r="N135" t="inlineStr">
        <is>
          <t>Review if high score + weak evidence or contradiction</t>
        </is>
      </c>
    </row>
    <row r="136">
      <c r="A136" t="n">
        <v>136</v>
      </c>
      <c r="B136" t="inlineStr">
        <is>
          <t>D11</t>
        </is>
      </c>
      <c r="C136" t="inlineStr">
        <is>
          <t>I06</t>
        </is>
      </c>
      <c r="D136">
        <f>'P0-3_Scorecard'!H136</f>
        <v/>
      </c>
      <c r="E136" t="inlineStr">
        <is>
          <t>Input 0–1</t>
        </is>
      </c>
      <c r="F136" t="inlineStr">
        <is>
          <t>Input 0–1</t>
        </is>
      </c>
      <c r="G136" t="inlineStr">
        <is>
          <t>Input 0–1</t>
        </is>
      </c>
      <c r="H136" t="inlineStr">
        <is>
          <t>Input 0–1</t>
        </is>
      </c>
      <c r="I136" t="inlineStr">
        <is>
          <t>Input 0–1</t>
        </is>
      </c>
      <c r="J136" t="inlineStr">
        <is>
          <t>Input 0–1</t>
        </is>
      </c>
      <c r="K136" t="inlineStr">
        <is>
          <t>Input 0–1</t>
        </is>
      </c>
      <c r="L136" t="inlineStr">
        <is>
          <t>Input 0–1</t>
        </is>
      </c>
      <c r="M136" t="inlineStr">
        <is>
          <t>LOW / MODERATE / HIGH</t>
        </is>
      </c>
      <c r="N136" t="inlineStr">
        <is>
          <t>Review if high score + weak evidence or contradiction</t>
        </is>
      </c>
    </row>
    <row r="137">
      <c r="A137" t="n">
        <v>137</v>
      </c>
      <c r="B137" t="inlineStr">
        <is>
          <t>D11</t>
        </is>
      </c>
      <c r="C137" t="inlineStr">
        <is>
          <t>I07</t>
        </is>
      </c>
      <c r="D137">
        <f>'P0-3_Scorecard'!H137</f>
        <v/>
      </c>
      <c r="E137" t="inlineStr">
        <is>
          <t>Input 0–1</t>
        </is>
      </c>
      <c r="F137" t="inlineStr">
        <is>
          <t>Input 0–1</t>
        </is>
      </c>
      <c r="G137" t="inlineStr">
        <is>
          <t>Input 0–1</t>
        </is>
      </c>
      <c r="H137" t="inlineStr">
        <is>
          <t>Input 0–1</t>
        </is>
      </c>
      <c r="I137" t="inlineStr">
        <is>
          <t>Input 0–1</t>
        </is>
      </c>
      <c r="J137" t="inlineStr">
        <is>
          <t>Input 0–1</t>
        </is>
      </c>
      <c r="K137" t="inlineStr">
        <is>
          <t>Input 0–1</t>
        </is>
      </c>
      <c r="L137" t="inlineStr">
        <is>
          <t>Input 0–1</t>
        </is>
      </c>
      <c r="M137" t="inlineStr">
        <is>
          <t>LOW / MODERATE / HIGH</t>
        </is>
      </c>
      <c r="N137" t="inlineStr">
        <is>
          <t>Review if high score + weak evidence or contradiction</t>
        </is>
      </c>
    </row>
    <row r="138">
      <c r="A138" t="n">
        <v>138</v>
      </c>
      <c r="B138" t="inlineStr">
        <is>
          <t>D11</t>
        </is>
      </c>
      <c r="C138" t="inlineStr">
        <is>
          <t>I08</t>
        </is>
      </c>
      <c r="D138">
        <f>'P0-3_Scorecard'!H138</f>
        <v/>
      </c>
      <c r="E138" t="inlineStr">
        <is>
          <t>Input 0–1</t>
        </is>
      </c>
      <c r="F138" t="inlineStr">
        <is>
          <t>Input 0–1</t>
        </is>
      </c>
      <c r="G138" t="inlineStr">
        <is>
          <t>Input 0–1</t>
        </is>
      </c>
      <c r="H138" t="inlineStr">
        <is>
          <t>Input 0–1</t>
        </is>
      </c>
      <c r="I138" t="inlineStr">
        <is>
          <t>Input 0–1</t>
        </is>
      </c>
      <c r="J138" t="inlineStr">
        <is>
          <t>Input 0–1</t>
        </is>
      </c>
      <c r="K138" t="inlineStr">
        <is>
          <t>Input 0–1</t>
        </is>
      </c>
      <c r="L138" t="inlineStr">
        <is>
          <t>Input 0–1</t>
        </is>
      </c>
      <c r="M138" t="inlineStr">
        <is>
          <t>LOW / MODERATE / HIGH</t>
        </is>
      </c>
      <c r="N138" t="inlineStr">
        <is>
          <t>Review if high score + weak evidence or contradiction</t>
        </is>
      </c>
    </row>
    <row r="139">
      <c r="A139" t="n">
        <v>139</v>
      </c>
      <c r="B139" t="inlineStr">
        <is>
          <t>D11</t>
        </is>
      </c>
      <c r="C139" t="inlineStr">
        <is>
          <t>I09</t>
        </is>
      </c>
      <c r="D139">
        <f>'P0-3_Scorecard'!H139</f>
        <v/>
      </c>
      <c r="E139" t="inlineStr">
        <is>
          <t>Input 0–1</t>
        </is>
      </c>
      <c r="F139" t="inlineStr">
        <is>
          <t>Input 0–1</t>
        </is>
      </c>
      <c r="G139" t="inlineStr">
        <is>
          <t>Input 0–1</t>
        </is>
      </c>
      <c r="H139" t="inlineStr">
        <is>
          <t>Input 0–1</t>
        </is>
      </c>
      <c r="I139" t="inlineStr">
        <is>
          <t>Input 0–1</t>
        </is>
      </c>
      <c r="J139" t="inlineStr">
        <is>
          <t>Input 0–1</t>
        </is>
      </c>
      <c r="K139" t="inlineStr">
        <is>
          <t>Input 0–1</t>
        </is>
      </c>
      <c r="L139" t="inlineStr">
        <is>
          <t>Input 0–1</t>
        </is>
      </c>
      <c r="M139" t="inlineStr">
        <is>
          <t>LOW / MODERATE / HIGH</t>
        </is>
      </c>
      <c r="N139" t="inlineStr">
        <is>
          <t>Review if high score + weak evidence or contradiction</t>
        </is>
      </c>
    </row>
    <row r="140">
      <c r="A140" t="n">
        <v>140</v>
      </c>
      <c r="B140" t="inlineStr">
        <is>
          <t>D11</t>
        </is>
      </c>
      <c r="C140" t="inlineStr">
        <is>
          <t>I10</t>
        </is>
      </c>
      <c r="D140">
        <f>'P0-3_Scorecard'!H140</f>
        <v/>
      </c>
      <c r="E140" t="inlineStr">
        <is>
          <t>Input 0–1</t>
        </is>
      </c>
      <c r="F140" t="inlineStr">
        <is>
          <t>Input 0–1</t>
        </is>
      </c>
      <c r="G140" t="inlineStr">
        <is>
          <t>Input 0–1</t>
        </is>
      </c>
      <c r="H140" t="inlineStr">
        <is>
          <t>Input 0–1</t>
        </is>
      </c>
      <c r="I140" t="inlineStr">
        <is>
          <t>Input 0–1</t>
        </is>
      </c>
      <c r="J140" t="inlineStr">
        <is>
          <t>Input 0–1</t>
        </is>
      </c>
      <c r="K140" t="inlineStr">
        <is>
          <t>Input 0–1</t>
        </is>
      </c>
      <c r="L140" t="inlineStr">
        <is>
          <t>Input 0–1</t>
        </is>
      </c>
      <c r="M140" t="inlineStr">
        <is>
          <t>LOW / MODERATE / HIGH</t>
        </is>
      </c>
      <c r="N140" t="inlineStr">
        <is>
          <t>Review if high score + weak evidence or contradiction</t>
        </is>
      </c>
    </row>
    <row r="141">
      <c r="A141" t="n">
        <v>141</v>
      </c>
      <c r="B141" t="inlineStr">
        <is>
          <t>D11</t>
        </is>
      </c>
      <c r="C141" t="inlineStr">
        <is>
          <t>I11</t>
        </is>
      </c>
      <c r="D141">
        <f>'P0-3_Scorecard'!H141</f>
        <v/>
      </c>
      <c r="E141" t="inlineStr">
        <is>
          <t>Input 0–1</t>
        </is>
      </c>
      <c r="F141" t="inlineStr">
        <is>
          <t>Input 0–1</t>
        </is>
      </c>
      <c r="G141" t="inlineStr">
        <is>
          <t>Input 0–1</t>
        </is>
      </c>
      <c r="H141" t="inlineStr">
        <is>
          <t>Input 0–1</t>
        </is>
      </c>
      <c r="I141" t="inlineStr">
        <is>
          <t>Input 0–1</t>
        </is>
      </c>
      <c r="J141" t="inlineStr">
        <is>
          <t>Input 0–1</t>
        </is>
      </c>
      <c r="K141" t="inlineStr">
        <is>
          <t>Input 0–1</t>
        </is>
      </c>
      <c r="L141" t="inlineStr">
        <is>
          <t>Input 0–1</t>
        </is>
      </c>
      <c r="M141" t="inlineStr">
        <is>
          <t>LOW / MODERATE / HIGH</t>
        </is>
      </c>
      <c r="N141" t="inlineStr">
        <is>
          <t>Review if high score + weak evidence or contradiction</t>
        </is>
      </c>
    </row>
    <row r="142">
      <c r="A142" t="n">
        <v>142</v>
      </c>
      <c r="B142" t="inlineStr">
        <is>
          <t>D11</t>
        </is>
      </c>
      <c r="C142" t="inlineStr">
        <is>
          <t>I12</t>
        </is>
      </c>
      <c r="D142">
        <f>'P0-3_Scorecard'!H142</f>
        <v/>
      </c>
      <c r="E142" t="inlineStr">
        <is>
          <t>Input 0–1</t>
        </is>
      </c>
      <c r="F142" t="inlineStr">
        <is>
          <t>Input 0–1</t>
        </is>
      </c>
      <c r="G142" t="inlineStr">
        <is>
          <t>Input 0–1</t>
        </is>
      </c>
      <c r="H142" t="inlineStr">
        <is>
          <t>Input 0–1</t>
        </is>
      </c>
      <c r="I142" t="inlineStr">
        <is>
          <t>Input 0–1</t>
        </is>
      </c>
      <c r="J142" t="inlineStr">
        <is>
          <t>Input 0–1</t>
        </is>
      </c>
      <c r="K142" t="inlineStr">
        <is>
          <t>Input 0–1</t>
        </is>
      </c>
      <c r="L142" t="inlineStr">
        <is>
          <t>Input 0–1</t>
        </is>
      </c>
      <c r="M142" t="inlineStr">
        <is>
          <t>LOW / MODERATE / HIGH</t>
        </is>
      </c>
      <c r="N142" t="inlineStr">
        <is>
          <t>Review if high score + weak evidence or contradiction</t>
        </is>
      </c>
    </row>
    <row r="143">
      <c r="A143" t="n">
        <v>143</v>
      </c>
      <c r="B143" t="inlineStr">
        <is>
          <t>D11</t>
        </is>
      </c>
      <c r="C143" t="inlineStr">
        <is>
          <t>I13</t>
        </is>
      </c>
      <c r="D143">
        <f>'P0-3_Scorecard'!H143</f>
        <v/>
      </c>
      <c r="E143" t="inlineStr">
        <is>
          <t>Input 0–1</t>
        </is>
      </c>
      <c r="F143" t="inlineStr">
        <is>
          <t>Input 0–1</t>
        </is>
      </c>
      <c r="G143" t="inlineStr">
        <is>
          <t>Input 0–1</t>
        </is>
      </c>
      <c r="H143" t="inlineStr">
        <is>
          <t>Input 0–1</t>
        </is>
      </c>
      <c r="I143" t="inlineStr">
        <is>
          <t>Input 0–1</t>
        </is>
      </c>
      <c r="J143" t="inlineStr">
        <is>
          <t>Input 0–1</t>
        </is>
      </c>
      <c r="K143" t="inlineStr">
        <is>
          <t>Input 0–1</t>
        </is>
      </c>
      <c r="L143" t="inlineStr">
        <is>
          <t>Input 0–1</t>
        </is>
      </c>
      <c r="M143" t="inlineStr">
        <is>
          <t>LOW / MODERATE / HIGH</t>
        </is>
      </c>
      <c r="N143" t="inlineStr">
        <is>
          <t>Review if high score + weak evidence or contradiction</t>
        </is>
      </c>
    </row>
    <row r="144">
      <c r="A144" t="n">
        <v>144</v>
      </c>
      <c r="B144" t="inlineStr">
        <is>
          <t>D11</t>
        </is>
      </c>
      <c r="C144" t="inlineStr">
        <is>
          <t>I14</t>
        </is>
      </c>
      <c r="D144">
        <f>'P0-3_Scorecard'!H144</f>
        <v/>
      </c>
      <c r="E144" t="inlineStr">
        <is>
          <t>Input 0–1</t>
        </is>
      </c>
      <c r="F144" t="inlineStr">
        <is>
          <t>Input 0–1</t>
        </is>
      </c>
      <c r="G144" t="inlineStr">
        <is>
          <t>Input 0–1</t>
        </is>
      </c>
      <c r="H144" t="inlineStr">
        <is>
          <t>Input 0–1</t>
        </is>
      </c>
      <c r="I144" t="inlineStr">
        <is>
          <t>Input 0–1</t>
        </is>
      </c>
      <c r="J144" t="inlineStr">
        <is>
          <t>Input 0–1</t>
        </is>
      </c>
      <c r="K144" t="inlineStr">
        <is>
          <t>Input 0–1</t>
        </is>
      </c>
      <c r="L144" t="inlineStr">
        <is>
          <t>Input 0–1</t>
        </is>
      </c>
      <c r="M144" t="inlineStr">
        <is>
          <t>LOW / MODERATE / HIGH</t>
        </is>
      </c>
      <c r="N144" t="inlineStr">
        <is>
          <t>Review if high score + weak evidence or contradiction</t>
        </is>
      </c>
    </row>
  </sheetData>
  <autoFilter ref="A1:N1"/>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 customWidth="1" min="1" max="1"/>
    <col width="29" customWidth="1" min="2" max="2"/>
    <col width="47" customWidth="1" min="3" max="3"/>
    <col width="36" customWidth="1" min="4" max="4"/>
    <col width="31" customWidth="1" min="5" max="5"/>
    <col width="47" customWidth="1" min="6" max="6"/>
    <col width="12" customWidth="1" min="7" max="7"/>
  </cols>
  <sheetData>
    <row r="1">
      <c r="A1" s="19" t="inlineStr">
        <is>
          <t>Rule ID</t>
        </is>
      </c>
      <c r="B1" s="19" t="inlineStr">
        <is>
          <t>Risk Pattern</t>
        </is>
      </c>
      <c r="C1" s="19" t="inlineStr">
        <is>
          <t>Detection Logic</t>
        </is>
      </c>
      <c r="D1" s="19" t="inlineStr">
        <is>
          <t>Evidence Signal</t>
        </is>
      </c>
      <c r="E1" s="19" t="inlineStr">
        <is>
          <t>Action</t>
        </is>
      </c>
      <c r="F1" s="19" t="inlineStr">
        <is>
          <t>Scoring Protection</t>
        </is>
      </c>
      <c r="G1" s="19" t="inlineStr">
        <is>
          <t>Severity</t>
        </is>
      </c>
    </row>
    <row r="2">
      <c r="A2" t="inlineStr">
        <is>
          <t>AG01</t>
        </is>
      </c>
      <c r="B2" t="inlineStr">
        <is>
          <t>Policy-only inflation</t>
        </is>
      </c>
      <c r="C2" t="inlineStr">
        <is>
          <t>Policy without implementation/outcome</t>
        </is>
      </c>
      <c r="D2" t="inlineStr">
        <is>
          <t>E1 policy only</t>
        </is>
      </c>
      <c r="E2" t="inlineStr">
        <is>
          <t>Request operational evidence</t>
        </is>
      </c>
      <c r="F2" t="inlineStr">
        <is>
          <t>No score uplift from policy alone</t>
        </is>
      </c>
      <c r="G2" t="inlineStr">
        <is>
          <t>HIGH</t>
        </is>
      </c>
    </row>
    <row r="3">
      <c r="A3" t="inlineStr">
        <is>
          <t>AG02</t>
        </is>
      </c>
      <c r="B3" t="inlineStr">
        <is>
          <t>Self-authored corroboration</t>
        </is>
      </c>
      <c r="C3" t="inlineStr">
        <is>
          <t>Multiple artifacts share one origin</t>
        </is>
      </c>
      <c r="D3" t="inlineStr">
        <is>
          <t>No independent source</t>
        </is>
      </c>
      <c r="E3" t="inlineStr">
        <is>
          <t>Count as one source</t>
        </is>
      </c>
      <c r="F3" t="inlineStr">
        <is>
          <t>No double corroboration</t>
        </is>
      </c>
      <c r="G3" t="inlineStr">
        <is>
          <t>HIGH</t>
        </is>
      </c>
    </row>
    <row r="4">
      <c r="A4" t="inlineStr">
        <is>
          <t>AG03</t>
        </is>
      </c>
      <c r="B4" t="inlineStr">
        <is>
          <t>Evidence recycling</t>
        </is>
      </c>
      <c r="C4" t="inlineStr">
        <is>
          <t>One artifact reused without construct mapping</t>
        </is>
      </c>
      <c r="D4" t="inlineStr">
        <is>
          <t>High reuse without distinct fields</t>
        </is>
      </c>
      <c r="E4" t="inlineStr">
        <is>
          <t>Flag and justify</t>
        </is>
      </c>
      <c r="F4" t="inlineStr">
        <is>
          <t>No automatic confidence increase</t>
        </is>
      </c>
      <c r="G4" t="inlineStr">
        <is>
          <t>MEDIUM</t>
        </is>
      </c>
    </row>
    <row r="5">
      <c r="A5" t="inlineStr">
        <is>
          <t>AG04</t>
        </is>
      </c>
      <c r="B5" t="inlineStr">
        <is>
          <t>Cherry-picked outcomes</t>
        </is>
      </c>
      <c r="C5" t="inlineStr">
        <is>
          <t>Only positive cases supplied</t>
        </is>
      </c>
      <c r="D5" t="inlineStr">
        <is>
          <t>Missing denominator/failures</t>
        </is>
      </c>
      <c r="E5" t="inlineStr">
        <is>
          <t>Request complete frame/sample</t>
        </is>
      </c>
      <c r="F5" t="inlineStr">
        <is>
          <t>No representative outcome claim</t>
        </is>
      </c>
      <c r="G5" t="inlineStr">
        <is>
          <t>HIGH</t>
        </is>
      </c>
    </row>
    <row r="6">
      <c r="A6" t="inlineStr">
        <is>
          <t>AG05</t>
        </is>
      </c>
      <c r="B6" t="inlineStr">
        <is>
          <t>Post-hoc reconstruction</t>
        </is>
      </c>
      <c r="C6" t="inlineStr">
        <is>
          <t>Artifact created after assessment trigger</t>
        </is>
      </c>
      <c r="D6" t="inlineStr">
        <is>
          <t>Timestamp mismatch</t>
        </is>
      </c>
      <c r="E6" t="inlineStr">
        <is>
          <t>Require contemporaneous trace</t>
        </is>
      </c>
      <c r="F6" t="inlineStr">
        <is>
          <t>Not independent evidence</t>
        </is>
      </c>
      <c r="G6" t="inlineStr">
        <is>
          <t>HIGH</t>
        </is>
      </c>
    </row>
    <row r="7">
      <c r="A7" t="inlineStr">
        <is>
          <t>AG06</t>
        </is>
      </c>
      <c r="B7" t="inlineStr">
        <is>
          <t>Proxy substitution</t>
        </is>
      </c>
      <c r="C7" t="inlineStr">
        <is>
          <t>Headline number does not answer construct</t>
        </is>
      </c>
      <c r="D7" t="inlineStr">
        <is>
          <t>Definition mismatch</t>
        </is>
      </c>
      <c r="E7" t="inlineStr">
        <is>
          <t>Reject as direct evidence</t>
        </is>
      </c>
      <c r="F7" t="inlineStr">
        <is>
          <t>No proxy substitution without rule</t>
        </is>
      </c>
      <c r="G7" t="inlineStr">
        <is>
          <t>HIGH</t>
        </is>
      </c>
    </row>
    <row r="8">
      <c r="A8" t="inlineStr">
        <is>
          <t>AG07</t>
        </is>
      </c>
      <c r="B8" t="inlineStr">
        <is>
          <t>Single exemplar inflation</t>
        </is>
      </c>
      <c r="C8" t="inlineStr">
        <is>
          <t>One programme/person represents institution</t>
        </is>
      </c>
      <c r="D8" t="inlineStr">
        <is>
          <t>Coverage absent</t>
        </is>
      </c>
      <c r="E8" t="inlineStr">
        <is>
          <t>Apply sampling</t>
        </is>
      </c>
      <c r="F8" t="inlineStr">
        <is>
          <t>No institution-wide inference</t>
        </is>
      </c>
      <c r="G8" t="inlineStr">
        <is>
          <t>HIGH</t>
        </is>
      </c>
    </row>
    <row r="9">
      <c r="A9" t="inlineStr">
        <is>
          <t>AG08</t>
        </is>
      </c>
      <c r="B9" t="inlineStr">
        <is>
          <t>Unverifiable attachment</t>
        </is>
      </c>
      <c r="C9" t="inlineStr">
        <is>
          <t>Source/provenance cannot be traced</t>
        </is>
      </c>
      <c r="D9" t="inlineStr">
        <is>
          <t>Broken provenance</t>
        </is>
      </c>
      <c r="E9" t="inlineStr">
        <is>
          <t>Reject or low confidence</t>
        </is>
      </c>
      <c r="F9" t="inlineStr">
        <is>
          <t>No E2+ without traceability</t>
        </is>
      </c>
      <c r="G9" t="inlineStr">
        <is>
          <t>HIGH</t>
        </is>
      </c>
    </row>
    <row r="10">
      <c r="A10" t="inlineStr">
        <is>
          <t>AG09</t>
        </is>
      </c>
      <c r="B10" t="inlineStr">
        <is>
          <t>Outcome without attribution</t>
        </is>
      </c>
      <c r="C10" t="inlineStr">
        <is>
          <t>Outcome not linked to institutional action</t>
        </is>
      </c>
      <c r="D10" t="inlineStr">
        <is>
          <t>No implementation linkage</t>
        </is>
      </c>
      <c r="E10" t="inlineStr">
        <is>
          <t>Context only</t>
        </is>
      </c>
      <c r="F10" t="inlineStr">
        <is>
          <t>Do not count as institution-generated outcome</t>
        </is>
      </c>
      <c r="G10" t="inlineStr">
        <is>
          <t>MEDIUM</t>
        </is>
      </c>
    </row>
    <row r="11">
      <c r="A11" t="inlineStr">
        <is>
          <t>AG10</t>
        </is>
      </c>
      <c r="B11" t="inlineStr">
        <is>
          <t>Contradiction suppression</t>
        </is>
      </c>
      <c r="C11" t="inlineStr">
        <is>
          <t>Conflicting evidence omitted</t>
        </is>
      </c>
      <c r="D11" t="inlineStr">
        <is>
          <t>Cross-domain/time-series conflict</t>
        </is>
      </c>
      <c r="E11" t="inlineStr">
        <is>
          <t>Surface conflict</t>
        </is>
      </c>
      <c r="F11" t="inlineStr">
        <is>
          <t>Never silently choose favorable evidence</t>
        </is>
      </c>
      <c r="G11" t="inlineStr">
        <is>
          <t>HIGH</t>
        </is>
      </c>
    </row>
  </sheetData>
  <autoFilter ref="A1:G1"/>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6" customWidth="1" min="1" max="1"/>
    <col width="25" customWidth="1" min="2" max="2"/>
    <col width="25" customWidth="1" min="3" max="3"/>
    <col width="33" customWidth="1" min="4" max="4"/>
    <col width="47" customWidth="1" min="5" max="5"/>
  </cols>
  <sheetData>
    <row r="1">
      <c r="A1" s="19" t="inlineStr">
        <is>
          <t>Evidence Type</t>
        </is>
      </c>
      <c r="B1" s="19" t="inlineStr">
        <is>
          <t>Default Validity Window</t>
        </is>
      </c>
      <c r="C1" s="19" t="inlineStr">
        <is>
          <t>Preferred Window</t>
        </is>
      </c>
      <c r="D1" s="19" t="inlineStr">
        <is>
          <t>Expiry Treatment</t>
        </is>
      </c>
      <c r="E1" s="19" t="inlineStr">
        <is>
          <t>Exception Rule</t>
        </is>
      </c>
    </row>
    <row r="2">
      <c r="A2" t="inlineStr">
        <is>
          <t>Policies / governance</t>
        </is>
      </c>
      <c r="B2" t="inlineStr">
        <is>
          <t>12–24 months</t>
        </is>
      </c>
      <c r="C2" t="inlineStr">
        <is>
          <t>Current cycle</t>
        </is>
      </c>
      <c r="D2" t="inlineStr">
        <is>
          <t>Flag stale</t>
        </is>
      </c>
      <c r="E2" t="inlineStr">
        <is>
          <t>Long-cycle policy valid if reviewed</t>
        </is>
      </c>
    </row>
    <row r="3">
      <c r="A3" t="inlineStr">
        <is>
          <t>Operational records</t>
        </is>
      </c>
      <c r="B3" t="inlineStr">
        <is>
          <t>12 months</t>
        </is>
      </c>
      <c r="C3" t="inlineStr">
        <is>
          <t>Current cycle</t>
        </is>
      </c>
      <c r="D3" t="inlineStr">
        <is>
          <t>Require explanation</t>
        </is>
      </c>
      <c r="E3" t="inlineStr">
        <is>
          <t>Longer only if process is low-frequency</t>
        </is>
      </c>
    </row>
    <row r="4">
      <c r="A4" t="inlineStr">
        <is>
          <t>Outcome data</t>
        </is>
      </c>
      <c r="B4" t="inlineStr">
        <is>
          <t>24–36 months</t>
        </is>
      </c>
      <c r="C4" t="inlineStr">
        <is>
          <t>Latest complete cohort</t>
        </is>
      </c>
      <c r="D4" t="inlineStr">
        <is>
          <t>Do not mix incomparable cohorts</t>
        </is>
      </c>
      <c r="E4" t="inlineStr">
        <is>
          <t>Use metric-specific cohort logic</t>
        </is>
      </c>
    </row>
    <row r="5">
      <c r="A5" t="inlineStr">
        <is>
          <t>Research outputs</t>
        </is>
      </c>
      <c r="B5" t="inlineStr">
        <is>
          <t>24–36 months</t>
        </is>
      </c>
      <c r="C5" t="inlineStr">
        <is>
          <t>Latest reporting period</t>
        </is>
      </c>
      <c r="D5" t="inlineStr">
        <is>
          <t>Annotate age</t>
        </is>
      </c>
      <c r="E5" t="inlineStr">
        <is>
          <t>Long-cycle outputs may use longer period</t>
        </is>
      </c>
    </row>
    <row r="6">
      <c r="A6" t="inlineStr">
        <is>
          <t>Strategy / foresight</t>
        </is>
      </c>
      <c r="B6" t="inlineStr">
        <is>
          <t>24–36 months</t>
        </is>
      </c>
      <c r="C6" t="inlineStr">
        <is>
          <t>Current strategy cycle</t>
        </is>
      </c>
      <c r="D6" t="inlineStr">
        <is>
          <t>Require current linkage</t>
        </is>
      </c>
      <c r="E6" t="inlineStr">
        <is>
          <t>Historical strategy only with current linkage</t>
        </is>
      </c>
    </row>
    <row r="7">
      <c r="A7" t="inlineStr">
        <is>
          <t>Infrastructure / systems</t>
        </is>
      </c>
      <c r="B7" t="inlineStr">
        <is>
          <t>12–24 months</t>
        </is>
      </c>
      <c r="C7" t="inlineStr">
        <is>
          <t>Current state</t>
        </is>
      </c>
      <c r="D7" t="inlineStr">
        <is>
          <t>Flag superseded</t>
        </is>
      </c>
      <c r="E7" t="inlineStr">
        <is>
          <t>Use project lifecycle where appropriate</t>
        </is>
      </c>
    </row>
  </sheetData>
  <autoFilter ref="A1:E1"/>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46" customWidth="1" min="4" max="4"/>
    <col width="28" customWidth="1" min="5" max="5"/>
    <col width="35" customWidth="1" min="6" max="6"/>
  </cols>
  <sheetData>
    <row r="1">
      <c r="A1" s="19" t="inlineStr">
        <is>
          <t>Evidence Pattern</t>
        </is>
      </c>
      <c r="B1" s="19" t="inlineStr">
        <is>
          <t>Minimum Sources</t>
        </is>
      </c>
      <c r="C1" s="19" t="inlineStr">
        <is>
          <t>Independence Requirement</t>
        </is>
      </c>
      <c r="D1" s="19" t="inlineStr">
        <is>
          <t>Acceptable Corroboration</t>
        </is>
      </c>
      <c r="E1" s="19" t="inlineStr">
        <is>
          <t>Insufficient Pattern</t>
        </is>
      </c>
      <c r="F1" s="19" t="inlineStr">
        <is>
          <t>Assessor Action</t>
        </is>
      </c>
    </row>
    <row r="2">
      <c r="A2" t="inlineStr">
        <is>
          <t>E0 claim only</t>
        </is>
      </c>
      <c r="B2" t="n">
        <v>0</v>
      </c>
      <c r="C2" t="inlineStr">
        <is>
          <t>N/A</t>
        </is>
      </c>
      <c r="D2" t="inlineStr">
        <is>
          <t>None</t>
        </is>
      </c>
      <c r="E2" t="inlineStr">
        <is>
          <t>No verifiable evidence</t>
        </is>
      </c>
      <c r="F2" t="inlineStr">
        <is>
          <t>Request evidence</t>
        </is>
      </c>
    </row>
    <row r="3">
      <c r="A3" t="inlineStr">
        <is>
          <t>E1 artifact</t>
        </is>
      </c>
      <c r="B3" t="n">
        <v>1</v>
      </c>
      <c r="C3" t="inlineStr">
        <is>
          <t>Same-owner acceptable as artifact</t>
        </is>
      </c>
      <c r="D3" t="inlineStr">
        <is>
          <t>Artifact + operational trace</t>
        </is>
      </c>
      <c r="E3" t="inlineStr">
        <is>
          <t>No operational linkage</t>
        </is>
      </c>
      <c r="F3" t="inlineStr">
        <is>
          <t>Do not infer outcome</t>
        </is>
      </c>
    </row>
    <row r="4">
      <c r="A4" t="inlineStr">
        <is>
          <t>E2 operational</t>
        </is>
      </c>
      <c r="B4" t="n">
        <v>2</v>
      </c>
      <c r="C4" t="inlineStr">
        <is>
          <t>Second source preferred for consequential claims</t>
        </is>
      </c>
      <c r="D4" t="inlineStr">
        <is>
          <t>Operational record + independent trace</t>
        </is>
      </c>
      <c r="E4" t="inlineStr">
        <is>
          <t>Self-report only</t>
        </is>
      </c>
      <c r="F4" t="inlineStr">
        <is>
          <t>Sample/verify</t>
        </is>
      </c>
    </row>
    <row r="5">
      <c r="A5" t="inlineStr">
        <is>
          <t>E3 outcome</t>
        </is>
      </c>
      <c r="B5" t="n">
        <v>2</v>
      </c>
      <c r="C5" t="inlineStr">
        <is>
          <t>Independent corroborator for high-impact claims</t>
        </is>
      </c>
      <c r="D5" t="inlineStr">
        <is>
          <t>Outcome + operational linkage</t>
        </is>
      </c>
      <c r="E5" t="inlineStr">
        <is>
          <t>No denominator/attribution</t>
        </is>
      </c>
      <c r="F5" t="inlineStr">
        <is>
          <t>Verify population and attribution</t>
        </is>
      </c>
    </row>
    <row r="6">
      <c r="A6" t="inlineStr">
        <is>
          <t>E4 independent/triangulated</t>
        </is>
      </c>
      <c r="B6" t="n">
        <v>2</v>
      </c>
      <c r="C6" t="inlineStr">
        <is>
          <t>Independent source required</t>
        </is>
      </c>
      <c r="D6" t="inlineStr">
        <is>
          <t>External validation + institutional evidence</t>
        </is>
      </c>
      <c r="E6" t="inlineStr">
        <is>
          <t>Same-owner duplicates</t>
        </is>
      </c>
      <c r="F6" t="inlineStr">
        <is>
          <t>Highest confidence</t>
        </is>
      </c>
    </row>
  </sheetData>
  <autoFilter ref="A1:F1"/>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36" customWidth="1" min="4" max="4"/>
    <col width="40" customWidth="1" min="5" max="5"/>
    <col width="36" customWidth="1" min="6" max="6"/>
  </cols>
  <sheetData>
    <row r="1">
      <c r="A1" s="19" t="inlineStr">
        <is>
          <t>Domain</t>
        </is>
      </c>
      <c r="B1" s="19" t="inlineStr">
        <is>
          <t>Metric Count</t>
        </is>
      </c>
      <c r="C1" s="19" t="inlineStr">
        <is>
          <t>Default Evidence Items</t>
        </is>
      </c>
      <c r="D1" s="19" t="inlineStr">
        <is>
          <t>High-Risk Evidence Items</t>
        </is>
      </c>
      <c r="E1" s="19" t="inlineStr">
        <is>
          <t>Sampling Principle</t>
        </is>
      </c>
      <c r="F1" s="19" t="inlineStr">
        <is>
          <t>Burden Adjustment Source</t>
        </is>
      </c>
    </row>
    <row r="2">
      <c r="A2" t="inlineStr">
        <is>
          <t>D01</t>
        </is>
      </c>
      <c r="B2" t="n">
        <v>10</v>
      </c>
      <c r="C2" t="inlineStr">
        <is>
          <t>1 primary + targeted corroboration</t>
        </is>
      </c>
      <c r="D2" t="inlineStr">
        <is>
          <t>2+ for high-risk/high-score claims</t>
        </is>
      </c>
      <c r="E2" t="inlineStr">
        <is>
          <t>Sample proportionally; not 143 uploads</t>
        </is>
      </c>
      <c r="F2" t="inlineStr">
        <is>
          <t>P0-4 evidence burden/applicability</t>
        </is>
      </c>
    </row>
    <row r="3">
      <c r="A3" t="inlineStr">
        <is>
          <t>D02</t>
        </is>
      </c>
      <c r="B3" t="n">
        <v>14</v>
      </c>
      <c r="C3" t="inlineStr">
        <is>
          <t>1 primary + targeted corroboration</t>
        </is>
      </c>
      <c r="D3" t="inlineStr">
        <is>
          <t>2+ for high-risk/high-score claims</t>
        </is>
      </c>
      <c r="E3" t="inlineStr">
        <is>
          <t>Sample proportionally; not 143 uploads</t>
        </is>
      </c>
      <c r="F3" t="inlineStr">
        <is>
          <t>P0-4 evidence burden/applicability</t>
        </is>
      </c>
    </row>
    <row r="4">
      <c r="A4" t="inlineStr">
        <is>
          <t>D03</t>
        </is>
      </c>
      <c r="B4" t="n">
        <v>17</v>
      </c>
      <c r="C4" t="inlineStr">
        <is>
          <t>1 primary + targeted corroboration</t>
        </is>
      </c>
      <c r="D4" t="inlineStr">
        <is>
          <t>2+ for high-risk/high-score claims</t>
        </is>
      </c>
      <c r="E4" t="inlineStr">
        <is>
          <t>Sample proportionally; not 143 uploads</t>
        </is>
      </c>
      <c r="F4" t="inlineStr">
        <is>
          <t>P0-4 evidence burden/applicability</t>
        </is>
      </c>
    </row>
    <row r="5">
      <c r="A5" t="inlineStr">
        <is>
          <t>D04</t>
        </is>
      </c>
      <c r="B5" t="n">
        <v>12</v>
      </c>
      <c r="C5" t="inlineStr">
        <is>
          <t>1 primary + targeted corroboration</t>
        </is>
      </c>
      <c r="D5" t="inlineStr">
        <is>
          <t>2+ for high-risk/high-score claims</t>
        </is>
      </c>
      <c r="E5" t="inlineStr">
        <is>
          <t>Sample proportionally; not 143 uploads</t>
        </is>
      </c>
      <c r="F5" t="inlineStr">
        <is>
          <t>P0-4 evidence burden/applicability</t>
        </is>
      </c>
    </row>
    <row r="6">
      <c r="A6" t="inlineStr">
        <is>
          <t>D05</t>
        </is>
      </c>
      <c r="B6" t="n">
        <v>12</v>
      </c>
      <c r="C6" t="inlineStr">
        <is>
          <t>1 primary + targeted corroboration</t>
        </is>
      </c>
      <c r="D6" t="inlineStr">
        <is>
          <t>2+ for high-risk/high-score claims</t>
        </is>
      </c>
      <c r="E6" t="inlineStr">
        <is>
          <t>Sample proportionally; not 143 uploads</t>
        </is>
      </c>
      <c r="F6" t="inlineStr">
        <is>
          <t>P0-4 evidence burden/applicability</t>
        </is>
      </c>
    </row>
    <row r="7">
      <c r="A7" t="inlineStr">
        <is>
          <t>D06</t>
        </is>
      </c>
      <c r="B7" t="n">
        <v>14</v>
      </c>
      <c r="C7" t="inlineStr">
        <is>
          <t>1 primary + targeted corroboration</t>
        </is>
      </c>
      <c r="D7" t="inlineStr">
        <is>
          <t>2+ for high-risk/high-score claims</t>
        </is>
      </c>
      <c r="E7" t="inlineStr">
        <is>
          <t>Sample proportionally; not 143 uploads</t>
        </is>
      </c>
      <c r="F7" t="inlineStr">
        <is>
          <t>P0-4 evidence burden/applicability</t>
        </is>
      </c>
    </row>
    <row r="8">
      <c r="A8" t="inlineStr">
        <is>
          <t>D07</t>
        </is>
      </c>
      <c r="B8" t="n">
        <v>12</v>
      </c>
      <c r="C8" t="inlineStr">
        <is>
          <t>1 primary + targeted corroboration</t>
        </is>
      </c>
      <c r="D8" t="inlineStr">
        <is>
          <t>2+ for high-risk/high-score claims</t>
        </is>
      </c>
      <c r="E8" t="inlineStr">
        <is>
          <t>Sample proportionally; not 143 uploads</t>
        </is>
      </c>
      <c r="F8" t="inlineStr">
        <is>
          <t>P0-4 evidence burden/applicability</t>
        </is>
      </c>
    </row>
    <row r="9">
      <c r="A9" t="inlineStr">
        <is>
          <t>D08</t>
        </is>
      </c>
      <c r="B9" t="n">
        <v>12</v>
      </c>
      <c r="C9" t="inlineStr">
        <is>
          <t>1 primary + targeted corroboration</t>
        </is>
      </c>
      <c r="D9" t="inlineStr">
        <is>
          <t>2+ for high-risk/high-score claims</t>
        </is>
      </c>
      <c r="E9" t="inlineStr">
        <is>
          <t>Sample proportionally; not 143 uploads</t>
        </is>
      </c>
      <c r="F9" t="inlineStr">
        <is>
          <t>P0-4 evidence burden/applicability</t>
        </is>
      </c>
    </row>
    <row r="10">
      <c r="A10" t="inlineStr">
        <is>
          <t>D09</t>
        </is>
      </c>
      <c r="B10" t="n">
        <v>12</v>
      </c>
      <c r="C10" t="inlineStr">
        <is>
          <t>1 primary + targeted corroboration</t>
        </is>
      </c>
      <c r="D10" t="inlineStr">
        <is>
          <t>2+ for high-risk/high-score claims</t>
        </is>
      </c>
      <c r="E10" t="inlineStr">
        <is>
          <t>Sample proportionally; not 143 uploads</t>
        </is>
      </c>
      <c r="F10" t="inlineStr">
        <is>
          <t>P0-4 evidence burden/applicability</t>
        </is>
      </c>
    </row>
    <row r="11">
      <c r="A11" t="inlineStr">
        <is>
          <t>D10</t>
        </is>
      </c>
      <c r="B11" t="n">
        <v>14</v>
      </c>
      <c r="C11" t="inlineStr">
        <is>
          <t>1 primary + targeted corroboration</t>
        </is>
      </c>
      <c r="D11" t="inlineStr">
        <is>
          <t>2+ for high-risk/high-score claims</t>
        </is>
      </c>
      <c r="E11" t="inlineStr">
        <is>
          <t>Sample proportionally; not 143 uploads</t>
        </is>
      </c>
      <c r="F11" t="inlineStr">
        <is>
          <t>P0-4 evidence burden/applicability</t>
        </is>
      </c>
    </row>
    <row r="12">
      <c r="A12" t="inlineStr">
        <is>
          <t>D11</t>
        </is>
      </c>
      <c r="B12" t="n">
        <v>14</v>
      </c>
      <c r="C12" t="inlineStr">
        <is>
          <t>1 primary + targeted corroboration</t>
        </is>
      </c>
      <c r="D12" t="inlineStr">
        <is>
          <t>2+ for high-risk/high-score claims</t>
        </is>
      </c>
      <c r="E12" t="inlineStr">
        <is>
          <t>Sample proportionally; not 143 uploads</t>
        </is>
      </c>
      <c r="F12" t="inlineStr">
        <is>
          <t>P0-4 evidence burden/applicability</t>
        </is>
      </c>
    </row>
  </sheetData>
  <autoFilter ref="A1:F1"/>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38" customWidth="1" min="4" max="4"/>
    <col width="34" customWidth="1" min="5" max="5"/>
  </cols>
  <sheetData>
    <row r="1">
      <c r="A1" s="19" t="inlineStr">
        <is>
          <t>Reuse Code</t>
        </is>
      </c>
      <c r="B1" s="19" t="inlineStr">
        <is>
          <t>Condition</t>
        </is>
      </c>
      <c r="C1" s="19" t="inlineStr">
        <is>
          <t>Allowed?</t>
        </is>
      </c>
      <c r="D1" s="19" t="inlineStr">
        <is>
          <t>Required Justification</t>
        </is>
      </c>
      <c r="E1" s="19" t="inlineStr">
        <is>
          <t>Effect</t>
        </is>
      </c>
    </row>
    <row r="2">
      <c r="A2" t="inlineStr">
        <is>
          <t>R0</t>
        </is>
      </c>
      <c r="B2" t="inlineStr">
        <is>
          <t>Same artifact proves distinct constructs with distinct fields</t>
        </is>
      </c>
      <c r="C2" t="inlineStr">
        <is>
          <t>YES</t>
        </is>
      </c>
      <c r="D2" t="inlineStr">
        <is>
          <t>Map exact fields/sections</t>
        </is>
      </c>
      <c r="E2" t="inlineStr">
        <is>
          <t>No penalty if construct-specific</t>
        </is>
      </c>
    </row>
    <row r="3">
      <c r="A3" t="inlineStr">
        <is>
          <t>R1</t>
        </is>
      </c>
      <c r="B3" t="inlineStr">
        <is>
          <t>Same artifact cited broadly without mapping</t>
        </is>
      </c>
      <c r="C3" t="inlineStr">
        <is>
          <t>NO</t>
        </is>
      </c>
      <c r="D3" t="inlineStr">
        <is>
          <t>Construct-level mapping</t>
        </is>
      </c>
      <c r="E3" t="inlineStr">
        <is>
          <t>Flag recycling</t>
        </is>
      </c>
    </row>
    <row r="4">
      <c r="A4" t="inlineStr">
        <is>
          <t>R2</t>
        </is>
      </c>
      <c r="B4" t="inlineStr">
        <is>
          <t>Same dataset yields distinct outcome metrics</t>
        </is>
      </c>
      <c r="C4" t="inlineStr">
        <is>
          <t>YES</t>
        </is>
      </c>
      <c r="D4" t="inlineStr">
        <is>
          <t>Show distinct variables/calculations</t>
        </is>
      </c>
      <c r="E4" t="inlineStr">
        <is>
          <t>Allowed transparently</t>
        </is>
      </c>
    </row>
    <row r="5">
      <c r="A5" t="inlineStr">
        <is>
          <t>R3</t>
        </is>
      </c>
      <c r="B5" t="inlineStr">
        <is>
          <t>Same narrative repeated</t>
        </is>
      </c>
      <c r="C5" t="inlineStr">
        <is>
          <t>NO</t>
        </is>
      </c>
      <c r="D5" t="inlineStr">
        <is>
          <t>Provide underlying records</t>
        </is>
      </c>
      <c r="E5" t="inlineStr">
        <is>
          <t>Counts as one claim</t>
        </is>
      </c>
    </row>
    <row r="6">
      <c r="A6" t="inlineStr">
        <is>
          <t>R4</t>
        </is>
      </c>
      <c r="B6" t="inlineStr">
        <is>
          <t>External source corroborates institutional evidence</t>
        </is>
      </c>
      <c r="C6" t="inlineStr">
        <is>
          <t>YES</t>
        </is>
      </c>
      <c r="D6" t="inlineStr">
        <is>
          <t>Trace source/date</t>
        </is>
      </c>
      <c r="E6" t="inlineStr">
        <is>
          <t>Strengthens independence</t>
        </is>
      </c>
    </row>
  </sheetData>
  <autoFilter ref="A1:E1"/>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33" customWidth="1" min="1" max="1"/>
    <col width="55" customWidth="1" min="2" max="2"/>
    <col width="22" customWidth="1" min="3" max="3"/>
    <col width="15" customWidth="1" min="4" max="4"/>
    <col width="19" customWidth="1" min="5" max="5"/>
  </cols>
  <sheetData>
    <row r="1">
      <c r="A1" s="19" t="inlineStr">
        <is>
          <t>Test</t>
        </is>
      </c>
      <c r="B1" s="19" t="inlineStr">
        <is>
          <t>Acceptance Criterion</t>
        </is>
      </c>
      <c r="C1" s="19" t="inlineStr">
        <is>
          <t>Method</t>
        </is>
      </c>
      <c r="D1" s="19" t="inlineStr">
        <is>
          <t>Status</t>
        </is>
      </c>
      <c r="E1" s="19" t="inlineStr">
        <is>
          <t>Owner</t>
        </is>
      </c>
    </row>
    <row r="2">
      <c r="A2" t="inlineStr">
        <is>
          <t>Evidence-to-metric traceability</t>
        </is>
      </c>
      <c r="B2" t="inlineStr">
        <is>
          <t>143/143 metrics have explicit evidence gate</t>
        </is>
      </c>
      <c r="C2" t="inlineStr">
        <is>
          <t>Desk audit</t>
        </is>
      </c>
      <c r="D2" t="inlineStr">
        <is>
          <t>GREEN</t>
        </is>
      </c>
      <c r="E2" t="inlineStr">
        <is>
          <t>Methodology Lead</t>
        </is>
      </c>
    </row>
    <row r="3">
      <c r="A3" t="inlineStr">
        <is>
          <t>Evidence independence</t>
        </is>
      </c>
      <c r="B3" t="inlineStr">
        <is>
          <t>High-confidence claims meet independence rule</t>
        </is>
      </c>
      <c r="C3" t="inlineStr">
        <is>
          <t>Pilot + calibration</t>
        </is>
      </c>
      <c r="D3" t="inlineStr">
        <is>
          <t>PENDING PILOT</t>
        </is>
      </c>
      <c r="E3" t="inlineStr">
        <is>
          <t>Verification Lead</t>
        </is>
      </c>
    </row>
    <row r="4">
      <c r="A4" t="inlineStr">
        <is>
          <t>Temporal validity</t>
        </is>
      </c>
      <c r="B4" t="inlineStr">
        <is>
          <t>Stale evidence flagged</t>
        </is>
      </c>
      <c r="C4" t="inlineStr">
        <is>
          <t>Date test cases</t>
        </is>
      </c>
      <c r="D4" t="inlineStr">
        <is>
          <t>GREEN</t>
        </is>
      </c>
      <c r="E4" t="inlineStr">
        <is>
          <t>Methodology Lead</t>
        </is>
      </c>
    </row>
    <row r="5">
      <c r="A5" t="inlineStr">
        <is>
          <t>Reuse control</t>
        </is>
      </c>
      <c r="B5" t="inlineStr">
        <is>
          <t>Reuse cannot silently inflate confidence</t>
        </is>
      </c>
      <c r="C5" t="inlineStr">
        <is>
          <t>Duplicate scenarios</t>
        </is>
      </c>
      <c r="D5" t="inlineStr">
        <is>
          <t>GREEN</t>
        </is>
      </c>
      <c r="E5" t="inlineStr">
        <is>
          <t>Verification Lead</t>
        </is>
      </c>
    </row>
    <row r="6">
      <c r="A6" t="inlineStr">
        <is>
          <t>Anti-gaming sensitivity</t>
        </is>
      </c>
      <c r="B6" t="inlineStr">
        <is>
          <t>Known gaming patterns trigger review</t>
        </is>
      </c>
      <c r="C6" t="inlineStr">
        <is>
          <t>Adversarial test set</t>
        </is>
      </c>
      <c r="D6" t="inlineStr">
        <is>
          <t>PENDING PILOT</t>
        </is>
      </c>
      <c r="E6" t="inlineStr">
        <is>
          <t>Methodology Lead</t>
        </is>
      </c>
    </row>
    <row r="7">
      <c r="A7" t="inlineStr">
        <is>
          <t>Confidence-score separation</t>
        </is>
      </c>
      <c r="B7" t="inlineStr">
        <is>
          <t>Confidence does not mechanically alter capability score</t>
        </is>
      </c>
      <c r="C7" t="inlineStr">
        <is>
          <t>Formula inspection</t>
        </is>
      </c>
      <c r="D7" t="inlineStr">
        <is>
          <t>GREEN</t>
        </is>
      </c>
      <c r="E7" t="inlineStr">
        <is>
          <t>Scoring Owner</t>
        </is>
      </c>
    </row>
  </sheetData>
  <autoFilter ref="A1:E1"/>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55" customWidth="1" min="2" max="2"/>
    <col width="49" customWidth="1" min="3" max="3"/>
    <col width="55" customWidth="1" min="4" max="4"/>
  </cols>
  <sheetData>
    <row r="1">
      <c r="A1" s="19" t="inlineStr">
        <is>
          <t>Element</t>
        </is>
      </c>
      <c r="B1" s="19" t="inlineStr">
        <is>
          <t>Rule</t>
        </is>
      </c>
      <c r="C1" s="19" t="inlineStr">
        <is>
          <t>Rationale</t>
        </is>
      </c>
      <c r="D1" s="19" t="inlineStr">
        <is>
          <t>Non-Negotiable Protection</t>
        </is>
      </c>
    </row>
    <row r="2">
      <c r="A2" t="inlineStr">
        <is>
          <t>Evidence is not capability</t>
        </is>
      </c>
      <c r="B2" t="inlineStr">
        <is>
          <t>Evidence supports confidence; it does not create capability</t>
        </is>
      </c>
      <c r="C2" t="inlineStr">
        <is>
          <t>Prevents document volume from becoming maturity</t>
        </is>
      </c>
      <c r="D2" t="inlineStr">
        <is>
          <t>Never convert document count into maturity</t>
        </is>
      </c>
    </row>
    <row r="3">
      <c r="A3" t="inlineStr">
        <is>
          <t>Confidence separate from score</t>
        </is>
      </c>
      <c r="B3" t="inlineStr">
        <is>
          <t>Report confidence independently</t>
        </is>
      </c>
      <c r="C3" t="inlineStr">
        <is>
          <t>Avoid arbitrary score suppression</t>
        </is>
      </c>
      <c r="D3" t="inlineStr">
        <is>
          <t>Never multiply score by confidence</t>
        </is>
      </c>
    </row>
    <row r="4">
      <c r="A4" t="inlineStr">
        <is>
          <t>Triangulation proportionality</t>
        </is>
      </c>
      <c r="B4" t="inlineStr">
        <is>
          <t>Higher-consequence claims require stronger corroboration</t>
        </is>
      </c>
      <c r="C4" t="inlineStr">
        <is>
          <t>Effort follows risk</t>
        </is>
      </c>
      <c r="D4" t="inlineStr">
        <is>
          <t>Do not require maximal evidence everywhere</t>
        </is>
      </c>
    </row>
    <row r="5">
      <c r="A5" t="inlineStr">
        <is>
          <t>Temporal discipline</t>
        </is>
      </c>
      <c r="B5" t="inlineStr">
        <is>
          <t>Evidence must be current enough</t>
        </is>
      </c>
      <c r="C5" t="inlineStr">
        <is>
          <t>Prevents stale claims</t>
        </is>
      </c>
      <c r="D5" t="inlineStr">
        <is>
          <t>Never mix periods silently</t>
        </is>
      </c>
    </row>
    <row r="6">
      <c r="A6" t="inlineStr">
        <is>
          <t>Reuse transparency</t>
        </is>
      </c>
      <c r="B6" t="inlineStr">
        <is>
          <t>Reuse is allowed only when construct-specific</t>
        </is>
      </c>
      <c r="C6" t="inlineStr">
        <is>
          <t>Keeps burden manageable without recycling</t>
        </is>
      </c>
      <c r="D6" t="inlineStr">
        <is>
          <t>No repeated narrative as multiple evidence</t>
        </is>
      </c>
    </row>
    <row r="7">
      <c r="A7" t="inlineStr">
        <is>
          <t>Sampling over bureaucracy</t>
        </is>
      </c>
      <c r="B7" t="inlineStr">
        <is>
          <t>Use targeted samples</t>
        </is>
      </c>
      <c r="C7" t="inlineStr">
        <is>
          <t>Keeps assessment feasible</t>
        </is>
      </c>
      <c r="D7" t="inlineStr">
        <is>
          <t>One artifact may support multiple metrics with mapping</t>
        </is>
      </c>
    </row>
    <row r="8">
      <c r="A8" t="inlineStr">
        <is>
          <t>Adversarial assessment</t>
        </is>
      </c>
      <c r="B8" t="inlineStr">
        <is>
          <t>Assume respondents may optimize evidence</t>
        </is>
      </c>
      <c r="C8" t="inlineStr">
        <is>
          <t>Improves robustness</t>
        </is>
      </c>
      <c r="D8" t="inlineStr">
        <is>
          <t>Contradictions and negative evidence remain visible</t>
        </is>
      </c>
    </row>
  </sheetData>
  <autoFilter ref="A1:D1"/>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46" customWidth="1" min="3" max="3"/>
    <col width="31" customWidth="1" min="4" max="4"/>
  </cols>
  <sheetData>
    <row r="1">
      <c r="A1" s="19" t="inlineStr">
        <is>
          <t>Version</t>
        </is>
      </c>
      <c r="B1" s="19" t="inlineStr">
        <is>
          <t>Change</t>
        </is>
      </c>
      <c r="C1" s="19" t="inlineStr">
        <is>
          <t>Reason</t>
        </is>
      </c>
      <c r="D1" s="19" t="inlineStr">
        <is>
          <t>Impact</t>
        </is>
      </c>
    </row>
    <row r="2">
      <c r="A2" t="inlineStr">
        <is>
          <t>P0-6</t>
        </is>
      </c>
      <c r="B2" t="inlineStr">
        <is>
          <t>Added evidence intelligence, triangulation, temporal validity, reuse control and anti-gaming architecture</t>
        </is>
      </c>
      <c r="C2" t="inlineStr">
        <is>
          <t>Turn evidence into governed validation layer</t>
        </is>
      </c>
      <c r="D2" t="inlineStr">
        <is>
          <t>No change to capability score</t>
        </is>
      </c>
    </row>
  </sheetData>
  <autoFilter ref="A1:D1"/>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00" customWidth="1" min="2" max="2"/>
  </cols>
  <sheetData>
    <row r="1">
      <c r="A1" s="19" t="inlineStr">
        <is>
          <t>Item</t>
        </is>
      </c>
      <c r="B1" s="19" t="inlineStr">
        <is>
          <t>Value</t>
        </is>
      </c>
    </row>
    <row r="2">
      <c r="A2" s="20" t="inlineStr">
        <is>
          <t>Purpose</t>
        </is>
      </c>
      <c r="B2" s="20" t="inlineStr">
        <is>
          <t>Operationalise reliability, validity, calibration and pilot governance for the 143-metric ARUI instrument.</t>
        </is>
      </c>
    </row>
    <row r="3">
      <c r="A3" s="20" t="inlineStr">
        <is>
          <t>Status</t>
        </is>
      </c>
      <c r="B3" s="21" t="inlineStr">
        <is>
          <t>METHODOLOGY-READY / EMPIRICAL VALIDATION PENDING</t>
        </is>
      </c>
    </row>
    <row r="4">
      <c r="A4" s="20" t="inlineStr">
        <is>
          <t>Metrics in scope</t>
        </is>
      </c>
      <c r="B4" s="20" t="n">
        <v>143</v>
      </c>
    </row>
    <row r="5">
      <c r="A5" s="20" t="inlineStr">
        <is>
          <t>Domains in scope</t>
        </is>
      </c>
      <c r="B5" s="20" t="n">
        <v>11</v>
      </c>
    </row>
    <row r="6">
      <c r="A6" s="20" t="inlineStr">
        <is>
          <t>What P0-7 does</t>
        </is>
      </c>
      <c r="B6" s="20" t="inlineStr">
        <is>
          <t>Defines how assessor agreement, stability, construct validity, sensitivity and threshold behaviour will be tested before P1.0 freeze.</t>
        </is>
      </c>
    </row>
    <row r="7">
      <c r="A7" s="20" t="inlineStr">
        <is>
          <t>What P0-7 does NOT do</t>
        </is>
      </c>
      <c r="B7" s="20" t="inlineStr">
        <is>
          <t>It does not invent reliability or validity results. All empirical results remain blank/pending until real pilot data exist.</t>
        </is>
      </c>
    </row>
    <row r="8">
      <c r="A8" s="20" t="inlineStr">
        <is>
          <t>Freeze principle</t>
        </is>
      </c>
      <c r="B8" s="21" t="inlineStr">
        <is>
          <t>No public ranking, certification, benchmark claim or permanent coefficient freeze until acceptance gates are met.</t>
        </is>
      </c>
    </row>
    <row r="9">
      <c r="A9" s="20" t="inlineStr">
        <is>
          <t>Primary output</t>
        </is>
      </c>
      <c r="B9" s="20" t="inlineStr">
        <is>
          <t>Validated scoring/calibration specification and a controlled change list for P1.0.</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0" customWidth="1" min="3" max="3"/>
    <col width="38" customWidth="1" min="4" max="4"/>
    <col width="20" customWidth="1" min="5" max="5"/>
    <col width="26" customWidth="1" min="6" max="6"/>
    <col width="34" customWidth="1" min="7" max="7"/>
    <col width="30" customWidth="1" min="8" max="8"/>
    <col width="16" customWidth="1" min="9" max="9"/>
    <col width="22" customWidth="1" min="10" max="10"/>
  </cols>
  <sheetData>
    <row r="1">
      <c r="A1" s="19" t="inlineStr">
        <is>
          <t>Domain</t>
        </is>
      </c>
      <c r="B1" s="19" t="inlineStr">
        <is>
          <t>Metric ID</t>
        </is>
      </c>
      <c r="C1" s="19" t="inlineStr">
        <is>
          <t>Metric</t>
        </is>
      </c>
      <c r="D1" s="19" t="inlineStr">
        <is>
          <t>Anchor Calibration Requirement</t>
        </is>
      </c>
      <c r="E1" s="19" t="inlineStr">
        <is>
          <t>Minimum Assessors</t>
        </is>
      </c>
      <c r="F1" s="19" t="inlineStr">
        <is>
          <t>Blinding</t>
        </is>
      </c>
      <c r="G1" s="19" t="inlineStr">
        <is>
          <t>Reliability Target</t>
        </is>
      </c>
      <c r="H1" s="19" t="inlineStr">
        <is>
          <t>Pilot Sample Requirement</t>
        </is>
      </c>
      <c r="I1" s="19" t="inlineStr">
        <is>
          <t>Status</t>
        </is>
      </c>
      <c r="J1" s="19" t="inlineStr">
        <is>
          <t>Owner</t>
        </is>
      </c>
    </row>
    <row r="2">
      <c r="A2" s="20" t="inlineStr">
        <is>
          <t>D01</t>
        </is>
      </c>
      <c r="B2" s="20" t="inlineStr">
        <is>
          <t>I01</t>
        </is>
      </c>
      <c r="C2" s="20" t="inlineStr">
        <is>
          <t>Strategic AI Integration</t>
        </is>
      </c>
      <c r="D2" s="20" t="inlineStr">
        <is>
          <t>5–10 anchor examples per metric before pilot</t>
        </is>
      </c>
      <c r="E2" s="20" t="inlineStr">
        <is>
          <t>2 independent assessors minimum</t>
        </is>
      </c>
      <c r="F2" s="20" t="inlineStr">
        <is>
          <t>Blind second scoring recommended</t>
        </is>
      </c>
      <c r="G2" s="20" t="inlineStr">
        <is>
          <t>Target ICC/weighted agreement ≥0.70 exploratory; ≥0.80 preferred for freeze</t>
        </is>
      </c>
      <c r="H2" s="20" t="inlineStr">
        <is>
          <t>Pilot N to be set by study design</t>
        </is>
      </c>
      <c r="I2" s="20" t="inlineStr">
        <is>
          <t>Pending</t>
        </is>
      </c>
      <c r="J2" s="20" t="inlineStr">
        <is>
          <t>Methodology Lead</t>
        </is>
      </c>
    </row>
    <row r="3">
      <c r="A3" s="20" t="inlineStr">
        <is>
          <t>D01</t>
        </is>
      </c>
      <c r="B3" s="20" t="inlineStr">
        <is>
          <t>I02</t>
        </is>
      </c>
      <c r="C3" s="20" t="inlineStr">
        <is>
          <t>Future Foresight Maturity</t>
        </is>
      </c>
      <c r="D3" s="20" t="inlineStr">
        <is>
          <t>5–10 anchor examples per metric before pilot</t>
        </is>
      </c>
      <c r="E3" s="20" t="inlineStr">
        <is>
          <t>2 independent assessors minimum</t>
        </is>
      </c>
      <c r="F3" s="20" t="inlineStr">
        <is>
          <t>Blind second scoring recommended</t>
        </is>
      </c>
      <c r="G3" s="20" t="inlineStr">
        <is>
          <t>Target ICC/weighted agreement ≥0.70 exploratory; ≥0.80 preferred for freeze</t>
        </is>
      </c>
      <c r="H3" s="20" t="inlineStr">
        <is>
          <t>Pilot N to be set by study design</t>
        </is>
      </c>
      <c r="I3" s="20" t="inlineStr">
        <is>
          <t>Pending</t>
        </is>
      </c>
      <c r="J3" s="20" t="inlineStr">
        <is>
          <t>Methodology Lead</t>
        </is>
      </c>
    </row>
    <row r="4">
      <c r="A4" s="20" t="inlineStr">
        <is>
          <t>D01</t>
        </is>
      </c>
      <c r="B4" s="20" t="inlineStr">
        <is>
          <t>I03</t>
        </is>
      </c>
      <c r="C4" s="20" t="inlineStr">
        <is>
          <t>Strategic Translation Rate</t>
        </is>
      </c>
      <c r="D4" s="20" t="inlineStr">
        <is>
          <t>5–10 anchor examples per metric before pilot</t>
        </is>
      </c>
      <c r="E4" s="20" t="inlineStr">
        <is>
          <t>2 independent assessors minimum</t>
        </is>
      </c>
      <c r="F4" s="20" t="inlineStr">
        <is>
          <t>Blind second scoring recommended</t>
        </is>
      </c>
      <c r="G4" s="20" t="inlineStr">
        <is>
          <t>Target ICC/weighted agreement ≥0.70 exploratory; ≥0.80 preferred for freeze</t>
        </is>
      </c>
      <c r="H4" s="20" t="inlineStr">
        <is>
          <t>Pilot N to be set by study design</t>
        </is>
      </c>
      <c r="I4" s="20" t="inlineStr">
        <is>
          <t>Pending</t>
        </is>
      </c>
      <c r="J4" s="20" t="inlineStr">
        <is>
          <t>Methodology Lead</t>
        </is>
      </c>
    </row>
    <row r="5">
      <c r="A5" s="20" t="inlineStr">
        <is>
          <t>D01</t>
        </is>
      </c>
      <c r="B5" s="20" t="inlineStr">
        <is>
          <t>I04</t>
        </is>
      </c>
      <c r="C5" s="20" t="inlineStr">
        <is>
          <t>Programme Future-Review Coverage</t>
        </is>
      </c>
      <c r="D5" s="20" t="inlineStr">
        <is>
          <t>5–10 anchor examples per metric before pilot</t>
        </is>
      </c>
      <c r="E5" s="20" t="inlineStr">
        <is>
          <t>2 independent assessors minimum</t>
        </is>
      </c>
      <c r="F5" s="20" t="inlineStr">
        <is>
          <t>Blind second scoring recommended</t>
        </is>
      </c>
      <c r="G5" s="20" t="inlineStr">
        <is>
          <t>Target ICC/weighted agreement ≥0.70 exploratory; ≥0.80 preferred for freeze</t>
        </is>
      </c>
      <c r="H5" s="20" t="inlineStr">
        <is>
          <t>Pilot N to be set by study design</t>
        </is>
      </c>
      <c r="I5" s="20" t="inlineStr">
        <is>
          <t>Pending</t>
        </is>
      </c>
      <c r="J5" s="20" t="inlineStr">
        <is>
          <t>Methodology Lead</t>
        </is>
      </c>
    </row>
    <row r="6">
      <c r="A6" s="20" t="inlineStr">
        <is>
          <t>D01</t>
        </is>
      </c>
      <c r="B6" s="20" t="inlineStr">
        <is>
          <t>I05</t>
        </is>
      </c>
      <c r="C6" s="20" t="inlineStr">
        <is>
          <t>Strategic Differentiation Clarity</t>
        </is>
      </c>
      <c r="D6" s="20" t="inlineStr">
        <is>
          <t>5–10 anchor examples per metric before pilot</t>
        </is>
      </c>
      <c r="E6" s="20" t="inlineStr">
        <is>
          <t>2 independent assessors minimum</t>
        </is>
      </c>
      <c r="F6" s="20" t="inlineStr">
        <is>
          <t>Blind second scoring recommended</t>
        </is>
      </c>
      <c r="G6" s="20" t="inlineStr">
        <is>
          <t>Target ICC/weighted agreement ≥0.70 exploratory; ≥0.80 preferred for freeze</t>
        </is>
      </c>
      <c r="H6" s="20" t="inlineStr">
        <is>
          <t>Pilot N to be set by study design</t>
        </is>
      </c>
      <c r="I6" s="20" t="inlineStr">
        <is>
          <t>Pending</t>
        </is>
      </c>
      <c r="J6" s="20" t="inlineStr">
        <is>
          <t>Methodology Lead</t>
        </is>
      </c>
    </row>
    <row r="7">
      <c r="A7" s="20" t="inlineStr">
        <is>
          <t>D01</t>
        </is>
      </c>
      <c r="B7" s="20" t="inlineStr">
        <is>
          <t>I06</t>
        </is>
      </c>
      <c r="C7" s="20" t="inlineStr">
        <is>
          <t>Foresight Response Architecture</t>
        </is>
      </c>
      <c r="D7" s="20" t="inlineStr">
        <is>
          <t>5–10 anchor examples per metric before pilot</t>
        </is>
      </c>
      <c r="E7" s="20" t="inlineStr">
        <is>
          <t>2 independent assessors minimum</t>
        </is>
      </c>
      <c r="F7" s="20" t="inlineStr">
        <is>
          <t>Blind second scoring recommended</t>
        </is>
      </c>
      <c r="G7" s="20" t="inlineStr">
        <is>
          <t>Target ICC/weighted agreement ≥0.70 exploratory; ≥0.80 preferred for freeze</t>
        </is>
      </c>
      <c r="H7" s="20" t="inlineStr">
        <is>
          <t>Pilot N to be set by study design</t>
        </is>
      </c>
      <c r="I7" s="20" t="inlineStr">
        <is>
          <t>Pending</t>
        </is>
      </c>
      <c r="J7" s="20" t="inlineStr">
        <is>
          <t>Methodology Lead</t>
        </is>
      </c>
    </row>
    <row r="8">
      <c r="A8" s="20" t="inlineStr">
        <is>
          <t>D01</t>
        </is>
      </c>
      <c r="B8" s="20" t="inlineStr">
        <is>
          <t>I07</t>
        </is>
      </c>
      <c r="C8" s="20" t="inlineStr">
        <is>
          <t>Resource Alignment</t>
        </is>
      </c>
      <c r="D8" s="20" t="inlineStr">
        <is>
          <t>5–10 anchor examples per metric before pilot</t>
        </is>
      </c>
      <c r="E8" s="20" t="inlineStr">
        <is>
          <t>2 independent assessors minimum</t>
        </is>
      </c>
      <c r="F8" s="20" t="inlineStr">
        <is>
          <t>Blind second scoring recommended</t>
        </is>
      </c>
      <c r="G8" s="20" t="inlineStr">
        <is>
          <t>Target ICC/weighted agreement ≥0.70 exploratory; ≥0.80 preferred for freeze</t>
        </is>
      </c>
      <c r="H8" s="20" t="inlineStr">
        <is>
          <t>Pilot N to be set by study design</t>
        </is>
      </c>
      <c r="I8" s="20" t="inlineStr">
        <is>
          <t>Pending</t>
        </is>
      </c>
      <c r="J8" s="20" t="inlineStr">
        <is>
          <t>Methodology Lead</t>
        </is>
      </c>
    </row>
    <row r="9">
      <c r="A9" s="20" t="inlineStr">
        <is>
          <t>D01</t>
        </is>
      </c>
      <c r="B9" s="20" t="inlineStr">
        <is>
          <t>I08</t>
        </is>
      </c>
      <c r="C9" s="20" t="inlineStr">
        <is>
          <t>Leadership Alignment</t>
        </is>
      </c>
      <c r="D9" s="20" t="inlineStr">
        <is>
          <t>5–10 anchor examples per metric before pilot</t>
        </is>
      </c>
      <c r="E9" s="20" t="inlineStr">
        <is>
          <t>2 independent assessors minimum</t>
        </is>
      </c>
      <c r="F9" s="20" t="inlineStr">
        <is>
          <t>Blind second scoring recommended</t>
        </is>
      </c>
      <c r="G9" s="20" t="inlineStr">
        <is>
          <t>Target ICC/weighted agreement ≥0.70 exploratory; ≥0.80 preferred for freeze</t>
        </is>
      </c>
      <c r="H9" s="20" t="inlineStr">
        <is>
          <t>Pilot N to be set by study design</t>
        </is>
      </c>
      <c r="I9" s="20" t="inlineStr">
        <is>
          <t>Pending</t>
        </is>
      </c>
      <c r="J9" s="20" t="inlineStr">
        <is>
          <t>Methodology Lead</t>
        </is>
      </c>
    </row>
    <row r="10">
      <c r="A10" s="20" t="inlineStr">
        <is>
          <t>D01</t>
        </is>
      </c>
      <c r="B10" s="20" t="inlineStr">
        <is>
          <t>I09</t>
        </is>
      </c>
      <c r="C10" s="20" t="inlineStr">
        <is>
          <t>Experimentation Effectiveness</t>
        </is>
      </c>
      <c r="D10" s="20" t="inlineStr">
        <is>
          <t>5–10 anchor examples per metric before pilot</t>
        </is>
      </c>
      <c r="E10" s="20" t="inlineStr">
        <is>
          <t>2 independent assessors minimum</t>
        </is>
      </c>
      <c r="F10" s="20" t="inlineStr">
        <is>
          <t>Blind second scoring recommended</t>
        </is>
      </c>
      <c r="G10" s="20" t="inlineStr">
        <is>
          <t>Target ICC/weighted agreement ≥0.70 exploratory; ≥0.80 preferred for freeze</t>
        </is>
      </c>
      <c r="H10" s="20" t="inlineStr">
        <is>
          <t>Pilot N to be set by study design</t>
        </is>
      </c>
      <c r="I10" s="20" t="inlineStr">
        <is>
          <t>Pending</t>
        </is>
      </c>
      <c r="J10" s="20" t="inlineStr">
        <is>
          <t>Methodology Lead</t>
        </is>
      </c>
    </row>
    <row r="11">
      <c r="A11" s="20" t="inlineStr">
        <is>
          <t>D01</t>
        </is>
      </c>
      <c r="B11" s="20" t="inlineStr">
        <is>
          <t>I10</t>
        </is>
      </c>
      <c r="C11" s="20" t="inlineStr">
        <is>
          <t>Strategic Learning Rate</t>
        </is>
      </c>
      <c r="D11" s="20" t="inlineStr">
        <is>
          <t>5–10 anchor examples per metric before pilot</t>
        </is>
      </c>
      <c r="E11" s="20" t="inlineStr">
        <is>
          <t>2 independent assessors minimum</t>
        </is>
      </c>
      <c r="F11" s="20" t="inlineStr">
        <is>
          <t>Blind second scoring recommended</t>
        </is>
      </c>
      <c r="G11" s="20" t="inlineStr">
        <is>
          <t>Target ICC/weighted agreement ≥0.70 exploratory; ≥0.80 preferred for freeze</t>
        </is>
      </c>
      <c r="H11" s="20" t="inlineStr">
        <is>
          <t>Pilot N to be set by study design</t>
        </is>
      </c>
      <c r="I11" s="20" t="inlineStr">
        <is>
          <t>Pending</t>
        </is>
      </c>
      <c r="J11" s="20" t="inlineStr">
        <is>
          <t>Methodology Lead</t>
        </is>
      </c>
    </row>
    <row r="12">
      <c r="A12" s="20" t="inlineStr">
        <is>
          <t>D02</t>
        </is>
      </c>
      <c r="B12" s="20" t="inlineStr">
        <is>
          <t>I01</t>
        </is>
      </c>
      <c r="C12" s="20" t="inlineStr">
        <is>
          <t>Governance Ownership</t>
        </is>
      </c>
      <c r="D12" s="20" t="inlineStr">
        <is>
          <t>5–10 anchor examples per metric before pilot</t>
        </is>
      </c>
      <c r="E12" s="20" t="inlineStr">
        <is>
          <t>2 independent assessors minimum</t>
        </is>
      </c>
      <c r="F12" s="20" t="inlineStr">
        <is>
          <t>Blind second scoring recommended</t>
        </is>
      </c>
      <c r="G12" s="20" t="inlineStr">
        <is>
          <t>Target ICC/weighted agreement ≥0.70 exploratory; ≥0.80 preferred for freeze</t>
        </is>
      </c>
      <c r="H12" s="20" t="inlineStr">
        <is>
          <t>Pilot N to be set by study design</t>
        </is>
      </c>
      <c r="I12" s="20" t="inlineStr">
        <is>
          <t>Pending</t>
        </is>
      </c>
      <c r="J12" s="20" t="inlineStr">
        <is>
          <t>Methodology Lead</t>
        </is>
      </c>
    </row>
    <row r="13">
      <c r="A13" s="20" t="inlineStr">
        <is>
          <t>D02</t>
        </is>
      </c>
      <c r="B13" s="20" t="inlineStr">
        <is>
          <t>I02</t>
        </is>
      </c>
      <c r="C13" s="20" t="inlineStr">
        <is>
          <t>Decision Architecture</t>
        </is>
      </c>
      <c r="D13" s="20" t="inlineStr">
        <is>
          <t>5–10 anchor examples per metric before pilot</t>
        </is>
      </c>
      <c r="E13" s="20" t="inlineStr">
        <is>
          <t>2 independent assessors minimum</t>
        </is>
      </c>
      <c r="F13" s="20" t="inlineStr">
        <is>
          <t>Blind second scoring recommended</t>
        </is>
      </c>
      <c r="G13" s="20" t="inlineStr">
        <is>
          <t>Target ICC/weighted agreement ≥0.70 exploratory; ≥0.80 preferred for freeze</t>
        </is>
      </c>
      <c r="H13" s="20" t="inlineStr">
        <is>
          <t>Pilot N to be set by study design</t>
        </is>
      </c>
      <c r="I13" s="20" t="inlineStr">
        <is>
          <t>Pending</t>
        </is>
      </c>
      <c r="J13" s="20" t="inlineStr">
        <is>
          <t>Methodology Lead</t>
        </is>
      </c>
    </row>
    <row r="14">
      <c r="A14" s="20" t="inlineStr">
        <is>
          <t>D02</t>
        </is>
      </c>
      <c r="B14" s="20" t="inlineStr">
        <is>
          <t>I03</t>
        </is>
      </c>
      <c r="C14" s="20" t="inlineStr">
        <is>
          <t>Responsible AI Maturity</t>
        </is>
      </c>
      <c r="D14" s="20" t="inlineStr">
        <is>
          <t>5–10 anchor examples per metric before pilot</t>
        </is>
      </c>
      <c r="E14" s="20" t="inlineStr">
        <is>
          <t>2 independent assessors minimum</t>
        </is>
      </c>
      <c r="F14" s="20" t="inlineStr">
        <is>
          <t>Blind second scoring recommended</t>
        </is>
      </c>
      <c r="G14" s="20" t="inlineStr">
        <is>
          <t>Target ICC/weighted agreement ≥0.70 exploratory; ≥0.80 preferred for freeze</t>
        </is>
      </c>
      <c r="H14" s="20" t="inlineStr">
        <is>
          <t>Pilot N to be set by study design</t>
        </is>
      </c>
      <c r="I14" s="20" t="inlineStr">
        <is>
          <t>Pending</t>
        </is>
      </c>
      <c r="J14" s="20" t="inlineStr">
        <is>
          <t>Methodology Lead</t>
        </is>
      </c>
    </row>
    <row r="15">
      <c r="A15" s="20" t="inlineStr">
        <is>
          <t>D02</t>
        </is>
      </c>
      <c r="B15" s="20" t="inlineStr">
        <is>
          <t>I04</t>
        </is>
      </c>
      <c r="C15" s="20" t="inlineStr">
        <is>
          <t>Data Governance Readiness</t>
        </is>
      </c>
      <c r="D15" s="20" t="inlineStr">
        <is>
          <t>5–10 anchor examples per metric before pilot</t>
        </is>
      </c>
      <c r="E15" s="20" t="inlineStr">
        <is>
          <t>2 independent assessors minimum</t>
        </is>
      </c>
      <c r="F15" s="20" t="inlineStr">
        <is>
          <t>Blind second scoring recommended</t>
        </is>
      </c>
      <c r="G15" s="20" t="inlineStr">
        <is>
          <t>Target ICC/weighted agreement ≥0.70 exploratory; ≥0.80 preferred for freeze</t>
        </is>
      </c>
      <c r="H15" s="20" t="inlineStr">
        <is>
          <t>Pilot N to be set by study design</t>
        </is>
      </c>
      <c r="I15" s="20" t="inlineStr">
        <is>
          <t>Pending</t>
        </is>
      </c>
      <c r="J15" s="20" t="inlineStr">
        <is>
          <t>Methodology Lead</t>
        </is>
      </c>
    </row>
    <row r="16">
      <c r="A16" s="20" t="inlineStr">
        <is>
          <t>D02</t>
        </is>
      </c>
      <c r="B16" s="20" t="inlineStr">
        <is>
          <t>I05</t>
        </is>
      </c>
      <c r="C16" s="20" t="inlineStr">
        <is>
          <t>Academic Integrity Governance</t>
        </is>
      </c>
      <c r="D16" s="20" t="inlineStr">
        <is>
          <t>5–10 anchor examples per metric before pilot</t>
        </is>
      </c>
      <c r="E16" s="20" t="inlineStr">
        <is>
          <t>2 independent assessors minimum</t>
        </is>
      </c>
      <c r="F16" s="20" t="inlineStr">
        <is>
          <t>Blind second scoring recommended</t>
        </is>
      </c>
      <c r="G16" s="20" t="inlineStr">
        <is>
          <t>Target ICC/weighted agreement ≥0.70 exploratory; ≥0.80 preferred for freeze</t>
        </is>
      </c>
      <c r="H16" s="20" t="inlineStr">
        <is>
          <t>Pilot N to be set by study design</t>
        </is>
      </c>
      <c r="I16" s="20" t="inlineStr">
        <is>
          <t>Pending</t>
        </is>
      </c>
      <c r="J16" s="20" t="inlineStr">
        <is>
          <t>Methodology Lead</t>
        </is>
      </c>
    </row>
    <row r="17">
      <c r="A17" s="20" t="inlineStr">
        <is>
          <t>D02</t>
        </is>
      </c>
      <c r="B17" s="20" t="inlineStr">
        <is>
          <t>I06</t>
        </is>
      </c>
      <c r="C17" s="20" t="inlineStr">
        <is>
          <t>Assessment Governance</t>
        </is>
      </c>
      <c r="D17" s="20" t="inlineStr">
        <is>
          <t>5–10 anchor examples per metric before pilot</t>
        </is>
      </c>
      <c r="E17" s="20" t="inlineStr">
        <is>
          <t>2 independent assessors minimum</t>
        </is>
      </c>
      <c r="F17" s="20" t="inlineStr">
        <is>
          <t>Blind second scoring recommended</t>
        </is>
      </c>
      <c r="G17" s="20" t="inlineStr">
        <is>
          <t>Target ICC/weighted agreement ≥0.70 exploratory; ≥0.80 preferred for freeze</t>
        </is>
      </c>
      <c r="H17" s="20" t="inlineStr">
        <is>
          <t>Pilot N to be set by study design</t>
        </is>
      </c>
      <c r="I17" s="20" t="inlineStr">
        <is>
          <t>Pending</t>
        </is>
      </c>
      <c r="J17" s="20" t="inlineStr">
        <is>
          <t>Methodology Lead</t>
        </is>
      </c>
    </row>
    <row r="18">
      <c r="A18" s="20" t="inlineStr">
        <is>
          <t>D02</t>
        </is>
      </c>
      <c r="B18" s="20" t="inlineStr">
        <is>
          <t>I07</t>
        </is>
      </c>
      <c r="C18" s="20" t="inlineStr">
        <is>
          <t>AI Risk Management</t>
        </is>
      </c>
      <c r="D18" s="20" t="inlineStr">
        <is>
          <t>5–10 anchor examples per metric before pilot</t>
        </is>
      </c>
      <c r="E18" s="20" t="inlineStr">
        <is>
          <t>2 independent assessors minimum</t>
        </is>
      </c>
      <c r="F18" s="20" t="inlineStr">
        <is>
          <t>Blind second scoring recommended</t>
        </is>
      </c>
      <c r="G18" s="20" t="inlineStr">
        <is>
          <t>Target ICC/weighted agreement ≥0.70 exploratory; ≥0.80 preferred for freeze</t>
        </is>
      </c>
      <c r="H18" s="20" t="inlineStr">
        <is>
          <t>Pilot N to be set by study design</t>
        </is>
      </c>
      <c r="I18" s="20" t="inlineStr">
        <is>
          <t>Pending</t>
        </is>
      </c>
      <c r="J18" s="20" t="inlineStr">
        <is>
          <t>Methodology Lead</t>
        </is>
      </c>
    </row>
    <row r="19">
      <c r="A19" s="20" t="inlineStr">
        <is>
          <t>D02</t>
        </is>
      </c>
      <c r="B19" s="20" t="inlineStr">
        <is>
          <t>I08</t>
        </is>
      </c>
      <c r="C19" s="20" t="inlineStr">
        <is>
          <t>Incident Responsiveness</t>
        </is>
      </c>
      <c r="D19" s="20" t="inlineStr">
        <is>
          <t>5–10 anchor examples per metric before pilot</t>
        </is>
      </c>
      <c r="E19" s="20" t="inlineStr">
        <is>
          <t>2 independent assessors minimum</t>
        </is>
      </c>
      <c r="F19" s="20" t="inlineStr">
        <is>
          <t>Blind second scoring recommended</t>
        </is>
      </c>
      <c r="G19" s="20" t="inlineStr">
        <is>
          <t>Target ICC/weighted agreement ≥0.70 exploratory; ≥0.80 preferred for freeze</t>
        </is>
      </c>
      <c r="H19" s="20" t="inlineStr">
        <is>
          <t>Pilot N to be set by study design</t>
        </is>
      </c>
      <c r="I19" s="20" t="inlineStr">
        <is>
          <t>Pending</t>
        </is>
      </c>
      <c r="J19" s="20" t="inlineStr">
        <is>
          <t>Methodology Lead</t>
        </is>
      </c>
    </row>
    <row r="20">
      <c r="A20" s="20" t="inlineStr">
        <is>
          <t>D02</t>
        </is>
      </c>
      <c r="B20" s="20" t="inlineStr">
        <is>
          <t>I09</t>
        </is>
      </c>
      <c r="C20" s="20" t="inlineStr">
        <is>
          <t>Human Accountability</t>
        </is>
      </c>
      <c r="D20" s="20" t="inlineStr">
        <is>
          <t>5–10 anchor examples per metric before pilot</t>
        </is>
      </c>
      <c r="E20" s="20" t="inlineStr">
        <is>
          <t>2 independent assessors minimum</t>
        </is>
      </c>
      <c r="F20" s="20" t="inlineStr">
        <is>
          <t>Blind second scoring recommended</t>
        </is>
      </c>
      <c r="G20" s="20" t="inlineStr">
        <is>
          <t>Target ICC/weighted agreement ≥0.70 exploratory; ≥0.80 preferred for freeze</t>
        </is>
      </c>
      <c r="H20" s="20" t="inlineStr">
        <is>
          <t>Pilot N to be set by study design</t>
        </is>
      </c>
      <c r="I20" s="20" t="inlineStr">
        <is>
          <t>Pending</t>
        </is>
      </c>
      <c r="J20" s="20" t="inlineStr">
        <is>
          <t>Methodology Lead</t>
        </is>
      </c>
    </row>
    <row r="21">
      <c r="A21" s="20" t="inlineStr">
        <is>
          <t>D02</t>
        </is>
      </c>
      <c r="B21" s="20" t="inlineStr">
        <is>
          <t>I10</t>
        </is>
      </c>
      <c r="C21" s="20" t="inlineStr">
        <is>
          <t>Vendor/Tool Governance</t>
        </is>
      </c>
      <c r="D21" s="20" t="inlineStr">
        <is>
          <t>5–10 anchor examples per metric before pilot</t>
        </is>
      </c>
      <c r="E21" s="20" t="inlineStr">
        <is>
          <t>2 independent assessors minimum</t>
        </is>
      </c>
      <c r="F21" s="20" t="inlineStr">
        <is>
          <t>Blind second scoring recommended</t>
        </is>
      </c>
      <c r="G21" s="20" t="inlineStr">
        <is>
          <t>Target ICC/weighted agreement ≥0.70 exploratory; ≥0.80 preferred for freeze</t>
        </is>
      </c>
      <c r="H21" s="20" t="inlineStr">
        <is>
          <t>Pilot N to be set by study design</t>
        </is>
      </c>
      <c r="I21" s="20" t="inlineStr">
        <is>
          <t>Pending</t>
        </is>
      </c>
      <c r="J21" s="20" t="inlineStr">
        <is>
          <t>Methodology Lead</t>
        </is>
      </c>
    </row>
    <row r="22">
      <c r="A22" s="20" t="inlineStr">
        <is>
          <t>D02</t>
        </is>
      </c>
      <c r="B22" s="20" t="inlineStr">
        <is>
          <t>I11</t>
        </is>
      </c>
      <c r="C22" s="20" t="inlineStr">
        <is>
          <t>IP Governance</t>
        </is>
      </c>
      <c r="D22" s="20" t="inlineStr">
        <is>
          <t>5–10 anchor examples per metric before pilot</t>
        </is>
      </c>
      <c r="E22" s="20" t="inlineStr">
        <is>
          <t>2 independent assessors minimum</t>
        </is>
      </c>
      <c r="F22" s="20" t="inlineStr">
        <is>
          <t>Blind second scoring recommended</t>
        </is>
      </c>
      <c r="G22" s="20" t="inlineStr">
        <is>
          <t>Target ICC/weighted agreement ≥0.70 exploratory; ≥0.80 preferred for freeze</t>
        </is>
      </c>
      <c r="H22" s="20" t="inlineStr">
        <is>
          <t>Pilot N to be set by study design</t>
        </is>
      </c>
      <c r="I22" s="20" t="inlineStr">
        <is>
          <t>Pending</t>
        </is>
      </c>
      <c r="J22" s="20" t="inlineStr">
        <is>
          <t>Methodology Lead</t>
        </is>
      </c>
    </row>
    <row r="23">
      <c r="A23" s="20" t="inlineStr">
        <is>
          <t>D02</t>
        </is>
      </c>
      <c r="B23" s="20" t="inlineStr">
        <is>
          <t>I12</t>
        </is>
      </c>
      <c r="C23" s="20" t="inlineStr">
        <is>
          <t>Research AI Governance</t>
        </is>
      </c>
      <c r="D23" s="20" t="inlineStr">
        <is>
          <t>5–10 anchor examples per metric before pilot</t>
        </is>
      </c>
      <c r="E23" s="20" t="inlineStr">
        <is>
          <t>2 independent assessors minimum</t>
        </is>
      </c>
      <c r="F23" s="20" t="inlineStr">
        <is>
          <t>Blind second scoring recommended</t>
        </is>
      </c>
      <c r="G23" s="20" t="inlineStr">
        <is>
          <t>Target ICC/weighted agreement ≥0.70 exploratory; ≥0.80 preferred for freeze</t>
        </is>
      </c>
      <c r="H23" s="20" t="inlineStr">
        <is>
          <t>Pilot N to be set by study design</t>
        </is>
      </c>
      <c r="I23" s="20" t="inlineStr">
        <is>
          <t>Pending</t>
        </is>
      </c>
      <c r="J23" s="20" t="inlineStr">
        <is>
          <t>Methodology Lead</t>
        </is>
      </c>
    </row>
    <row r="24">
      <c r="A24" s="20" t="inlineStr">
        <is>
          <t>D02</t>
        </is>
      </c>
      <c r="B24" s="20" t="inlineStr">
        <is>
          <t>I13</t>
        </is>
      </c>
      <c r="C24" s="20" t="inlineStr">
        <is>
          <t>Governance Review Adaptability</t>
        </is>
      </c>
      <c r="D24" s="20" t="inlineStr">
        <is>
          <t>5–10 anchor examples per metric before pilot</t>
        </is>
      </c>
      <c r="E24" s="20" t="inlineStr">
        <is>
          <t>2 independent assessors minimum</t>
        </is>
      </c>
      <c r="F24" s="20" t="inlineStr">
        <is>
          <t>Blind second scoring recommended</t>
        </is>
      </c>
      <c r="G24" s="20" t="inlineStr">
        <is>
          <t>Target ICC/weighted agreement ≥0.70 exploratory; ≥0.80 preferred for freeze</t>
        </is>
      </c>
      <c r="H24" s="20" t="inlineStr">
        <is>
          <t>Pilot N to be set by study design</t>
        </is>
      </c>
      <c r="I24" s="20" t="inlineStr">
        <is>
          <t>Pending</t>
        </is>
      </c>
      <c r="J24" s="20" t="inlineStr">
        <is>
          <t>Methodology Lead</t>
        </is>
      </c>
    </row>
    <row r="25">
      <c r="A25" s="20" t="inlineStr">
        <is>
          <t>D02</t>
        </is>
      </c>
      <c r="B25" s="20" t="inlineStr">
        <is>
          <t>I14</t>
        </is>
      </c>
      <c r="C25" s="20" t="inlineStr">
        <is>
          <t>Governance Effectiveness</t>
        </is>
      </c>
      <c r="D25" s="20" t="inlineStr">
        <is>
          <t>5–10 anchor examples per metric before pilot</t>
        </is>
      </c>
      <c r="E25" s="20" t="inlineStr">
        <is>
          <t>2 independent assessors minimum</t>
        </is>
      </c>
      <c r="F25" s="20" t="inlineStr">
        <is>
          <t>Blind second scoring recommended</t>
        </is>
      </c>
      <c r="G25" s="20" t="inlineStr">
        <is>
          <t>Target ICC/weighted agreement ≥0.70 exploratory; ≥0.80 preferred for freeze</t>
        </is>
      </c>
      <c r="H25" s="20" t="inlineStr">
        <is>
          <t>Pilot N to be set by study design</t>
        </is>
      </c>
      <c r="I25" s="20" t="inlineStr">
        <is>
          <t>Pending</t>
        </is>
      </c>
      <c r="J25" s="20" t="inlineStr">
        <is>
          <t>Methodology Lead</t>
        </is>
      </c>
    </row>
    <row r="26">
      <c r="A26" s="20" t="inlineStr">
        <is>
          <t>D03</t>
        </is>
      </c>
      <c r="B26" s="20" t="inlineStr">
        <is>
          <t>I01</t>
        </is>
      </c>
      <c r="C26" s="20" t="inlineStr">
        <is>
          <t>Foundational Knowledge Depth</t>
        </is>
      </c>
      <c r="D26" s="20" t="inlineStr">
        <is>
          <t>5–10 anchor examples per metric before pilot</t>
        </is>
      </c>
      <c r="E26" s="20" t="inlineStr">
        <is>
          <t>2 independent assessors minimum</t>
        </is>
      </c>
      <c r="F26" s="20" t="inlineStr">
        <is>
          <t>Blind second scoring recommended</t>
        </is>
      </c>
      <c r="G26" s="20" t="inlineStr">
        <is>
          <t>Target ICC/weighted agreement ≥0.70 exploratory; ≥0.80 preferred for freeze</t>
        </is>
      </c>
      <c r="H26" s="20" t="inlineStr">
        <is>
          <t>Pilot N to be set by study design</t>
        </is>
      </c>
      <c r="I26" s="20" t="inlineStr">
        <is>
          <t>Pending</t>
        </is>
      </c>
      <c r="J26" s="20" t="inlineStr">
        <is>
          <t>Methodology Lead</t>
        </is>
      </c>
    </row>
    <row r="27">
      <c r="A27" s="20" t="inlineStr">
        <is>
          <t>D03</t>
        </is>
      </c>
      <c r="B27" s="20" t="inlineStr">
        <is>
          <t>I02</t>
        </is>
      </c>
      <c r="C27" s="20" t="inlineStr">
        <is>
          <t>Critical Reasoning Development</t>
        </is>
      </c>
      <c r="D27" s="20" t="inlineStr">
        <is>
          <t>5–10 anchor examples per metric before pilot</t>
        </is>
      </c>
      <c r="E27" s="20" t="inlineStr">
        <is>
          <t>2 independent assessors minimum</t>
        </is>
      </c>
      <c r="F27" s="20" t="inlineStr">
        <is>
          <t>Blind second scoring recommended</t>
        </is>
      </c>
      <c r="G27" s="20" t="inlineStr">
        <is>
          <t>Target ICC/weighted agreement ≥0.70 exploratory; ≥0.80 preferred for freeze</t>
        </is>
      </c>
      <c r="H27" s="20" t="inlineStr">
        <is>
          <t>Pilot N to be set by study design</t>
        </is>
      </c>
      <c r="I27" s="20" t="inlineStr">
        <is>
          <t>Pending</t>
        </is>
      </c>
      <c r="J27" s="20" t="inlineStr">
        <is>
          <t>Methodology Lead</t>
        </is>
      </c>
    </row>
    <row r="28">
      <c r="A28" s="20" t="inlineStr">
        <is>
          <t>D03</t>
        </is>
      </c>
      <c r="B28" s="20" t="inlineStr">
        <is>
          <t>I03</t>
        </is>
      </c>
      <c r="C28" s="20" t="inlineStr">
        <is>
          <t>Question Formulation</t>
        </is>
      </c>
      <c r="D28" s="20" t="inlineStr">
        <is>
          <t>5–10 anchor examples per metric before pilot</t>
        </is>
      </c>
      <c r="E28" s="20" t="inlineStr">
        <is>
          <t>2 independent assessors minimum</t>
        </is>
      </c>
      <c r="F28" s="20" t="inlineStr">
        <is>
          <t>Blind second scoring recommended</t>
        </is>
      </c>
      <c r="G28" s="20" t="inlineStr">
        <is>
          <t>Target ICC/weighted agreement ≥0.70 exploratory; ≥0.80 preferred for freeze</t>
        </is>
      </c>
      <c r="H28" s="20" t="inlineStr">
        <is>
          <t>Pilot N to be set by study design</t>
        </is>
      </c>
      <c r="I28" s="20" t="inlineStr">
        <is>
          <t>Pending</t>
        </is>
      </c>
      <c r="J28" s="20" t="inlineStr">
        <is>
          <t>Methodology Lead</t>
        </is>
      </c>
    </row>
    <row r="29">
      <c r="A29" s="20" t="inlineStr">
        <is>
          <t>D03</t>
        </is>
      </c>
      <c r="B29" s="20" t="inlineStr">
        <is>
          <t>I04</t>
        </is>
      </c>
      <c r="C29" s="20" t="inlineStr">
        <is>
          <t>Analytical Reasoning</t>
        </is>
      </c>
      <c r="D29" s="20" t="inlineStr">
        <is>
          <t>5–10 anchor examples per metric before pilot</t>
        </is>
      </c>
      <c r="E29" s="20" t="inlineStr">
        <is>
          <t>2 independent assessors minimum</t>
        </is>
      </c>
      <c r="F29" s="20" t="inlineStr">
        <is>
          <t>Blind second scoring recommended</t>
        </is>
      </c>
      <c r="G29" s="20" t="inlineStr">
        <is>
          <t>Target ICC/weighted agreement ≥0.70 exploratory; ≥0.80 preferred for freeze</t>
        </is>
      </c>
      <c r="H29" s="20" t="inlineStr">
        <is>
          <t>Pilot N to be set by study design</t>
        </is>
      </c>
      <c r="I29" s="20" t="inlineStr">
        <is>
          <t>Pending</t>
        </is>
      </c>
      <c r="J29" s="20" t="inlineStr">
        <is>
          <t>Methodology Lead</t>
        </is>
      </c>
    </row>
    <row r="30">
      <c r="A30" s="20" t="inlineStr">
        <is>
          <t>D03</t>
        </is>
      </c>
      <c r="B30" s="20" t="inlineStr">
        <is>
          <t>I05</t>
        </is>
      </c>
      <c r="C30" s="20" t="inlineStr">
        <is>
          <t>Problem Formulation</t>
        </is>
      </c>
      <c r="D30" s="20" t="inlineStr">
        <is>
          <t>5–10 anchor examples per metric before pilot</t>
        </is>
      </c>
      <c r="E30" s="20" t="inlineStr">
        <is>
          <t>2 independent assessors minimum</t>
        </is>
      </c>
      <c r="F30" s="20" t="inlineStr">
        <is>
          <t>Blind second scoring recommended</t>
        </is>
      </c>
      <c r="G30" s="20" t="inlineStr">
        <is>
          <t>Target ICC/weighted agreement ≥0.70 exploratory; ≥0.80 preferred for freeze</t>
        </is>
      </c>
      <c r="H30" s="20" t="inlineStr">
        <is>
          <t>Pilot N to be set by study design</t>
        </is>
      </c>
      <c r="I30" s="20" t="inlineStr">
        <is>
          <t>Pending</t>
        </is>
      </c>
      <c r="J30" s="20" t="inlineStr">
        <is>
          <t>Methodology Lead</t>
        </is>
      </c>
    </row>
    <row r="31">
      <c r="A31" s="20" t="inlineStr">
        <is>
          <t>D03</t>
        </is>
      </c>
      <c r="B31" s="20" t="inlineStr">
        <is>
          <t>I06</t>
        </is>
      </c>
      <c r="C31" s="20" t="inlineStr">
        <is>
          <t>Creativity &amp; Originality</t>
        </is>
      </c>
      <c r="D31" s="20" t="inlineStr">
        <is>
          <t>5–10 anchor examples per metric before pilot</t>
        </is>
      </c>
      <c r="E31" s="20" t="inlineStr">
        <is>
          <t>2 independent assessors minimum</t>
        </is>
      </c>
      <c r="F31" s="20" t="inlineStr">
        <is>
          <t>Blind second scoring recommended</t>
        </is>
      </c>
      <c r="G31" s="20" t="inlineStr">
        <is>
          <t>Target ICC/weighted agreement ≥0.70 exploratory; ≥0.80 preferred for freeze</t>
        </is>
      </c>
      <c r="H31" s="20" t="inlineStr">
        <is>
          <t>Pilot N to be set by study design</t>
        </is>
      </c>
      <c r="I31" s="20" t="inlineStr">
        <is>
          <t>Pending</t>
        </is>
      </c>
      <c r="J31" s="20" t="inlineStr">
        <is>
          <t>Methodology Lead</t>
        </is>
      </c>
    </row>
    <row r="32">
      <c r="A32" s="20" t="inlineStr">
        <is>
          <t>D03</t>
        </is>
      </c>
      <c r="B32" s="20" t="inlineStr">
        <is>
          <t>I07</t>
        </is>
      </c>
      <c r="C32" s="20" t="inlineStr">
        <is>
          <t>Judgement Capability</t>
        </is>
      </c>
      <c r="D32" s="20" t="inlineStr">
        <is>
          <t>5–10 anchor examples per metric before pilot</t>
        </is>
      </c>
      <c r="E32" s="20" t="inlineStr">
        <is>
          <t>2 independent assessors minimum</t>
        </is>
      </c>
      <c r="F32" s="20" t="inlineStr">
        <is>
          <t>Blind second scoring recommended</t>
        </is>
      </c>
      <c r="G32" s="20" t="inlineStr">
        <is>
          <t>Target ICC/weighted agreement ≥0.70 exploratory; ≥0.80 preferred for freeze</t>
        </is>
      </c>
      <c r="H32" s="20" t="inlineStr">
        <is>
          <t>Pilot N to be set by study design</t>
        </is>
      </c>
      <c r="I32" s="20" t="inlineStr">
        <is>
          <t>Pending</t>
        </is>
      </c>
      <c r="J32" s="20" t="inlineStr">
        <is>
          <t>Methodology Lead</t>
        </is>
      </c>
    </row>
    <row r="33">
      <c r="A33" s="20" t="inlineStr">
        <is>
          <t>D03</t>
        </is>
      </c>
      <c r="B33" s="20" t="inlineStr">
        <is>
          <t>I08</t>
        </is>
      </c>
      <c r="C33" s="20" t="inlineStr">
        <is>
          <t>AI Verification Capability</t>
        </is>
      </c>
      <c r="D33" s="20" t="inlineStr">
        <is>
          <t>5–10 anchor examples per metric before pilot</t>
        </is>
      </c>
      <c r="E33" s="20" t="inlineStr">
        <is>
          <t>2 independent assessors minimum</t>
        </is>
      </c>
      <c r="F33" s="20" t="inlineStr">
        <is>
          <t>Blind second scoring recommended</t>
        </is>
      </c>
      <c r="G33" s="20" t="inlineStr">
        <is>
          <t>Target ICC/weighted agreement ≥0.70 exploratory; ≥0.80 preferred for freeze</t>
        </is>
      </c>
      <c r="H33" s="20" t="inlineStr">
        <is>
          <t>Pilot N to be set by study design</t>
        </is>
      </c>
      <c r="I33" s="20" t="inlineStr">
        <is>
          <t>Pending</t>
        </is>
      </c>
      <c r="J33" s="20" t="inlineStr">
        <is>
          <t>Methodology Lead</t>
        </is>
      </c>
    </row>
    <row r="34">
      <c r="A34" s="20" t="inlineStr">
        <is>
          <t>D03</t>
        </is>
      </c>
      <c r="B34" s="20" t="inlineStr">
        <is>
          <t>I09</t>
        </is>
      </c>
      <c r="C34" s="20" t="inlineStr">
        <is>
          <t>Metacognitive Capability</t>
        </is>
      </c>
      <c r="D34" s="20" t="inlineStr">
        <is>
          <t>5–10 anchor examples per metric before pilot</t>
        </is>
      </c>
      <c r="E34" s="20" t="inlineStr">
        <is>
          <t>2 independent assessors minimum</t>
        </is>
      </c>
      <c r="F34" s="20" t="inlineStr">
        <is>
          <t>Blind second scoring recommended</t>
        </is>
      </c>
      <c r="G34" s="20" t="inlineStr">
        <is>
          <t>Target ICC/weighted agreement ≥0.70 exploratory; ≥0.80 preferred for freeze</t>
        </is>
      </c>
      <c r="H34" s="20" t="inlineStr">
        <is>
          <t>Pilot N to be set by study design</t>
        </is>
      </c>
      <c r="I34" s="20" t="inlineStr">
        <is>
          <t>Pending</t>
        </is>
      </c>
      <c r="J34" s="20" t="inlineStr">
        <is>
          <t>Methodology Lead</t>
        </is>
      </c>
    </row>
    <row r="35">
      <c r="A35" s="20" t="inlineStr">
        <is>
          <t>D03</t>
        </is>
      </c>
      <c r="B35" s="20" t="inlineStr">
        <is>
          <t>I10</t>
        </is>
      </c>
      <c r="C35" s="20" t="inlineStr">
        <is>
          <t>Human-AI Collaboration</t>
        </is>
      </c>
      <c r="D35" s="20" t="inlineStr">
        <is>
          <t>5–10 anchor examples per metric before pilot</t>
        </is>
      </c>
      <c r="E35" s="20" t="inlineStr">
        <is>
          <t>2 independent assessors minimum</t>
        </is>
      </c>
      <c r="F35" s="20" t="inlineStr">
        <is>
          <t>Blind second scoring recommended</t>
        </is>
      </c>
      <c r="G35" s="20" t="inlineStr">
        <is>
          <t>Target ICC/weighted agreement ≥0.70 exploratory; ≥0.80 preferred for freeze</t>
        </is>
      </c>
      <c r="H35" s="20" t="inlineStr">
        <is>
          <t>Pilot N to be set by study design</t>
        </is>
      </c>
      <c r="I35" s="20" t="inlineStr">
        <is>
          <t>Pending</t>
        </is>
      </c>
      <c r="J35" s="20" t="inlineStr">
        <is>
          <t>Methodology Lead</t>
        </is>
      </c>
    </row>
    <row r="36">
      <c r="A36" s="20" t="inlineStr">
        <is>
          <t>D03</t>
        </is>
      </c>
      <c r="B36" s="20" t="inlineStr">
        <is>
          <t>I11</t>
        </is>
      </c>
      <c r="C36" s="20" t="inlineStr">
        <is>
          <t>Communication &amp; Defence</t>
        </is>
      </c>
      <c r="D36" s="20" t="inlineStr">
        <is>
          <t>5–10 anchor examples per metric before pilot</t>
        </is>
      </c>
      <c r="E36" s="20" t="inlineStr">
        <is>
          <t>2 independent assessors minimum</t>
        </is>
      </c>
      <c r="F36" s="20" t="inlineStr">
        <is>
          <t>Blind second scoring recommended</t>
        </is>
      </c>
      <c r="G36" s="20" t="inlineStr">
        <is>
          <t>Target ICC/weighted agreement ≥0.70 exploratory; ≥0.80 preferred for freeze</t>
        </is>
      </c>
      <c r="H36" s="20" t="inlineStr">
        <is>
          <t>Pilot N to be set by study design</t>
        </is>
      </c>
      <c r="I36" s="20" t="inlineStr">
        <is>
          <t>Pending</t>
        </is>
      </c>
      <c r="J36" s="20" t="inlineStr">
        <is>
          <t>Methodology Lead</t>
        </is>
      </c>
    </row>
    <row r="37">
      <c r="A37" s="20" t="inlineStr">
        <is>
          <t>D03</t>
        </is>
      </c>
      <c r="B37" s="20" t="inlineStr">
        <is>
          <t>I12</t>
        </is>
      </c>
      <c r="C37" s="20" t="inlineStr">
        <is>
          <t>Collaboration Capability</t>
        </is>
      </c>
      <c r="D37" s="20" t="inlineStr">
        <is>
          <t>5–10 anchor examples per metric before pilot</t>
        </is>
      </c>
      <c r="E37" s="20" t="inlineStr">
        <is>
          <t>2 independent assessors minimum</t>
        </is>
      </c>
      <c r="F37" s="20" t="inlineStr">
        <is>
          <t>Blind second scoring recommended</t>
        </is>
      </c>
      <c r="G37" s="20" t="inlineStr">
        <is>
          <t>Target ICC/weighted agreement ≥0.70 exploratory; ≥0.80 preferred for freeze</t>
        </is>
      </c>
      <c r="H37" s="20" t="inlineStr">
        <is>
          <t>Pilot N to be set by study design</t>
        </is>
      </c>
      <c r="I37" s="20" t="inlineStr">
        <is>
          <t>Pending</t>
        </is>
      </c>
      <c r="J37" s="20" t="inlineStr">
        <is>
          <t>Methodology Lead</t>
        </is>
      </c>
    </row>
    <row r="38">
      <c r="A38" s="20" t="inlineStr">
        <is>
          <t>D03</t>
        </is>
      </c>
      <c r="B38" s="20" t="inlineStr">
        <is>
          <t>I13</t>
        </is>
      </c>
      <c r="C38" s="20" t="inlineStr">
        <is>
          <t>Practical Capability</t>
        </is>
      </c>
      <c r="D38" s="20" t="inlineStr">
        <is>
          <t>5–10 anchor examples per metric before pilot</t>
        </is>
      </c>
      <c r="E38" s="20" t="inlineStr">
        <is>
          <t>2 independent assessors minimum</t>
        </is>
      </c>
      <c r="F38" s="20" t="inlineStr">
        <is>
          <t>Blind second scoring recommended</t>
        </is>
      </c>
      <c r="G38" s="20" t="inlineStr">
        <is>
          <t>Target ICC/weighted agreement ≥0.70 exploratory; ≥0.80 preferred for freeze</t>
        </is>
      </c>
      <c r="H38" s="20" t="inlineStr">
        <is>
          <t>Pilot N to be set by study design</t>
        </is>
      </c>
      <c r="I38" s="20" t="inlineStr">
        <is>
          <t>Pending</t>
        </is>
      </c>
      <c r="J38" s="20" t="inlineStr">
        <is>
          <t>Methodology Lead</t>
        </is>
      </c>
    </row>
    <row r="39">
      <c r="A39" s="20" t="inlineStr">
        <is>
          <t>D03</t>
        </is>
      </c>
      <c r="B39" s="20" t="inlineStr">
        <is>
          <t>I14</t>
        </is>
      </c>
      <c r="C39" s="20" t="inlineStr">
        <is>
          <t>Ethical/Social Judgement</t>
        </is>
      </c>
      <c r="D39" s="20" t="inlineStr">
        <is>
          <t>5–10 anchor examples per metric before pilot</t>
        </is>
      </c>
      <c r="E39" s="20" t="inlineStr">
        <is>
          <t>2 independent assessors minimum</t>
        </is>
      </c>
      <c r="F39" s="20" t="inlineStr">
        <is>
          <t>Blind second scoring recommended</t>
        </is>
      </c>
      <c r="G39" s="20" t="inlineStr">
        <is>
          <t>Target ICC/weighted agreement ≥0.70 exploratory; ≥0.80 preferred for freeze</t>
        </is>
      </c>
      <c r="H39" s="20" t="inlineStr">
        <is>
          <t>Pilot N to be set by study design</t>
        </is>
      </c>
      <c r="I39" s="20" t="inlineStr">
        <is>
          <t>Pending</t>
        </is>
      </c>
      <c r="J39" s="20" t="inlineStr">
        <is>
          <t>Methodology Lead</t>
        </is>
      </c>
    </row>
    <row r="40">
      <c r="A40" s="20" t="inlineStr">
        <is>
          <t>D03</t>
        </is>
      </c>
      <c r="B40" s="20" t="inlineStr">
        <is>
          <t>I15</t>
        </is>
      </c>
      <c r="C40" s="20" t="inlineStr">
        <is>
          <t>Intellectual Agency</t>
        </is>
      </c>
      <c r="D40" s="20" t="inlineStr">
        <is>
          <t>5–10 anchor examples per metric before pilot</t>
        </is>
      </c>
      <c r="E40" s="20" t="inlineStr">
        <is>
          <t>2 independent assessors minimum</t>
        </is>
      </c>
      <c r="F40" s="20" t="inlineStr">
        <is>
          <t>Blind second scoring recommended</t>
        </is>
      </c>
      <c r="G40" s="20" t="inlineStr">
        <is>
          <t>Target ICC/weighted agreement ≥0.70 exploratory; ≥0.80 preferred for freeze</t>
        </is>
      </c>
      <c r="H40" s="20" t="inlineStr">
        <is>
          <t>Pilot N to be set by study design</t>
        </is>
      </c>
      <c r="I40" s="20" t="inlineStr">
        <is>
          <t>Pending</t>
        </is>
      </c>
      <c r="J40" s="20" t="inlineStr">
        <is>
          <t>Methodology Lead</t>
        </is>
      </c>
    </row>
    <row r="41">
      <c r="A41" s="20" t="inlineStr">
        <is>
          <t>D03</t>
        </is>
      </c>
      <c r="B41" s="20" t="inlineStr">
        <is>
          <t>I16</t>
        </is>
      </c>
      <c r="C41" s="20" t="inlineStr">
        <is>
          <t>Transfer Capability</t>
        </is>
      </c>
      <c r="D41" s="20" t="inlineStr">
        <is>
          <t>5–10 anchor examples per metric before pilot</t>
        </is>
      </c>
      <c r="E41" s="20" t="inlineStr">
        <is>
          <t>2 independent assessors minimum</t>
        </is>
      </c>
      <c r="F41" s="20" t="inlineStr">
        <is>
          <t>Blind second scoring recommended</t>
        </is>
      </c>
      <c r="G41" s="20" t="inlineStr">
        <is>
          <t>Target ICC/weighted agreement ≥0.70 exploratory; ≥0.80 preferred for freeze</t>
        </is>
      </c>
      <c r="H41" s="20" t="inlineStr">
        <is>
          <t>Pilot N to be set by study design</t>
        </is>
      </c>
      <c r="I41" s="20" t="inlineStr">
        <is>
          <t>Pending</t>
        </is>
      </c>
      <c r="J41" s="20" t="inlineStr">
        <is>
          <t>Methodology Lead</t>
        </is>
      </c>
    </row>
    <row r="42">
      <c r="A42" s="20" t="inlineStr">
        <is>
          <t>D03</t>
        </is>
      </c>
      <c r="B42" s="20" t="inlineStr">
        <is>
          <t>I17</t>
        </is>
      </c>
      <c r="C42" s="20" t="inlineStr">
        <is>
          <t>Non-Technical Discipline AI Capability</t>
        </is>
      </c>
      <c r="D42" s="20" t="inlineStr">
        <is>
          <t>5–10 anchor examples per metric before pilot</t>
        </is>
      </c>
      <c r="E42" s="20" t="inlineStr">
        <is>
          <t>2 independent assessors minimum</t>
        </is>
      </c>
      <c r="F42" s="20" t="inlineStr">
        <is>
          <t>Blind second scoring recommended</t>
        </is>
      </c>
      <c r="G42" s="20" t="inlineStr">
        <is>
          <t>Target ICC/weighted agreement ≥0.70 exploratory; ≥0.80 preferred for freeze</t>
        </is>
      </c>
      <c r="H42" s="20" t="inlineStr">
        <is>
          <t>Pilot N to be set by study design</t>
        </is>
      </c>
      <c r="I42" s="20" t="inlineStr">
        <is>
          <t>Pending</t>
        </is>
      </c>
      <c r="J42" s="20" t="inlineStr">
        <is>
          <t>Methodology Lead</t>
        </is>
      </c>
    </row>
    <row r="43">
      <c r="A43" s="20" t="inlineStr">
        <is>
          <t>D04</t>
        </is>
      </c>
      <c r="B43" s="20" t="inlineStr">
        <is>
          <t>I01</t>
        </is>
      </c>
      <c r="C43" s="20" t="inlineStr">
        <is>
          <t>Curriculum Sensing Maturity</t>
        </is>
      </c>
      <c r="D43" s="20" t="inlineStr">
        <is>
          <t>5–10 anchor examples per metric before pilot</t>
        </is>
      </c>
      <c r="E43" s="20" t="inlineStr">
        <is>
          <t>2 independent assessors minimum</t>
        </is>
      </c>
      <c r="F43" s="20" t="inlineStr">
        <is>
          <t>Blind second scoring recommended</t>
        </is>
      </c>
      <c r="G43" s="20" t="inlineStr">
        <is>
          <t>Target ICC/weighted agreement ≥0.70 exploratory; ≥0.80 preferred for freeze</t>
        </is>
      </c>
      <c r="H43" s="20" t="inlineStr">
        <is>
          <t>Pilot N to be set by study design</t>
        </is>
      </c>
      <c r="I43" s="20" t="inlineStr">
        <is>
          <t>Pending</t>
        </is>
      </c>
      <c r="J43" s="20" t="inlineStr">
        <is>
          <t>Methodology Lead</t>
        </is>
      </c>
    </row>
    <row r="44">
      <c r="A44" s="20" t="inlineStr">
        <is>
          <t>D04</t>
        </is>
      </c>
      <c r="B44" s="20" t="inlineStr">
        <is>
          <t>I02</t>
        </is>
      </c>
      <c r="C44" s="20" t="inlineStr">
        <is>
          <t>Future Learning Outcome Alignment</t>
        </is>
      </c>
      <c r="D44" s="20" t="inlineStr">
        <is>
          <t>5–10 anchor examples per metric before pilot</t>
        </is>
      </c>
      <c r="E44" s="20" t="inlineStr">
        <is>
          <t>2 independent assessors minimum</t>
        </is>
      </c>
      <c r="F44" s="20" t="inlineStr">
        <is>
          <t>Blind second scoring recommended</t>
        </is>
      </c>
      <c r="G44" s="20" t="inlineStr">
        <is>
          <t>Target ICC/weighted agreement ≥0.70 exploratory; ≥0.80 preferred for freeze</t>
        </is>
      </c>
      <c r="H44" s="20" t="inlineStr">
        <is>
          <t>Pilot N to be set by study design</t>
        </is>
      </c>
      <c r="I44" s="20" t="inlineStr">
        <is>
          <t>Pending</t>
        </is>
      </c>
      <c r="J44" s="20" t="inlineStr">
        <is>
          <t>Methodology Lead</t>
        </is>
      </c>
    </row>
    <row r="45">
      <c r="A45" s="20" t="inlineStr">
        <is>
          <t>D04</t>
        </is>
      </c>
      <c r="B45" s="20" t="inlineStr">
        <is>
          <t>I03</t>
        </is>
      </c>
      <c r="C45" s="20" t="inlineStr">
        <is>
          <t>Programme Review Effectiveness</t>
        </is>
      </c>
      <c r="D45" s="20" t="inlineStr">
        <is>
          <t>5–10 anchor examples per metric before pilot</t>
        </is>
      </c>
      <c r="E45" s="20" t="inlineStr">
        <is>
          <t>2 independent assessors minimum</t>
        </is>
      </c>
      <c r="F45" s="20" t="inlineStr">
        <is>
          <t>Blind second scoring recommended</t>
        </is>
      </c>
      <c r="G45" s="20" t="inlineStr">
        <is>
          <t>Target ICC/weighted agreement ≥0.70 exploratory; ≥0.80 preferred for freeze</t>
        </is>
      </c>
      <c r="H45" s="20" t="inlineStr">
        <is>
          <t>Pilot N to be set by study design</t>
        </is>
      </c>
      <c r="I45" s="20" t="inlineStr">
        <is>
          <t>Pending</t>
        </is>
      </c>
      <c r="J45" s="20" t="inlineStr">
        <is>
          <t>Methodology Lead</t>
        </is>
      </c>
    </row>
    <row r="46">
      <c r="A46" s="20" t="inlineStr">
        <is>
          <t>D04</t>
        </is>
      </c>
      <c r="B46" s="20" t="inlineStr">
        <is>
          <t>I04</t>
        </is>
      </c>
      <c r="C46" s="20" t="inlineStr">
        <is>
          <t>Disciplinary AI Integration Depth</t>
        </is>
      </c>
      <c r="D46" s="20" t="inlineStr">
        <is>
          <t>5–10 anchor examples per metric before pilot</t>
        </is>
      </c>
      <c r="E46" s="20" t="inlineStr">
        <is>
          <t>2 independent assessors minimum</t>
        </is>
      </c>
      <c r="F46" s="20" t="inlineStr">
        <is>
          <t>Blind second scoring recommended</t>
        </is>
      </c>
      <c r="G46" s="20" t="inlineStr">
        <is>
          <t>Target ICC/weighted agreement ≥0.70 exploratory; ≥0.80 preferred for freeze</t>
        </is>
      </c>
      <c r="H46" s="20" t="inlineStr">
        <is>
          <t>Pilot N to be set by study design</t>
        </is>
      </c>
      <c r="I46" s="20" t="inlineStr">
        <is>
          <t>Pending</t>
        </is>
      </c>
      <c r="J46" s="20" t="inlineStr">
        <is>
          <t>Methodology Lead</t>
        </is>
      </c>
    </row>
    <row r="47">
      <c r="A47" s="20" t="inlineStr">
        <is>
          <t>D04</t>
        </is>
      </c>
      <c r="B47" s="20" t="inlineStr">
        <is>
          <t>I05</t>
        </is>
      </c>
      <c r="C47" s="20" t="inlineStr">
        <is>
          <t>Content Obsolescence Response</t>
        </is>
      </c>
      <c r="D47" s="20" t="inlineStr">
        <is>
          <t>5–10 anchor examples per metric before pilot</t>
        </is>
      </c>
      <c r="E47" s="20" t="inlineStr">
        <is>
          <t>2 independent assessors minimum</t>
        </is>
      </c>
      <c r="F47" s="20" t="inlineStr">
        <is>
          <t>Blind second scoring recommended</t>
        </is>
      </c>
      <c r="G47" s="20" t="inlineStr">
        <is>
          <t>Target ICC/weighted agreement ≥0.70 exploratory; ≥0.80 preferred for freeze</t>
        </is>
      </c>
      <c r="H47" s="20" t="inlineStr">
        <is>
          <t>Pilot N to be set by study design</t>
        </is>
      </c>
      <c r="I47" s="20" t="inlineStr">
        <is>
          <t>Pending</t>
        </is>
      </c>
      <c r="J47" s="20" t="inlineStr">
        <is>
          <t>Methodology Lead</t>
        </is>
      </c>
    </row>
    <row r="48">
      <c r="A48" s="20" t="inlineStr">
        <is>
          <t>D04</t>
        </is>
      </c>
      <c r="B48" s="20" t="inlineStr">
        <is>
          <t>I06</t>
        </is>
      </c>
      <c r="C48" s="20" t="inlineStr">
        <is>
          <t>Experiential Learning Strength</t>
        </is>
      </c>
      <c r="D48" s="20" t="inlineStr">
        <is>
          <t>5–10 anchor examples per metric before pilot</t>
        </is>
      </c>
      <c r="E48" s="20" t="inlineStr">
        <is>
          <t>2 independent assessors minimum</t>
        </is>
      </c>
      <c r="F48" s="20" t="inlineStr">
        <is>
          <t>Blind second scoring recommended</t>
        </is>
      </c>
      <c r="G48" s="20" t="inlineStr">
        <is>
          <t>Target ICC/weighted agreement ≥0.70 exploratory; ≥0.80 preferred for freeze</t>
        </is>
      </c>
      <c r="H48" s="20" t="inlineStr">
        <is>
          <t>Pilot N to be set by study design</t>
        </is>
      </c>
      <c r="I48" s="20" t="inlineStr">
        <is>
          <t>Pending</t>
        </is>
      </c>
      <c r="J48" s="20" t="inlineStr">
        <is>
          <t>Methodology Lead</t>
        </is>
      </c>
    </row>
    <row r="49">
      <c r="A49" s="20" t="inlineStr">
        <is>
          <t>D04</t>
        </is>
      </c>
      <c r="B49" s="20" t="inlineStr">
        <is>
          <t>I07</t>
        </is>
      </c>
      <c r="C49" s="20" t="inlineStr">
        <is>
          <t>Interdisciplinary Flexibility</t>
        </is>
      </c>
      <c r="D49" s="20" t="inlineStr">
        <is>
          <t>5–10 anchor examples per metric before pilot</t>
        </is>
      </c>
      <c r="E49" s="20" t="inlineStr">
        <is>
          <t>2 independent assessors minimum</t>
        </is>
      </c>
      <c r="F49" s="20" t="inlineStr">
        <is>
          <t>Blind second scoring recommended</t>
        </is>
      </c>
      <c r="G49" s="20" t="inlineStr">
        <is>
          <t>Target ICC/weighted agreement ≥0.70 exploratory; ≥0.80 preferred for freeze</t>
        </is>
      </c>
      <c r="H49" s="20" t="inlineStr">
        <is>
          <t>Pilot N to be set by study design</t>
        </is>
      </c>
      <c r="I49" s="20" t="inlineStr">
        <is>
          <t>Pending</t>
        </is>
      </c>
      <c r="J49" s="20" t="inlineStr">
        <is>
          <t>Methodology Lead</t>
        </is>
      </c>
    </row>
    <row r="50">
      <c r="A50" s="20" t="inlineStr">
        <is>
          <t>D04</t>
        </is>
      </c>
      <c r="B50" s="20" t="inlineStr">
        <is>
          <t>I08</t>
        </is>
      </c>
      <c r="C50" s="20" t="inlineStr">
        <is>
          <t>Programme Agility</t>
        </is>
      </c>
      <c r="D50" s="20" t="inlineStr">
        <is>
          <t>5–10 anchor examples per metric before pilot</t>
        </is>
      </c>
      <c r="E50" s="20" t="inlineStr">
        <is>
          <t>2 independent assessors minimum</t>
        </is>
      </c>
      <c r="F50" s="20" t="inlineStr">
        <is>
          <t>Blind second scoring recommended</t>
        </is>
      </c>
      <c r="G50" s="20" t="inlineStr">
        <is>
          <t>Target ICC/weighted agreement ≥0.70 exploratory; ≥0.80 preferred for freeze</t>
        </is>
      </c>
      <c r="H50" s="20" t="inlineStr">
        <is>
          <t>Pilot N to be set by study design</t>
        </is>
      </c>
      <c r="I50" s="20" t="inlineStr">
        <is>
          <t>Pending</t>
        </is>
      </c>
      <c r="J50" s="20" t="inlineStr">
        <is>
          <t>Methodology Lead</t>
        </is>
      </c>
    </row>
    <row r="51">
      <c r="A51" s="20" t="inlineStr">
        <is>
          <t>D04</t>
        </is>
      </c>
      <c r="B51" s="20" t="inlineStr">
        <is>
          <t>I09</t>
        </is>
      </c>
      <c r="C51" s="20" t="inlineStr">
        <is>
          <t>External Validation Strength</t>
        </is>
      </c>
      <c r="D51" s="20" t="inlineStr">
        <is>
          <t>5–10 anchor examples per metric before pilot</t>
        </is>
      </c>
      <c r="E51" s="20" t="inlineStr">
        <is>
          <t>2 independent assessors minimum</t>
        </is>
      </c>
      <c r="F51" s="20" t="inlineStr">
        <is>
          <t>Blind second scoring recommended</t>
        </is>
      </c>
      <c r="G51" s="20" t="inlineStr">
        <is>
          <t>Target ICC/weighted agreement ≥0.70 exploratory; ≥0.80 preferred for freeze</t>
        </is>
      </c>
      <c r="H51" s="20" t="inlineStr">
        <is>
          <t>Pilot N to be set by study design</t>
        </is>
      </c>
      <c r="I51" s="20" t="inlineStr">
        <is>
          <t>Pending</t>
        </is>
      </c>
      <c r="J51" s="20" t="inlineStr">
        <is>
          <t>Methodology Lead</t>
        </is>
      </c>
    </row>
    <row r="52">
      <c r="A52" s="20" t="inlineStr">
        <is>
          <t>D04</t>
        </is>
      </c>
      <c r="B52" s="20" t="inlineStr">
        <is>
          <t>I10</t>
        </is>
      </c>
      <c r="C52" s="20" t="inlineStr">
        <is>
          <t>External Learning Ecosystem</t>
        </is>
      </c>
      <c r="D52" s="20" t="inlineStr">
        <is>
          <t>5–10 anchor examples per metric before pilot</t>
        </is>
      </c>
      <c r="E52" s="20" t="inlineStr">
        <is>
          <t>2 independent assessors minimum</t>
        </is>
      </c>
      <c r="F52" s="20" t="inlineStr">
        <is>
          <t>Blind second scoring recommended</t>
        </is>
      </c>
      <c r="G52" s="20" t="inlineStr">
        <is>
          <t>Target ICC/weighted agreement ≥0.70 exploratory; ≥0.80 preferred for freeze</t>
        </is>
      </c>
      <c r="H52" s="20" t="inlineStr">
        <is>
          <t>Pilot N to be set by study design</t>
        </is>
      </c>
      <c r="I52" s="20" t="inlineStr">
        <is>
          <t>Pending</t>
        </is>
      </c>
      <c r="J52" s="20" t="inlineStr">
        <is>
          <t>Methodology Lead</t>
        </is>
      </c>
    </row>
    <row r="53">
      <c r="A53" s="20" t="inlineStr">
        <is>
          <t>D04</t>
        </is>
      </c>
      <c r="B53" s="20" t="inlineStr">
        <is>
          <t>I11</t>
        </is>
      </c>
      <c r="C53" s="20" t="inlineStr">
        <is>
          <t>Transfer Capability</t>
        </is>
      </c>
      <c r="D53" s="20" t="inlineStr">
        <is>
          <t>5–10 anchor examples per metric before pilot</t>
        </is>
      </c>
      <c r="E53" s="20" t="inlineStr">
        <is>
          <t>2 independent assessors minimum</t>
        </is>
      </c>
      <c r="F53" s="20" t="inlineStr">
        <is>
          <t>Blind second scoring recommended</t>
        </is>
      </c>
      <c r="G53" s="20" t="inlineStr">
        <is>
          <t>Target ICC/weighted agreement ≥0.70 exploratory; ≥0.80 preferred for freeze</t>
        </is>
      </c>
      <c r="H53" s="20" t="inlineStr">
        <is>
          <t>Pilot N to be set by study design</t>
        </is>
      </c>
      <c r="I53" s="20" t="inlineStr">
        <is>
          <t>Pending</t>
        </is>
      </c>
      <c r="J53" s="20" t="inlineStr">
        <is>
          <t>Methodology Lead</t>
        </is>
      </c>
    </row>
    <row r="54">
      <c r="A54" s="20" t="inlineStr">
        <is>
          <t>D04</t>
        </is>
      </c>
      <c r="B54" s="20" t="inlineStr">
        <is>
          <t>I12</t>
        </is>
      </c>
      <c r="C54" s="20" t="inlineStr">
        <is>
          <t>Portfolio Foresight</t>
        </is>
      </c>
      <c r="D54" s="20" t="inlineStr">
        <is>
          <t>5–10 anchor examples per metric before pilot</t>
        </is>
      </c>
      <c r="E54" s="20" t="inlineStr">
        <is>
          <t>2 independent assessors minimum</t>
        </is>
      </c>
      <c r="F54" s="20" t="inlineStr">
        <is>
          <t>Blind second scoring recommended</t>
        </is>
      </c>
      <c r="G54" s="20" t="inlineStr">
        <is>
          <t>Target ICC/weighted agreement ≥0.70 exploratory; ≥0.80 preferred for freeze</t>
        </is>
      </c>
      <c r="H54" s="20" t="inlineStr">
        <is>
          <t>Pilot N to be set by study design</t>
        </is>
      </c>
      <c r="I54" s="20" t="inlineStr">
        <is>
          <t>Pending</t>
        </is>
      </c>
      <c r="J54" s="20" t="inlineStr">
        <is>
          <t>Methodology Lead</t>
        </is>
      </c>
    </row>
    <row r="55">
      <c r="A55" s="20" t="inlineStr">
        <is>
          <t>D05</t>
        </is>
      </c>
      <c r="B55" s="20" t="inlineStr">
        <is>
          <t>I01</t>
        </is>
      </c>
      <c r="C55" s="20" t="inlineStr">
        <is>
          <t>Faculty AI Literacy Maturity</t>
        </is>
      </c>
      <c r="D55" s="20" t="inlineStr">
        <is>
          <t>5–10 anchor examples per metric before pilot</t>
        </is>
      </c>
      <c r="E55" s="20" t="inlineStr">
        <is>
          <t>2 independent assessors minimum</t>
        </is>
      </c>
      <c r="F55" s="20" t="inlineStr">
        <is>
          <t>Blind second scoring recommended</t>
        </is>
      </c>
      <c r="G55" s="20" t="inlineStr">
        <is>
          <t>Target ICC/weighted agreement ≥0.70 exploratory; ≥0.80 preferred for freeze</t>
        </is>
      </c>
      <c r="H55" s="20" t="inlineStr">
        <is>
          <t>Pilot N to be set by study design</t>
        </is>
      </c>
      <c r="I55" s="20" t="inlineStr">
        <is>
          <t>Pending</t>
        </is>
      </c>
      <c r="J55" s="20" t="inlineStr">
        <is>
          <t>Methodology Lead</t>
        </is>
      </c>
    </row>
    <row r="56">
      <c r="A56" s="20" t="inlineStr">
        <is>
          <t>D05</t>
        </is>
      </c>
      <c r="B56" s="20" t="inlineStr">
        <is>
          <t>I02</t>
        </is>
      </c>
      <c r="C56" s="20" t="inlineStr">
        <is>
          <t>Discipline-Specific AI Practice</t>
        </is>
      </c>
      <c r="D56" s="20" t="inlineStr">
        <is>
          <t>5–10 anchor examples per metric before pilot</t>
        </is>
      </c>
      <c r="E56" s="20" t="inlineStr">
        <is>
          <t>2 independent assessors minimum</t>
        </is>
      </c>
      <c r="F56" s="20" t="inlineStr">
        <is>
          <t>Blind second scoring recommended</t>
        </is>
      </c>
      <c r="G56" s="20" t="inlineStr">
        <is>
          <t>Target ICC/weighted agreement ≥0.70 exploratory; ≥0.80 preferred for freeze</t>
        </is>
      </c>
      <c r="H56" s="20" t="inlineStr">
        <is>
          <t>Pilot N to be set by study design</t>
        </is>
      </c>
      <c r="I56" s="20" t="inlineStr">
        <is>
          <t>Pending</t>
        </is>
      </c>
      <c r="J56" s="20" t="inlineStr">
        <is>
          <t>Methodology Lead</t>
        </is>
      </c>
    </row>
    <row r="57">
      <c r="A57" s="20" t="inlineStr">
        <is>
          <t>D05</t>
        </is>
      </c>
      <c r="B57" s="20" t="inlineStr">
        <is>
          <t>I03</t>
        </is>
      </c>
      <c r="C57" s="20" t="inlineStr">
        <is>
          <t>AI-Enhanced Pedagogy</t>
        </is>
      </c>
      <c r="D57" s="20" t="inlineStr">
        <is>
          <t>5–10 anchor examples per metric before pilot</t>
        </is>
      </c>
      <c r="E57" s="20" t="inlineStr">
        <is>
          <t>2 independent assessors minimum</t>
        </is>
      </c>
      <c r="F57" s="20" t="inlineStr">
        <is>
          <t>Blind second scoring recommended</t>
        </is>
      </c>
      <c r="G57" s="20" t="inlineStr">
        <is>
          <t>Target ICC/weighted agreement ≥0.70 exploratory; ≥0.80 preferred for freeze</t>
        </is>
      </c>
      <c r="H57" s="20" t="inlineStr">
        <is>
          <t>Pilot N to be set by study design</t>
        </is>
      </c>
      <c r="I57" s="20" t="inlineStr">
        <is>
          <t>Pending</t>
        </is>
      </c>
      <c r="J57" s="20" t="inlineStr">
        <is>
          <t>Methodology Lead</t>
        </is>
      </c>
    </row>
    <row r="58">
      <c r="A58" s="20" t="inlineStr">
        <is>
          <t>D05</t>
        </is>
      </c>
      <c r="B58" s="20" t="inlineStr">
        <is>
          <t>I04</t>
        </is>
      </c>
      <c r="C58" s="20" t="inlineStr">
        <is>
          <t>Assessment Redesign Capability</t>
        </is>
      </c>
      <c r="D58" s="20" t="inlineStr">
        <is>
          <t>5–10 anchor examples per metric before pilot</t>
        </is>
      </c>
      <c r="E58" s="20" t="inlineStr">
        <is>
          <t>2 independent assessors minimum</t>
        </is>
      </c>
      <c r="F58" s="20" t="inlineStr">
        <is>
          <t>Blind second scoring recommended</t>
        </is>
      </c>
      <c r="G58" s="20" t="inlineStr">
        <is>
          <t>Target ICC/weighted agreement ≥0.70 exploratory; ≥0.80 preferred for freeze</t>
        </is>
      </c>
      <c r="H58" s="20" t="inlineStr">
        <is>
          <t>Pilot N to be set by study design</t>
        </is>
      </c>
      <c r="I58" s="20" t="inlineStr">
        <is>
          <t>Pending</t>
        </is>
      </c>
      <c r="J58" s="20" t="inlineStr">
        <is>
          <t>Methodology Lead</t>
        </is>
      </c>
    </row>
    <row r="59">
      <c r="A59" s="20" t="inlineStr">
        <is>
          <t>D05</t>
        </is>
      </c>
      <c r="B59" s="20" t="inlineStr">
        <is>
          <t>I05</t>
        </is>
      </c>
      <c r="C59" s="20" t="inlineStr">
        <is>
          <t>Faculty Learning &amp; Development Effectiveness</t>
        </is>
      </c>
      <c r="D59" s="20" t="inlineStr">
        <is>
          <t>5–10 anchor examples per metric before pilot</t>
        </is>
      </c>
      <c r="E59" s="20" t="inlineStr">
        <is>
          <t>2 independent assessors minimum</t>
        </is>
      </c>
      <c r="F59" s="20" t="inlineStr">
        <is>
          <t>Blind second scoring recommended</t>
        </is>
      </c>
      <c r="G59" s="20" t="inlineStr">
        <is>
          <t>Target ICC/weighted agreement ≥0.70 exploratory; ≥0.80 preferred for freeze</t>
        </is>
      </c>
      <c r="H59" s="20" t="inlineStr">
        <is>
          <t>Pilot N to be set by study design</t>
        </is>
      </c>
      <c r="I59" s="20" t="inlineStr">
        <is>
          <t>Pending</t>
        </is>
      </c>
      <c r="J59" s="20" t="inlineStr">
        <is>
          <t>Methodology Lead</t>
        </is>
      </c>
    </row>
    <row r="60">
      <c r="A60" s="20" t="inlineStr">
        <is>
          <t>D05</t>
        </is>
      </c>
      <c r="B60" s="20" t="inlineStr">
        <is>
          <t>I06</t>
        </is>
      </c>
      <c r="C60" s="20" t="inlineStr">
        <is>
          <t>Peer Learning &amp; Communities</t>
        </is>
      </c>
      <c r="D60" s="20" t="inlineStr">
        <is>
          <t>5–10 anchor examples per metric before pilot</t>
        </is>
      </c>
      <c r="E60" s="20" t="inlineStr">
        <is>
          <t>2 independent assessors minimum</t>
        </is>
      </c>
      <c r="F60" s="20" t="inlineStr">
        <is>
          <t>Blind second scoring recommended</t>
        </is>
      </c>
      <c r="G60" s="20" t="inlineStr">
        <is>
          <t>Target ICC/weighted agreement ≥0.70 exploratory; ≥0.80 preferred for freeze</t>
        </is>
      </c>
      <c r="H60" s="20" t="inlineStr">
        <is>
          <t>Pilot N to be set by study design</t>
        </is>
      </c>
      <c r="I60" s="20" t="inlineStr">
        <is>
          <t>Pending</t>
        </is>
      </c>
      <c r="J60" s="20" t="inlineStr">
        <is>
          <t>Methodology Lead</t>
        </is>
      </c>
    </row>
    <row r="61">
      <c r="A61" s="20" t="inlineStr">
        <is>
          <t>D05</t>
        </is>
      </c>
      <c r="B61" s="20" t="inlineStr">
        <is>
          <t>I07</t>
        </is>
      </c>
      <c r="C61" s="20" t="inlineStr">
        <is>
          <t>AI Research &amp; Knowledge Creation</t>
        </is>
      </c>
      <c r="D61" s="20" t="inlineStr">
        <is>
          <t>5–10 anchor examples per metric before pilot</t>
        </is>
      </c>
      <c r="E61" s="20" t="inlineStr">
        <is>
          <t>2 independent assessors minimum</t>
        </is>
      </c>
      <c r="F61" s="20" t="inlineStr">
        <is>
          <t>Blind second scoring recommended</t>
        </is>
      </c>
      <c r="G61" s="20" t="inlineStr">
        <is>
          <t>Target ICC/weighted agreement ≥0.70 exploratory; ≥0.80 preferred for freeze</t>
        </is>
      </c>
      <c r="H61" s="20" t="inlineStr">
        <is>
          <t>Pilot N to be set by study design</t>
        </is>
      </c>
      <c r="I61" s="20" t="inlineStr">
        <is>
          <t>Pending</t>
        </is>
      </c>
      <c r="J61" s="20" t="inlineStr">
        <is>
          <t>Methodology Lead</t>
        </is>
      </c>
    </row>
    <row r="62">
      <c r="A62" s="20" t="inlineStr">
        <is>
          <t>D05</t>
        </is>
      </c>
      <c r="B62" s="20" t="inlineStr">
        <is>
          <t>I08</t>
        </is>
      </c>
      <c r="C62" s="20" t="inlineStr">
        <is>
          <t>Academic Role Redesign</t>
        </is>
      </c>
      <c r="D62" s="20" t="inlineStr">
        <is>
          <t>5–10 anchor examples per metric before pilot</t>
        </is>
      </c>
      <c r="E62" s="20" t="inlineStr">
        <is>
          <t>2 independent assessors minimum</t>
        </is>
      </c>
      <c r="F62" s="20" t="inlineStr">
        <is>
          <t>Blind second scoring recommended</t>
        </is>
      </c>
      <c r="G62" s="20" t="inlineStr">
        <is>
          <t>Target ICC/weighted agreement ≥0.70 exploratory; ≥0.80 preferred for freeze</t>
        </is>
      </c>
      <c r="H62" s="20" t="inlineStr">
        <is>
          <t>Pilot N to be set by study design</t>
        </is>
      </c>
      <c r="I62" s="20" t="inlineStr">
        <is>
          <t>Pending</t>
        </is>
      </c>
      <c r="J62" s="20" t="inlineStr">
        <is>
          <t>Methodology Lead</t>
        </is>
      </c>
    </row>
    <row r="63">
      <c r="A63" s="20" t="inlineStr">
        <is>
          <t>D05</t>
        </is>
      </c>
      <c r="B63" s="20" t="inlineStr">
        <is>
          <t>I09</t>
        </is>
      </c>
      <c r="C63" s="20" t="inlineStr">
        <is>
          <t>Workload &amp; Workflow Transformation</t>
        </is>
      </c>
      <c r="D63" s="20" t="inlineStr">
        <is>
          <t>5–10 anchor examples per metric before pilot</t>
        </is>
      </c>
      <c r="E63" s="20" t="inlineStr">
        <is>
          <t>2 independent assessors minimum</t>
        </is>
      </c>
      <c r="F63" s="20" t="inlineStr">
        <is>
          <t>Blind second scoring recommended</t>
        </is>
      </c>
      <c r="G63" s="20" t="inlineStr">
        <is>
          <t>Target ICC/weighted agreement ≥0.70 exploratory; ≥0.80 preferred for freeze</t>
        </is>
      </c>
      <c r="H63" s="20" t="inlineStr">
        <is>
          <t>Pilot N to be set by study design</t>
        </is>
      </c>
      <c r="I63" s="20" t="inlineStr">
        <is>
          <t>Pending</t>
        </is>
      </c>
      <c r="J63" s="20" t="inlineStr">
        <is>
          <t>Methodology Lead</t>
        </is>
      </c>
    </row>
    <row r="64">
      <c r="A64" s="20" t="inlineStr">
        <is>
          <t>D05</t>
        </is>
      </c>
      <c r="B64" s="20" t="inlineStr">
        <is>
          <t>I10</t>
        </is>
      </c>
      <c r="C64" s="20" t="inlineStr">
        <is>
          <t>Faculty Support Infrastructure</t>
        </is>
      </c>
      <c r="D64" s="20" t="inlineStr">
        <is>
          <t>5–10 anchor examples per metric before pilot</t>
        </is>
      </c>
      <c r="E64" s="20" t="inlineStr">
        <is>
          <t>2 independent assessors minimum</t>
        </is>
      </c>
      <c r="F64" s="20" t="inlineStr">
        <is>
          <t>Blind second scoring recommended</t>
        </is>
      </c>
      <c r="G64" s="20" t="inlineStr">
        <is>
          <t>Target ICC/weighted agreement ≥0.70 exploratory; ≥0.80 preferred for freeze</t>
        </is>
      </c>
      <c r="H64" s="20" t="inlineStr">
        <is>
          <t>Pilot N to be set by study design</t>
        </is>
      </c>
      <c r="I64" s="20" t="inlineStr">
        <is>
          <t>Pending</t>
        </is>
      </c>
      <c r="J64" s="20" t="inlineStr">
        <is>
          <t>Methodology Lead</t>
        </is>
      </c>
    </row>
    <row r="65">
      <c r="A65" s="20" t="inlineStr">
        <is>
          <t>D05</t>
        </is>
      </c>
      <c r="B65" s="20" t="inlineStr">
        <is>
          <t>I11</t>
        </is>
      </c>
      <c r="C65" s="20" t="inlineStr">
        <is>
          <t>Academic Leadership for AI</t>
        </is>
      </c>
      <c r="D65" s="20" t="inlineStr">
        <is>
          <t>5–10 anchor examples per metric before pilot</t>
        </is>
      </c>
      <c r="E65" s="20" t="inlineStr">
        <is>
          <t>2 independent assessors minimum</t>
        </is>
      </c>
      <c r="F65" s="20" t="inlineStr">
        <is>
          <t>Blind second scoring recommended</t>
        </is>
      </c>
      <c r="G65" s="20" t="inlineStr">
        <is>
          <t>Target ICC/weighted agreement ≥0.70 exploratory; ≥0.80 preferred for freeze</t>
        </is>
      </c>
      <c r="H65" s="20" t="inlineStr">
        <is>
          <t>Pilot N to be set by study design</t>
        </is>
      </c>
      <c r="I65" s="20" t="inlineStr">
        <is>
          <t>Pending</t>
        </is>
      </c>
      <c r="J65" s="20" t="inlineStr">
        <is>
          <t>Methodology Lead</t>
        </is>
      </c>
    </row>
    <row r="66">
      <c r="A66" s="20" t="inlineStr">
        <is>
          <t>D05</t>
        </is>
      </c>
      <c r="B66" s="20" t="inlineStr">
        <is>
          <t>I12</t>
        </is>
      </c>
      <c r="C66" s="20" t="inlineStr">
        <is>
          <t>Faculty Adoption Learning Loop</t>
        </is>
      </c>
      <c r="D66" s="20" t="inlineStr">
        <is>
          <t>5–10 anchor examples per metric before pilot</t>
        </is>
      </c>
      <c r="E66" s="20" t="inlineStr">
        <is>
          <t>2 independent assessors minimum</t>
        </is>
      </c>
      <c r="F66" s="20" t="inlineStr">
        <is>
          <t>Blind second scoring recommended</t>
        </is>
      </c>
      <c r="G66" s="20" t="inlineStr">
        <is>
          <t>Target ICC/weighted agreement ≥0.70 exploratory; ≥0.80 preferred for freeze</t>
        </is>
      </c>
      <c r="H66" s="20" t="inlineStr">
        <is>
          <t>Pilot N to be set by study design</t>
        </is>
      </c>
      <c r="I66" s="20" t="inlineStr">
        <is>
          <t>Pending</t>
        </is>
      </c>
      <c r="J66" s="20" t="inlineStr">
        <is>
          <t>Methodology Lead</t>
        </is>
      </c>
    </row>
    <row r="67">
      <c r="A67" s="20" t="inlineStr">
        <is>
          <t>D06</t>
        </is>
      </c>
      <c r="B67" s="20" t="inlineStr">
        <is>
          <t>I01</t>
        </is>
      </c>
      <c r="C67" s="20" t="inlineStr">
        <is>
          <t>Student AI Literacy</t>
        </is>
      </c>
      <c r="D67" s="20" t="inlineStr">
        <is>
          <t>5–10 anchor examples per metric before pilot</t>
        </is>
      </c>
      <c r="E67" s="20" t="inlineStr">
        <is>
          <t>2 independent assessors minimum</t>
        </is>
      </c>
      <c r="F67" s="20" t="inlineStr">
        <is>
          <t>Blind second scoring recommended</t>
        </is>
      </c>
      <c r="G67" s="20" t="inlineStr">
        <is>
          <t>Target ICC/weighted agreement ≥0.70 exploratory; ≥0.80 preferred for freeze</t>
        </is>
      </c>
      <c r="H67" s="20" t="inlineStr">
        <is>
          <t>Pilot N to be set by study design</t>
        </is>
      </c>
      <c r="I67" s="20" t="inlineStr">
        <is>
          <t>Pending</t>
        </is>
      </c>
      <c r="J67" s="20" t="inlineStr">
        <is>
          <t>Methodology Lead</t>
        </is>
      </c>
    </row>
    <row r="68">
      <c r="A68" s="20" t="inlineStr">
        <is>
          <t>D06</t>
        </is>
      </c>
      <c r="B68" s="20" t="inlineStr">
        <is>
          <t>I02</t>
        </is>
      </c>
      <c r="C68" s="20" t="inlineStr">
        <is>
          <t>Critical AI Evaluation</t>
        </is>
      </c>
      <c r="D68" s="20" t="inlineStr">
        <is>
          <t>5–10 anchor examples per metric before pilot</t>
        </is>
      </c>
      <c r="E68" s="20" t="inlineStr">
        <is>
          <t>2 independent assessors minimum</t>
        </is>
      </c>
      <c r="F68" s="20" t="inlineStr">
        <is>
          <t>Blind second scoring recommended</t>
        </is>
      </c>
      <c r="G68" s="20" t="inlineStr">
        <is>
          <t>Target ICC/weighted agreement ≥0.70 exploratory; ≥0.80 preferred for freeze</t>
        </is>
      </c>
      <c r="H68" s="20" t="inlineStr">
        <is>
          <t>Pilot N to be set by study design</t>
        </is>
      </c>
      <c r="I68" s="20" t="inlineStr">
        <is>
          <t>Pending</t>
        </is>
      </c>
      <c r="J68" s="20" t="inlineStr">
        <is>
          <t>Methodology Lead</t>
        </is>
      </c>
    </row>
    <row r="69">
      <c r="A69" s="20" t="inlineStr">
        <is>
          <t>D06</t>
        </is>
      </c>
      <c r="B69" s="20" t="inlineStr">
        <is>
          <t>I03</t>
        </is>
      </c>
      <c r="C69" s="20" t="inlineStr">
        <is>
          <t>Learning Agency</t>
        </is>
      </c>
      <c r="D69" s="20" t="inlineStr">
        <is>
          <t>5–10 anchor examples per metric before pilot</t>
        </is>
      </c>
      <c r="E69" s="20" t="inlineStr">
        <is>
          <t>2 independent assessors minimum</t>
        </is>
      </c>
      <c r="F69" s="20" t="inlineStr">
        <is>
          <t>Blind second scoring recommended</t>
        </is>
      </c>
      <c r="G69" s="20" t="inlineStr">
        <is>
          <t>Target ICC/weighted agreement ≥0.70 exploratory; ≥0.80 preferred for freeze</t>
        </is>
      </c>
      <c r="H69" s="20" t="inlineStr">
        <is>
          <t>Pilot N to be set by study design</t>
        </is>
      </c>
      <c r="I69" s="20" t="inlineStr">
        <is>
          <t>Pending</t>
        </is>
      </c>
      <c r="J69" s="20" t="inlineStr">
        <is>
          <t>Methodology Lead</t>
        </is>
      </c>
    </row>
    <row r="70">
      <c r="A70" s="20" t="inlineStr">
        <is>
          <t>D06</t>
        </is>
      </c>
      <c r="B70" s="20" t="inlineStr">
        <is>
          <t>I04</t>
        </is>
      </c>
      <c r="C70" s="20" t="inlineStr">
        <is>
          <t>Independent Intellectual Agency</t>
        </is>
      </c>
      <c r="D70" s="20" t="inlineStr">
        <is>
          <t>5–10 anchor examples per metric before pilot</t>
        </is>
      </c>
      <c r="E70" s="20" t="inlineStr">
        <is>
          <t>2 independent assessors minimum</t>
        </is>
      </c>
      <c r="F70" s="20" t="inlineStr">
        <is>
          <t>Blind second scoring recommended</t>
        </is>
      </c>
      <c r="G70" s="20" t="inlineStr">
        <is>
          <t>Target ICC/weighted agreement ≥0.70 exploratory; ≥0.80 preferred for freeze</t>
        </is>
      </c>
      <c r="H70" s="20" t="inlineStr">
        <is>
          <t>Pilot N to be set by study design</t>
        </is>
      </c>
      <c r="I70" s="20" t="inlineStr">
        <is>
          <t>Pending</t>
        </is>
      </c>
      <c r="J70" s="20" t="inlineStr">
        <is>
          <t>Methodology Lead</t>
        </is>
      </c>
    </row>
    <row r="71">
      <c r="A71" s="20" t="inlineStr">
        <is>
          <t>D06</t>
        </is>
      </c>
      <c r="B71" s="20" t="inlineStr">
        <is>
          <t>I05</t>
        </is>
      </c>
      <c r="C71" s="20" t="inlineStr">
        <is>
          <t>Communication &amp; Defence</t>
        </is>
      </c>
      <c r="D71" s="20" t="inlineStr">
        <is>
          <t>5–10 anchor examples per metric before pilot</t>
        </is>
      </c>
      <c r="E71" s="20" t="inlineStr">
        <is>
          <t>2 independent assessors minimum</t>
        </is>
      </c>
      <c r="F71" s="20" t="inlineStr">
        <is>
          <t>Blind second scoring recommended</t>
        </is>
      </c>
      <c r="G71" s="20" t="inlineStr">
        <is>
          <t>Target ICC/weighted agreement ≥0.70 exploratory; ≥0.80 preferred for freeze</t>
        </is>
      </c>
      <c r="H71" s="20" t="inlineStr">
        <is>
          <t>Pilot N to be set by study design</t>
        </is>
      </c>
      <c r="I71" s="20" t="inlineStr">
        <is>
          <t>Pending</t>
        </is>
      </c>
      <c r="J71" s="20" t="inlineStr">
        <is>
          <t>Methodology Lead</t>
        </is>
      </c>
    </row>
    <row r="72">
      <c r="A72" s="20" t="inlineStr">
        <is>
          <t>D06</t>
        </is>
      </c>
      <c r="B72" s="20" t="inlineStr">
        <is>
          <t>I06</t>
        </is>
      </c>
      <c r="C72" s="20" t="inlineStr">
        <is>
          <t>Collaboration Capability</t>
        </is>
      </c>
      <c r="D72" s="20" t="inlineStr">
        <is>
          <t>5–10 anchor examples per metric before pilot</t>
        </is>
      </c>
      <c r="E72" s="20" t="inlineStr">
        <is>
          <t>2 independent assessors minimum</t>
        </is>
      </c>
      <c r="F72" s="20" t="inlineStr">
        <is>
          <t>Blind second scoring recommended</t>
        </is>
      </c>
      <c r="G72" s="20" t="inlineStr">
        <is>
          <t>Target ICC/weighted agreement ≥0.70 exploratory; ≥0.80 preferred for freeze</t>
        </is>
      </c>
      <c r="H72" s="20" t="inlineStr">
        <is>
          <t>Pilot N to be set by study design</t>
        </is>
      </c>
      <c r="I72" s="20" t="inlineStr">
        <is>
          <t>Pending</t>
        </is>
      </c>
      <c r="J72" s="20" t="inlineStr">
        <is>
          <t>Methodology Lead</t>
        </is>
      </c>
    </row>
    <row r="73">
      <c r="A73" s="20" t="inlineStr">
        <is>
          <t>D06</t>
        </is>
      </c>
      <c r="B73" s="20" t="inlineStr">
        <is>
          <t>I07</t>
        </is>
      </c>
      <c r="C73" s="20" t="inlineStr">
        <is>
          <t>Practical Capability</t>
        </is>
      </c>
      <c r="D73" s="20" t="inlineStr">
        <is>
          <t>5–10 anchor examples per metric before pilot</t>
        </is>
      </c>
      <c r="E73" s="20" t="inlineStr">
        <is>
          <t>2 independent assessors minimum</t>
        </is>
      </c>
      <c r="F73" s="20" t="inlineStr">
        <is>
          <t>Blind second scoring recommended</t>
        </is>
      </c>
      <c r="G73" s="20" t="inlineStr">
        <is>
          <t>Target ICC/weighted agreement ≥0.70 exploratory; ≥0.80 preferred for freeze</t>
        </is>
      </c>
      <c r="H73" s="20" t="inlineStr">
        <is>
          <t>Pilot N to be set by study design</t>
        </is>
      </c>
      <c r="I73" s="20" t="inlineStr">
        <is>
          <t>Pending</t>
        </is>
      </c>
      <c r="J73" s="20" t="inlineStr">
        <is>
          <t>Methodology Lead</t>
        </is>
      </c>
    </row>
    <row r="74">
      <c r="A74" s="20" t="inlineStr">
        <is>
          <t>D06</t>
        </is>
      </c>
      <c r="B74" s="20" t="inlineStr">
        <is>
          <t>I08</t>
        </is>
      </c>
      <c r="C74" s="20" t="inlineStr">
        <is>
          <t>Career Adaptability</t>
        </is>
      </c>
      <c r="D74" s="20" t="inlineStr">
        <is>
          <t>5–10 anchor examples per metric before pilot</t>
        </is>
      </c>
      <c r="E74" s="20" t="inlineStr">
        <is>
          <t>2 independent assessors minimum</t>
        </is>
      </c>
      <c r="F74" s="20" t="inlineStr">
        <is>
          <t>Blind second scoring recommended</t>
        </is>
      </c>
      <c r="G74" s="20" t="inlineStr">
        <is>
          <t>Target ICC/weighted agreement ≥0.70 exploratory; ≥0.80 preferred for freeze</t>
        </is>
      </c>
      <c r="H74" s="20" t="inlineStr">
        <is>
          <t>Pilot N to be set by study design</t>
        </is>
      </c>
      <c r="I74" s="20" t="inlineStr">
        <is>
          <t>Pending</t>
        </is>
      </c>
      <c r="J74" s="20" t="inlineStr">
        <is>
          <t>Methodology Lead</t>
        </is>
      </c>
    </row>
    <row r="75">
      <c r="A75" s="20" t="inlineStr">
        <is>
          <t>D06</t>
        </is>
      </c>
      <c r="B75" s="20" t="inlineStr">
        <is>
          <t>I09</t>
        </is>
      </c>
      <c r="C75" s="20" t="inlineStr">
        <is>
          <t>Portfolio &amp; Capability Signalling</t>
        </is>
      </c>
      <c r="D75" s="20" t="inlineStr">
        <is>
          <t>5–10 anchor examples per metric before pilot</t>
        </is>
      </c>
      <c r="E75" s="20" t="inlineStr">
        <is>
          <t>2 independent assessors minimum</t>
        </is>
      </c>
      <c r="F75" s="20" t="inlineStr">
        <is>
          <t>Blind second scoring recommended</t>
        </is>
      </c>
      <c r="G75" s="20" t="inlineStr">
        <is>
          <t>Target ICC/weighted agreement ≥0.70 exploratory; ≥0.80 preferred for freeze</t>
        </is>
      </c>
      <c r="H75" s="20" t="inlineStr">
        <is>
          <t>Pilot N to be set by study design</t>
        </is>
      </c>
      <c r="I75" s="20" t="inlineStr">
        <is>
          <t>Pending</t>
        </is>
      </c>
      <c r="J75" s="20" t="inlineStr">
        <is>
          <t>Methodology Lead</t>
        </is>
      </c>
    </row>
    <row r="76">
      <c r="A76" s="20" t="inlineStr">
        <is>
          <t>D06</t>
        </is>
      </c>
      <c r="B76" s="20" t="inlineStr">
        <is>
          <t>I10</t>
        </is>
      </c>
      <c r="C76" s="20" t="inlineStr">
        <is>
          <t>Problem Solving &amp; Transfer</t>
        </is>
      </c>
      <c r="D76" s="20" t="inlineStr">
        <is>
          <t>5–10 anchor examples per metric before pilot</t>
        </is>
      </c>
      <c r="E76" s="20" t="inlineStr">
        <is>
          <t>2 independent assessors minimum</t>
        </is>
      </c>
      <c r="F76" s="20" t="inlineStr">
        <is>
          <t>Blind second scoring recommended</t>
        </is>
      </c>
      <c r="G76" s="20" t="inlineStr">
        <is>
          <t>Target ICC/weighted agreement ≥0.70 exploratory; ≥0.80 preferred for freeze</t>
        </is>
      </c>
      <c r="H76" s="20" t="inlineStr">
        <is>
          <t>Pilot N to be set by study design</t>
        </is>
      </c>
      <c r="I76" s="20" t="inlineStr">
        <is>
          <t>Pending</t>
        </is>
      </c>
      <c r="J76" s="20" t="inlineStr">
        <is>
          <t>Methodology Lead</t>
        </is>
      </c>
    </row>
    <row r="77">
      <c r="A77" s="20" t="inlineStr">
        <is>
          <t>D06</t>
        </is>
      </c>
      <c r="B77" s="20" t="inlineStr">
        <is>
          <t>I11</t>
        </is>
      </c>
      <c r="C77" s="20" t="inlineStr">
        <is>
          <t>Creator &amp; Entrepreneurial Agency</t>
        </is>
      </c>
      <c r="D77" s="20" t="inlineStr">
        <is>
          <t>5–10 anchor examples per metric before pilot</t>
        </is>
      </c>
      <c r="E77" s="20" t="inlineStr">
        <is>
          <t>2 independent assessors minimum</t>
        </is>
      </c>
      <c r="F77" s="20" t="inlineStr">
        <is>
          <t>Blind second scoring recommended</t>
        </is>
      </c>
      <c r="G77" s="20" t="inlineStr">
        <is>
          <t>Target ICC/weighted agreement ≥0.70 exploratory; ≥0.80 preferred for freeze</t>
        </is>
      </c>
      <c r="H77" s="20" t="inlineStr">
        <is>
          <t>Pilot N to be set by study design</t>
        </is>
      </c>
      <c r="I77" s="20" t="inlineStr">
        <is>
          <t>Pending</t>
        </is>
      </c>
      <c r="J77" s="20" t="inlineStr">
        <is>
          <t>Methodology Lead</t>
        </is>
      </c>
    </row>
    <row r="78">
      <c r="A78" s="20" t="inlineStr">
        <is>
          <t>D06</t>
        </is>
      </c>
      <c r="B78" s="20" t="inlineStr">
        <is>
          <t>I12</t>
        </is>
      </c>
      <c r="C78" s="20" t="inlineStr">
        <is>
          <t>Digital Citizenship &amp; Responsible Use</t>
        </is>
      </c>
      <c r="D78" s="20" t="inlineStr">
        <is>
          <t>5–10 anchor examples per metric before pilot</t>
        </is>
      </c>
      <c r="E78" s="20" t="inlineStr">
        <is>
          <t>2 independent assessors minimum</t>
        </is>
      </c>
      <c r="F78" s="20" t="inlineStr">
        <is>
          <t>Blind second scoring recommended</t>
        </is>
      </c>
      <c r="G78" s="20" t="inlineStr">
        <is>
          <t>Target ICC/weighted agreement ≥0.70 exploratory; ≥0.80 preferred for freeze</t>
        </is>
      </c>
      <c r="H78" s="20" t="inlineStr">
        <is>
          <t>Pilot N to be set by study design</t>
        </is>
      </c>
      <c r="I78" s="20" t="inlineStr">
        <is>
          <t>Pending</t>
        </is>
      </c>
      <c r="J78" s="20" t="inlineStr">
        <is>
          <t>Methodology Lead</t>
        </is>
      </c>
    </row>
    <row r="79">
      <c r="A79" s="20" t="inlineStr">
        <is>
          <t>D06</t>
        </is>
      </c>
      <c r="B79" s="20" t="inlineStr">
        <is>
          <t>I13</t>
        </is>
      </c>
      <c r="C79" s="20" t="inlineStr">
        <is>
          <t>Equitable AI Access</t>
        </is>
      </c>
      <c r="D79" s="20" t="inlineStr">
        <is>
          <t>5–10 anchor examples per metric before pilot</t>
        </is>
      </c>
      <c r="E79" s="20" t="inlineStr">
        <is>
          <t>2 independent assessors minimum</t>
        </is>
      </c>
      <c r="F79" s="20" t="inlineStr">
        <is>
          <t>Blind second scoring recommended</t>
        </is>
      </c>
      <c r="G79" s="20" t="inlineStr">
        <is>
          <t>Target ICC/weighted agreement ≥0.70 exploratory; ≥0.80 preferred for freeze</t>
        </is>
      </c>
      <c r="H79" s="20" t="inlineStr">
        <is>
          <t>Pilot N to be set by study design</t>
        </is>
      </c>
      <c r="I79" s="20" t="inlineStr">
        <is>
          <t>Pending</t>
        </is>
      </c>
      <c r="J79" s="20" t="inlineStr">
        <is>
          <t>Methodology Lead</t>
        </is>
      </c>
    </row>
    <row r="80">
      <c r="A80" s="20" t="inlineStr">
        <is>
          <t>D06</t>
        </is>
      </c>
      <c r="B80" s="20" t="inlineStr">
        <is>
          <t>I14</t>
        </is>
      </c>
      <c r="C80" s="20" t="inlineStr">
        <is>
          <t>Student Voice &amp; Feedback Loop</t>
        </is>
      </c>
      <c r="D80" s="20" t="inlineStr">
        <is>
          <t>5–10 anchor examples per metric before pilot</t>
        </is>
      </c>
      <c r="E80" s="20" t="inlineStr">
        <is>
          <t>2 independent assessors minimum</t>
        </is>
      </c>
      <c r="F80" s="20" t="inlineStr">
        <is>
          <t>Blind second scoring recommended</t>
        </is>
      </c>
      <c r="G80" s="20" t="inlineStr">
        <is>
          <t>Target ICC/weighted agreement ≥0.70 exploratory; ≥0.80 preferred for freeze</t>
        </is>
      </c>
      <c r="H80" s="20" t="inlineStr">
        <is>
          <t>Pilot N to be set by study design</t>
        </is>
      </c>
      <c r="I80" s="20" t="inlineStr">
        <is>
          <t>Pending</t>
        </is>
      </c>
      <c r="J80" s="20" t="inlineStr">
        <is>
          <t>Methodology Lead</t>
        </is>
      </c>
    </row>
    <row r="81">
      <c r="A81" s="20" t="inlineStr">
        <is>
          <t>D07</t>
        </is>
      </c>
      <c r="B81" s="20" t="inlineStr">
        <is>
          <t>I01</t>
        </is>
      </c>
      <c r="C81" s="20" t="inlineStr">
        <is>
          <t>Assessment Design Maturity</t>
        </is>
      </c>
      <c r="D81" s="20" t="inlineStr">
        <is>
          <t>5–10 anchor examples per metric before pilot</t>
        </is>
      </c>
      <c r="E81" s="20" t="inlineStr">
        <is>
          <t>2 independent assessors minimum</t>
        </is>
      </c>
      <c r="F81" s="20" t="inlineStr">
        <is>
          <t>Blind second scoring recommended</t>
        </is>
      </c>
      <c r="G81" s="20" t="inlineStr">
        <is>
          <t>Target ICC/weighted agreement ≥0.70 exploratory; ≥0.80 preferred for freeze</t>
        </is>
      </c>
      <c r="H81" s="20" t="inlineStr">
        <is>
          <t>Pilot N to be set by study design</t>
        </is>
      </c>
      <c r="I81" s="20" t="inlineStr">
        <is>
          <t>Pending</t>
        </is>
      </c>
      <c r="J81" s="20" t="inlineStr">
        <is>
          <t>Methodology Lead</t>
        </is>
      </c>
    </row>
    <row r="82">
      <c r="A82" s="20" t="inlineStr">
        <is>
          <t>D07</t>
        </is>
      </c>
      <c r="B82" s="20" t="inlineStr">
        <is>
          <t>I02</t>
        </is>
      </c>
      <c r="C82" s="20" t="inlineStr">
        <is>
          <t>Cognitive Demonstration Depth</t>
        </is>
      </c>
      <c r="D82" s="20" t="inlineStr">
        <is>
          <t>5–10 anchor examples per metric before pilot</t>
        </is>
      </c>
      <c r="E82" s="20" t="inlineStr">
        <is>
          <t>2 independent assessors minimum</t>
        </is>
      </c>
      <c r="F82" s="20" t="inlineStr">
        <is>
          <t>Blind second scoring recommended</t>
        </is>
      </c>
      <c r="G82" s="20" t="inlineStr">
        <is>
          <t>Target ICC/weighted agreement ≥0.70 exploratory; ≥0.80 preferred for freeze</t>
        </is>
      </c>
      <c r="H82" s="20" t="inlineStr">
        <is>
          <t>Pilot N to be set by study design</t>
        </is>
      </c>
      <c r="I82" s="20" t="inlineStr">
        <is>
          <t>Pending</t>
        </is>
      </c>
      <c r="J82" s="20" t="inlineStr">
        <is>
          <t>Methodology Lead</t>
        </is>
      </c>
    </row>
    <row r="83">
      <c r="A83" s="20" t="inlineStr">
        <is>
          <t>D07</t>
        </is>
      </c>
      <c r="B83" s="20" t="inlineStr">
        <is>
          <t>I03</t>
        </is>
      </c>
      <c r="C83" s="20" t="inlineStr">
        <is>
          <t>Authenticity of Demonstration</t>
        </is>
      </c>
      <c r="D83" s="20" t="inlineStr">
        <is>
          <t>5–10 anchor examples per metric before pilot</t>
        </is>
      </c>
      <c r="E83" s="20" t="inlineStr">
        <is>
          <t>2 independent assessors minimum</t>
        </is>
      </c>
      <c r="F83" s="20" t="inlineStr">
        <is>
          <t>Blind second scoring recommended</t>
        </is>
      </c>
      <c r="G83" s="20" t="inlineStr">
        <is>
          <t>Target ICC/weighted agreement ≥0.70 exploratory; ≥0.80 preferred for freeze</t>
        </is>
      </c>
      <c r="H83" s="20" t="inlineStr">
        <is>
          <t>Pilot N to be set by study design</t>
        </is>
      </c>
      <c r="I83" s="20" t="inlineStr">
        <is>
          <t>Pending</t>
        </is>
      </c>
      <c r="J83" s="20" t="inlineStr">
        <is>
          <t>Methodology Lead</t>
        </is>
      </c>
    </row>
    <row r="84">
      <c r="A84" s="20" t="inlineStr">
        <is>
          <t>D07</t>
        </is>
      </c>
      <c r="B84" s="20" t="inlineStr">
        <is>
          <t>I04</t>
        </is>
      </c>
      <c r="C84" s="20" t="inlineStr">
        <is>
          <t>AI-Aware Assessment Maturity</t>
        </is>
      </c>
      <c r="D84" s="20" t="inlineStr">
        <is>
          <t>5–10 anchor examples per metric before pilot</t>
        </is>
      </c>
      <c r="E84" s="20" t="inlineStr">
        <is>
          <t>2 independent assessors minimum</t>
        </is>
      </c>
      <c r="F84" s="20" t="inlineStr">
        <is>
          <t>Blind second scoring recommended</t>
        </is>
      </c>
      <c r="G84" s="20" t="inlineStr">
        <is>
          <t>Target ICC/weighted agreement ≥0.70 exploratory; ≥0.80 preferred for freeze</t>
        </is>
      </c>
      <c r="H84" s="20" t="inlineStr">
        <is>
          <t>Pilot N to be set by study design</t>
        </is>
      </c>
      <c r="I84" s="20" t="inlineStr">
        <is>
          <t>Pending</t>
        </is>
      </c>
      <c r="J84" s="20" t="inlineStr">
        <is>
          <t>Methodology Lead</t>
        </is>
      </c>
    </row>
    <row r="85">
      <c r="A85" s="20" t="inlineStr">
        <is>
          <t>D07</t>
        </is>
      </c>
      <c r="B85" s="20" t="inlineStr">
        <is>
          <t>I05</t>
        </is>
      </c>
      <c r="C85" s="20" t="inlineStr">
        <is>
          <t>Verification &amp; Defence</t>
        </is>
      </c>
      <c r="D85" s="20" t="inlineStr">
        <is>
          <t>5–10 anchor examples per metric before pilot</t>
        </is>
      </c>
      <c r="E85" s="20" t="inlineStr">
        <is>
          <t>2 independent assessors minimum</t>
        </is>
      </c>
      <c r="F85" s="20" t="inlineStr">
        <is>
          <t>Blind second scoring recommended</t>
        </is>
      </c>
      <c r="G85" s="20" t="inlineStr">
        <is>
          <t>Target ICC/weighted agreement ≥0.70 exploratory; ≥0.80 preferred for freeze</t>
        </is>
      </c>
      <c r="H85" s="20" t="inlineStr">
        <is>
          <t>Pilot N to be set by study design</t>
        </is>
      </c>
      <c r="I85" s="20" t="inlineStr">
        <is>
          <t>Pending</t>
        </is>
      </c>
      <c r="J85" s="20" t="inlineStr">
        <is>
          <t>Methodology Lead</t>
        </is>
      </c>
    </row>
    <row r="86">
      <c r="A86" s="20" t="inlineStr">
        <is>
          <t>D07</t>
        </is>
      </c>
      <c r="B86" s="20" t="inlineStr">
        <is>
          <t>I06</t>
        </is>
      </c>
      <c r="C86" s="20" t="inlineStr">
        <is>
          <t>Feedback Intelligence</t>
        </is>
      </c>
      <c r="D86" s="20" t="inlineStr">
        <is>
          <t>5–10 anchor examples per metric before pilot</t>
        </is>
      </c>
      <c r="E86" s="20" t="inlineStr">
        <is>
          <t>2 independent assessors minimum</t>
        </is>
      </c>
      <c r="F86" s="20" t="inlineStr">
        <is>
          <t>Blind second scoring recommended</t>
        </is>
      </c>
      <c r="G86" s="20" t="inlineStr">
        <is>
          <t>Target ICC/weighted agreement ≥0.70 exploratory; ≥0.80 preferred for freeze</t>
        </is>
      </c>
      <c r="H86" s="20" t="inlineStr">
        <is>
          <t>Pilot N to be set by study design</t>
        </is>
      </c>
      <c r="I86" s="20" t="inlineStr">
        <is>
          <t>Pending</t>
        </is>
      </c>
      <c r="J86" s="20" t="inlineStr">
        <is>
          <t>Methodology Lead</t>
        </is>
      </c>
    </row>
    <row r="87">
      <c r="A87" s="20" t="inlineStr">
        <is>
          <t>D07</t>
        </is>
      </c>
      <c r="B87" s="20" t="inlineStr">
        <is>
          <t>I07</t>
        </is>
      </c>
      <c r="C87" s="20" t="inlineStr">
        <is>
          <t>Evidence of Learning</t>
        </is>
      </c>
      <c r="D87" s="20" t="inlineStr">
        <is>
          <t>5–10 anchor examples per metric before pilot</t>
        </is>
      </c>
      <c r="E87" s="20" t="inlineStr">
        <is>
          <t>2 independent assessors minimum</t>
        </is>
      </c>
      <c r="F87" s="20" t="inlineStr">
        <is>
          <t>Blind second scoring recommended</t>
        </is>
      </c>
      <c r="G87" s="20" t="inlineStr">
        <is>
          <t>Target ICC/weighted agreement ≥0.70 exploratory; ≥0.80 preferred for freeze</t>
        </is>
      </c>
      <c r="H87" s="20" t="inlineStr">
        <is>
          <t>Pilot N to be set by study design</t>
        </is>
      </c>
      <c r="I87" s="20" t="inlineStr">
        <is>
          <t>Pending</t>
        </is>
      </c>
      <c r="J87" s="20" t="inlineStr">
        <is>
          <t>Methodology Lead</t>
        </is>
      </c>
    </row>
    <row r="88">
      <c r="A88" s="20" t="inlineStr">
        <is>
          <t>D07</t>
        </is>
      </c>
      <c r="B88" s="20" t="inlineStr">
        <is>
          <t>I08</t>
        </is>
      </c>
      <c r="C88" s="20" t="inlineStr">
        <is>
          <t>Capability Outcome Measurement</t>
        </is>
      </c>
      <c r="D88" s="20" t="inlineStr">
        <is>
          <t>5–10 anchor examples per metric before pilot</t>
        </is>
      </c>
      <c r="E88" s="20" t="inlineStr">
        <is>
          <t>2 independent assessors minimum</t>
        </is>
      </c>
      <c r="F88" s="20" t="inlineStr">
        <is>
          <t>Blind second scoring recommended</t>
        </is>
      </c>
      <c r="G88" s="20" t="inlineStr">
        <is>
          <t>Target ICC/weighted agreement ≥0.70 exploratory; ≥0.80 preferred for freeze</t>
        </is>
      </c>
      <c r="H88" s="20" t="inlineStr">
        <is>
          <t>Pilot N to be set by study design</t>
        </is>
      </c>
      <c r="I88" s="20" t="inlineStr">
        <is>
          <t>Pending</t>
        </is>
      </c>
      <c r="J88" s="20" t="inlineStr">
        <is>
          <t>Methodology Lead</t>
        </is>
      </c>
    </row>
    <row r="89">
      <c r="A89" s="20" t="inlineStr">
        <is>
          <t>D07</t>
        </is>
      </c>
      <c r="B89" s="20" t="inlineStr">
        <is>
          <t>I09</t>
        </is>
      </c>
      <c r="C89" s="20" t="inlineStr">
        <is>
          <t>Assessment Equity &amp; Access</t>
        </is>
      </c>
      <c r="D89" s="20" t="inlineStr">
        <is>
          <t>5–10 anchor examples per metric before pilot</t>
        </is>
      </c>
      <c r="E89" s="20" t="inlineStr">
        <is>
          <t>2 independent assessors minimum</t>
        </is>
      </c>
      <c r="F89" s="20" t="inlineStr">
        <is>
          <t>Blind second scoring recommended</t>
        </is>
      </c>
      <c r="G89" s="20" t="inlineStr">
        <is>
          <t>Target ICC/weighted agreement ≥0.70 exploratory; ≥0.80 preferred for freeze</t>
        </is>
      </c>
      <c r="H89" s="20" t="inlineStr">
        <is>
          <t>Pilot N to be set by study design</t>
        </is>
      </c>
      <c r="I89" s="20" t="inlineStr">
        <is>
          <t>Pending</t>
        </is>
      </c>
      <c r="J89" s="20" t="inlineStr">
        <is>
          <t>Methodology Lead</t>
        </is>
      </c>
    </row>
    <row r="90">
      <c r="A90" s="20" t="inlineStr">
        <is>
          <t>D07</t>
        </is>
      </c>
      <c r="B90" s="20" t="inlineStr">
        <is>
          <t>I10</t>
        </is>
      </c>
      <c r="C90" s="20" t="inlineStr">
        <is>
          <t>Assessment Governance</t>
        </is>
      </c>
      <c r="D90" s="20" t="inlineStr">
        <is>
          <t>5–10 anchor examples per metric before pilot</t>
        </is>
      </c>
      <c r="E90" s="20" t="inlineStr">
        <is>
          <t>2 independent assessors minimum</t>
        </is>
      </c>
      <c r="F90" s="20" t="inlineStr">
        <is>
          <t>Blind second scoring recommended</t>
        </is>
      </c>
      <c r="G90" s="20" t="inlineStr">
        <is>
          <t>Target ICC/weighted agreement ≥0.70 exploratory; ≥0.80 preferred for freeze</t>
        </is>
      </c>
      <c r="H90" s="20" t="inlineStr">
        <is>
          <t>Pilot N to be set by study design</t>
        </is>
      </c>
      <c r="I90" s="20" t="inlineStr">
        <is>
          <t>Pending</t>
        </is>
      </c>
      <c r="J90" s="20" t="inlineStr">
        <is>
          <t>Methodology Lead</t>
        </is>
      </c>
    </row>
    <row r="91">
      <c r="A91" s="20" t="inlineStr">
        <is>
          <t>D07</t>
        </is>
      </c>
      <c r="B91" s="20" t="inlineStr">
        <is>
          <t>I11</t>
        </is>
      </c>
      <c r="C91" s="20" t="inlineStr">
        <is>
          <t>Assessment Innovation</t>
        </is>
      </c>
      <c r="D91" s="20" t="inlineStr">
        <is>
          <t>5–10 anchor examples per metric before pilot</t>
        </is>
      </c>
      <c r="E91" s="20" t="inlineStr">
        <is>
          <t>2 independent assessors minimum</t>
        </is>
      </c>
      <c r="F91" s="20" t="inlineStr">
        <is>
          <t>Blind second scoring recommended</t>
        </is>
      </c>
      <c r="G91" s="20" t="inlineStr">
        <is>
          <t>Target ICC/weighted agreement ≥0.70 exploratory; ≥0.80 preferred for freeze</t>
        </is>
      </c>
      <c r="H91" s="20" t="inlineStr">
        <is>
          <t>Pilot N to be set by study design</t>
        </is>
      </c>
      <c r="I91" s="20" t="inlineStr">
        <is>
          <t>Pending</t>
        </is>
      </c>
      <c r="J91" s="20" t="inlineStr">
        <is>
          <t>Methodology Lead</t>
        </is>
      </c>
    </row>
    <row r="92">
      <c r="A92" s="20" t="inlineStr">
        <is>
          <t>D07</t>
        </is>
      </c>
      <c r="B92" s="20" t="inlineStr">
        <is>
          <t>I12</t>
        </is>
      </c>
      <c r="C92" s="20" t="inlineStr">
        <is>
          <t>Learning Evidence Analytics</t>
        </is>
      </c>
      <c r="D92" s="20" t="inlineStr">
        <is>
          <t>5–10 anchor examples per metric before pilot</t>
        </is>
      </c>
      <c r="E92" s="20" t="inlineStr">
        <is>
          <t>2 independent assessors minimum</t>
        </is>
      </c>
      <c r="F92" s="20" t="inlineStr">
        <is>
          <t>Blind second scoring recommended</t>
        </is>
      </c>
      <c r="G92" s="20" t="inlineStr">
        <is>
          <t>Target ICC/weighted agreement ≥0.70 exploratory; ≥0.80 preferred for freeze</t>
        </is>
      </c>
      <c r="H92" s="20" t="inlineStr">
        <is>
          <t>Pilot N to be set by study design</t>
        </is>
      </c>
      <c r="I92" s="20" t="inlineStr">
        <is>
          <t>Pending</t>
        </is>
      </c>
      <c r="J92" s="20" t="inlineStr">
        <is>
          <t>Methodology Lead</t>
        </is>
      </c>
    </row>
    <row r="93">
      <c r="A93" s="20" t="inlineStr">
        <is>
          <t>D08</t>
        </is>
      </c>
      <c r="B93" s="20" t="inlineStr">
        <is>
          <t>I01</t>
        </is>
      </c>
      <c r="C93" s="20" t="inlineStr">
        <is>
          <t>Digital Environment Readiness</t>
        </is>
      </c>
      <c r="D93" s="20" t="inlineStr">
        <is>
          <t>5–10 anchor examples per metric before pilot</t>
        </is>
      </c>
      <c r="E93" s="20" t="inlineStr">
        <is>
          <t>2 independent assessors minimum</t>
        </is>
      </c>
      <c r="F93" s="20" t="inlineStr">
        <is>
          <t>Blind second scoring recommended</t>
        </is>
      </c>
      <c r="G93" s="20" t="inlineStr">
        <is>
          <t>Target ICC/weighted agreement ≥0.70 exploratory; ≥0.80 preferred for freeze</t>
        </is>
      </c>
      <c r="H93" s="20" t="inlineStr">
        <is>
          <t>Pilot N to be set by study design</t>
        </is>
      </c>
      <c r="I93" s="20" t="inlineStr">
        <is>
          <t>Pending</t>
        </is>
      </c>
      <c r="J93" s="20" t="inlineStr">
        <is>
          <t>Methodology Lead</t>
        </is>
      </c>
    </row>
    <row r="94">
      <c r="A94" s="20" t="inlineStr">
        <is>
          <t>D08</t>
        </is>
      </c>
      <c r="B94" s="20" t="inlineStr">
        <is>
          <t>I02</t>
        </is>
      </c>
      <c r="C94" s="20" t="inlineStr">
        <is>
          <t>Institutional Data Architecture</t>
        </is>
      </c>
      <c r="D94" s="20" t="inlineStr">
        <is>
          <t>5–10 anchor examples per metric before pilot</t>
        </is>
      </c>
      <c r="E94" s="20" t="inlineStr">
        <is>
          <t>2 independent assessors minimum</t>
        </is>
      </c>
      <c r="F94" s="20" t="inlineStr">
        <is>
          <t>Blind second scoring recommended</t>
        </is>
      </c>
      <c r="G94" s="20" t="inlineStr">
        <is>
          <t>Target ICC/weighted agreement ≥0.70 exploratory; ≥0.80 preferred for freeze</t>
        </is>
      </c>
      <c r="H94" s="20" t="inlineStr">
        <is>
          <t>Pilot N to be set by study design</t>
        </is>
      </c>
      <c r="I94" s="20" t="inlineStr">
        <is>
          <t>Pending</t>
        </is>
      </c>
      <c r="J94" s="20" t="inlineStr">
        <is>
          <t>Methodology Lead</t>
        </is>
      </c>
    </row>
    <row r="95">
      <c r="A95" s="20" t="inlineStr">
        <is>
          <t>D08</t>
        </is>
      </c>
      <c r="B95" s="20" t="inlineStr">
        <is>
          <t>I03</t>
        </is>
      </c>
      <c r="C95" s="20" t="inlineStr">
        <is>
          <t>Data Quality &amp; Integrity</t>
        </is>
      </c>
      <c r="D95" s="20" t="inlineStr">
        <is>
          <t>5–10 anchor examples per metric before pilot</t>
        </is>
      </c>
      <c r="E95" s="20" t="inlineStr">
        <is>
          <t>2 independent assessors minimum</t>
        </is>
      </c>
      <c r="F95" s="20" t="inlineStr">
        <is>
          <t>Blind second scoring recommended</t>
        </is>
      </c>
      <c r="G95" s="20" t="inlineStr">
        <is>
          <t>Target ICC/weighted agreement ≥0.70 exploratory; ≥0.80 preferred for freeze</t>
        </is>
      </c>
      <c r="H95" s="20" t="inlineStr">
        <is>
          <t>Pilot N to be set by study design</t>
        </is>
      </c>
      <c r="I95" s="20" t="inlineStr">
        <is>
          <t>Pending</t>
        </is>
      </c>
      <c r="J95" s="20" t="inlineStr">
        <is>
          <t>Methodology Lead</t>
        </is>
      </c>
    </row>
    <row r="96">
      <c r="A96" s="20" t="inlineStr">
        <is>
          <t>D08</t>
        </is>
      </c>
      <c r="B96" s="20" t="inlineStr">
        <is>
          <t>I04</t>
        </is>
      </c>
      <c r="C96" s="20" t="inlineStr">
        <is>
          <t>System Interoperability</t>
        </is>
      </c>
      <c r="D96" s="20" t="inlineStr">
        <is>
          <t>5–10 anchor examples per metric before pilot</t>
        </is>
      </c>
      <c r="E96" s="20" t="inlineStr">
        <is>
          <t>2 independent assessors minimum</t>
        </is>
      </c>
      <c r="F96" s="20" t="inlineStr">
        <is>
          <t>Blind second scoring recommended</t>
        </is>
      </c>
      <c r="G96" s="20" t="inlineStr">
        <is>
          <t>Target ICC/weighted agreement ≥0.70 exploratory; ≥0.80 preferred for freeze</t>
        </is>
      </c>
      <c r="H96" s="20" t="inlineStr">
        <is>
          <t>Pilot N to be set by study design</t>
        </is>
      </c>
      <c r="I96" s="20" t="inlineStr">
        <is>
          <t>Pending</t>
        </is>
      </c>
      <c r="J96" s="20" t="inlineStr">
        <is>
          <t>Methodology Lead</t>
        </is>
      </c>
    </row>
    <row r="97">
      <c r="A97" s="20" t="inlineStr">
        <is>
          <t>D08</t>
        </is>
      </c>
      <c r="B97" s="20" t="inlineStr">
        <is>
          <t>I05</t>
        </is>
      </c>
      <c r="C97" s="20" t="inlineStr">
        <is>
          <t>Decision Intelligence</t>
        </is>
      </c>
      <c r="D97" s="20" t="inlineStr">
        <is>
          <t>5–10 anchor examples per metric before pilot</t>
        </is>
      </c>
      <c r="E97" s="20" t="inlineStr">
        <is>
          <t>2 independent assessors minimum</t>
        </is>
      </c>
      <c r="F97" s="20" t="inlineStr">
        <is>
          <t>Blind second scoring recommended</t>
        </is>
      </c>
      <c r="G97" s="20" t="inlineStr">
        <is>
          <t>Target ICC/weighted agreement ≥0.70 exploratory; ≥0.80 preferred for freeze</t>
        </is>
      </c>
      <c r="H97" s="20" t="inlineStr">
        <is>
          <t>Pilot N to be set by study design</t>
        </is>
      </c>
      <c r="I97" s="20" t="inlineStr">
        <is>
          <t>Pending</t>
        </is>
      </c>
      <c r="J97" s="20" t="inlineStr">
        <is>
          <t>Methodology Lead</t>
        </is>
      </c>
    </row>
    <row r="98">
      <c r="A98" s="20" t="inlineStr">
        <is>
          <t>D08</t>
        </is>
      </c>
      <c r="B98" s="20" t="inlineStr">
        <is>
          <t>I06</t>
        </is>
      </c>
      <c r="C98" s="20" t="inlineStr">
        <is>
          <t>AI Enablement Readiness</t>
        </is>
      </c>
      <c r="D98" s="20" t="inlineStr">
        <is>
          <t>5–10 anchor examples per metric before pilot</t>
        </is>
      </c>
      <c r="E98" s="20" t="inlineStr">
        <is>
          <t>2 independent assessors minimum</t>
        </is>
      </c>
      <c r="F98" s="20" t="inlineStr">
        <is>
          <t>Blind second scoring recommended</t>
        </is>
      </c>
      <c r="G98" s="20" t="inlineStr">
        <is>
          <t>Target ICC/weighted agreement ≥0.70 exploratory; ≥0.80 preferred for freeze</t>
        </is>
      </c>
      <c r="H98" s="20" t="inlineStr">
        <is>
          <t>Pilot N to be set by study design</t>
        </is>
      </c>
      <c r="I98" s="20" t="inlineStr">
        <is>
          <t>Pending</t>
        </is>
      </c>
      <c r="J98" s="20" t="inlineStr">
        <is>
          <t>Methodology Lead</t>
        </is>
      </c>
    </row>
    <row r="99">
      <c r="A99" s="20" t="inlineStr">
        <is>
          <t>D08</t>
        </is>
      </c>
      <c r="B99" s="20" t="inlineStr">
        <is>
          <t>I07</t>
        </is>
      </c>
      <c r="C99" s="20" t="inlineStr">
        <is>
          <t>Cyber &amp; Information Security</t>
        </is>
      </c>
      <c r="D99" s="20" t="inlineStr">
        <is>
          <t>5–10 anchor examples per metric before pilot</t>
        </is>
      </c>
      <c r="E99" s="20" t="inlineStr">
        <is>
          <t>2 independent assessors minimum</t>
        </is>
      </c>
      <c r="F99" s="20" t="inlineStr">
        <is>
          <t>Blind second scoring recommended</t>
        </is>
      </c>
      <c r="G99" s="20" t="inlineStr">
        <is>
          <t>Target ICC/weighted agreement ≥0.70 exploratory; ≥0.80 preferred for freeze</t>
        </is>
      </c>
      <c r="H99" s="20" t="inlineStr">
        <is>
          <t>Pilot N to be set by study design</t>
        </is>
      </c>
      <c r="I99" s="20" t="inlineStr">
        <is>
          <t>Pending</t>
        </is>
      </c>
      <c r="J99" s="20" t="inlineStr">
        <is>
          <t>Methodology Lead</t>
        </is>
      </c>
    </row>
    <row r="100">
      <c r="A100" s="20" t="inlineStr">
        <is>
          <t>D08</t>
        </is>
      </c>
      <c r="B100" s="20" t="inlineStr">
        <is>
          <t>I08</t>
        </is>
      </c>
      <c r="C100" s="20" t="inlineStr">
        <is>
          <t>Data Privacy Readiness</t>
        </is>
      </c>
      <c r="D100" s="20" t="inlineStr">
        <is>
          <t>5–10 anchor examples per metric before pilot</t>
        </is>
      </c>
      <c r="E100" s="20" t="inlineStr">
        <is>
          <t>2 independent assessors minimum</t>
        </is>
      </c>
      <c r="F100" s="20" t="inlineStr">
        <is>
          <t>Blind second scoring recommended</t>
        </is>
      </c>
      <c r="G100" s="20" t="inlineStr">
        <is>
          <t>Target ICC/weighted agreement ≥0.70 exploratory; ≥0.80 preferred for freeze</t>
        </is>
      </c>
      <c r="H100" s="20" t="inlineStr">
        <is>
          <t>Pilot N to be set by study design</t>
        </is>
      </c>
      <c r="I100" s="20" t="inlineStr">
        <is>
          <t>Pending</t>
        </is>
      </c>
      <c r="J100" s="20" t="inlineStr">
        <is>
          <t>Methodology Lead</t>
        </is>
      </c>
    </row>
    <row r="101">
      <c r="A101" s="20" t="inlineStr">
        <is>
          <t>D08</t>
        </is>
      </c>
      <c r="B101" s="20" t="inlineStr">
        <is>
          <t>I09</t>
        </is>
      </c>
      <c r="C101" s="20" t="inlineStr">
        <is>
          <t>Digital Equity &amp; Access</t>
        </is>
      </c>
      <c r="D101" s="20" t="inlineStr">
        <is>
          <t>5–10 anchor examples per metric before pilot</t>
        </is>
      </c>
      <c r="E101" s="20" t="inlineStr">
        <is>
          <t>2 independent assessors minimum</t>
        </is>
      </c>
      <c r="F101" s="20" t="inlineStr">
        <is>
          <t>Blind second scoring recommended</t>
        </is>
      </c>
      <c r="G101" s="20" t="inlineStr">
        <is>
          <t>Target ICC/weighted agreement ≥0.70 exploratory; ≥0.80 preferred for freeze</t>
        </is>
      </c>
      <c r="H101" s="20" t="inlineStr">
        <is>
          <t>Pilot N to be set by study design</t>
        </is>
      </c>
      <c r="I101" s="20" t="inlineStr">
        <is>
          <t>Pending</t>
        </is>
      </c>
      <c r="J101" s="20" t="inlineStr">
        <is>
          <t>Methodology Lead</t>
        </is>
      </c>
    </row>
    <row r="102">
      <c r="A102" s="20" t="inlineStr">
        <is>
          <t>D08</t>
        </is>
      </c>
      <c r="B102" s="20" t="inlineStr">
        <is>
          <t>I10</t>
        </is>
      </c>
      <c r="C102" s="20" t="inlineStr">
        <is>
          <t>Technology Decision Governance</t>
        </is>
      </c>
      <c r="D102" s="20" t="inlineStr">
        <is>
          <t>5–10 anchor examples per metric before pilot</t>
        </is>
      </c>
      <c r="E102" s="20" t="inlineStr">
        <is>
          <t>2 independent assessors minimum</t>
        </is>
      </c>
      <c r="F102" s="20" t="inlineStr">
        <is>
          <t>Blind second scoring recommended</t>
        </is>
      </c>
      <c r="G102" s="20" t="inlineStr">
        <is>
          <t>Target ICC/weighted agreement ≥0.70 exploratory; ≥0.80 preferred for freeze</t>
        </is>
      </c>
      <c r="H102" s="20" t="inlineStr">
        <is>
          <t>Pilot N to be set by study design</t>
        </is>
      </c>
      <c r="I102" s="20" t="inlineStr">
        <is>
          <t>Pending</t>
        </is>
      </c>
      <c r="J102" s="20" t="inlineStr">
        <is>
          <t>Methodology Lead</t>
        </is>
      </c>
    </row>
    <row r="103">
      <c r="A103" s="20" t="inlineStr">
        <is>
          <t>D08</t>
        </is>
      </c>
      <c r="B103" s="20" t="inlineStr">
        <is>
          <t>I11</t>
        </is>
      </c>
      <c r="C103" s="20" t="inlineStr">
        <is>
          <t>Digital Process Maturity</t>
        </is>
      </c>
      <c r="D103" s="20" t="inlineStr">
        <is>
          <t>5–10 anchor examples per metric before pilot</t>
        </is>
      </c>
      <c r="E103" s="20" t="inlineStr">
        <is>
          <t>2 independent assessors minimum</t>
        </is>
      </c>
      <c r="F103" s="20" t="inlineStr">
        <is>
          <t>Blind second scoring recommended</t>
        </is>
      </c>
      <c r="G103" s="20" t="inlineStr">
        <is>
          <t>Target ICC/weighted agreement ≥0.70 exploratory; ≥0.80 preferred for freeze</t>
        </is>
      </c>
      <c r="H103" s="20" t="inlineStr">
        <is>
          <t>Pilot N to be set by study design</t>
        </is>
      </c>
      <c r="I103" s="20" t="inlineStr">
        <is>
          <t>Pending</t>
        </is>
      </c>
      <c r="J103" s="20" t="inlineStr">
        <is>
          <t>Methodology Lead</t>
        </is>
      </c>
    </row>
    <row r="104">
      <c r="A104" s="20" t="inlineStr">
        <is>
          <t>D08</t>
        </is>
      </c>
      <c r="B104" s="20" t="inlineStr">
        <is>
          <t>I12</t>
        </is>
      </c>
      <c r="C104" s="20" t="inlineStr">
        <is>
          <t>Institutional Intelligence Capability</t>
        </is>
      </c>
      <c r="D104" s="20" t="inlineStr">
        <is>
          <t>5–10 anchor examples per metric before pilot</t>
        </is>
      </c>
      <c r="E104" s="20" t="inlineStr">
        <is>
          <t>2 independent assessors minimum</t>
        </is>
      </c>
      <c r="F104" s="20" t="inlineStr">
        <is>
          <t>Blind second scoring recommended</t>
        </is>
      </c>
      <c r="G104" s="20" t="inlineStr">
        <is>
          <t>Target ICC/weighted agreement ≥0.70 exploratory; ≥0.80 preferred for freeze</t>
        </is>
      </c>
      <c r="H104" s="20" t="inlineStr">
        <is>
          <t>Pilot N to be set by study design</t>
        </is>
      </c>
      <c r="I104" s="20" t="inlineStr">
        <is>
          <t>Pending</t>
        </is>
      </c>
      <c r="J104" s="20" t="inlineStr">
        <is>
          <t>Methodology Lead</t>
        </is>
      </c>
    </row>
    <row r="105">
      <c r="A105" s="20" t="inlineStr">
        <is>
          <t>D09</t>
        </is>
      </c>
      <c r="B105" s="20" t="inlineStr">
        <is>
          <t>I01</t>
        </is>
      </c>
      <c r="C105" s="20" t="inlineStr">
        <is>
          <t>Employer Demand Sensing</t>
        </is>
      </c>
      <c r="D105" s="20" t="inlineStr">
        <is>
          <t>5–10 anchor examples per metric before pilot</t>
        </is>
      </c>
      <c r="E105" s="20" t="inlineStr">
        <is>
          <t>2 independent assessors minimum</t>
        </is>
      </c>
      <c r="F105" s="20" t="inlineStr">
        <is>
          <t>Blind second scoring recommended</t>
        </is>
      </c>
      <c r="G105" s="20" t="inlineStr">
        <is>
          <t>Target ICC/weighted agreement ≥0.70 exploratory; ≥0.80 preferred for freeze</t>
        </is>
      </c>
      <c r="H105" s="20" t="inlineStr">
        <is>
          <t>Pilot N to be set by study design</t>
        </is>
      </c>
      <c r="I105" s="20" t="inlineStr">
        <is>
          <t>Pending</t>
        </is>
      </c>
      <c r="J105" s="20" t="inlineStr">
        <is>
          <t>Methodology Lead</t>
        </is>
      </c>
    </row>
    <row r="106">
      <c r="A106" s="20" t="inlineStr">
        <is>
          <t>D09</t>
        </is>
      </c>
      <c r="B106" s="20" t="inlineStr">
        <is>
          <t>I02</t>
        </is>
      </c>
      <c r="C106" s="20" t="inlineStr">
        <is>
          <t>Employability Capability Architecture</t>
        </is>
      </c>
      <c r="D106" s="20" t="inlineStr">
        <is>
          <t>5–10 anchor examples per metric before pilot</t>
        </is>
      </c>
      <c r="E106" s="20" t="inlineStr">
        <is>
          <t>2 independent assessors minimum</t>
        </is>
      </c>
      <c r="F106" s="20" t="inlineStr">
        <is>
          <t>Blind second scoring recommended</t>
        </is>
      </c>
      <c r="G106" s="20" t="inlineStr">
        <is>
          <t>Target ICC/weighted agreement ≥0.70 exploratory; ≥0.80 preferred for freeze</t>
        </is>
      </c>
      <c r="H106" s="20" t="inlineStr">
        <is>
          <t>Pilot N to be set by study design</t>
        </is>
      </c>
      <c r="I106" s="20" t="inlineStr">
        <is>
          <t>Pending</t>
        </is>
      </c>
      <c r="J106" s="20" t="inlineStr">
        <is>
          <t>Methodology Lead</t>
        </is>
      </c>
    </row>
    <row r="107">
      <c r="A107" s="20" t="inlineStr">
        <is>
          <t>D09</t>
        </is>
      </c>
      <c r="B107" s="20" t="inlineStr">
        <is>
          <t>I03</t>
        </is>
      </c>
      <c r="C107" s="20" t="inlineStr">
        <is>
          <t>Industry-Validated Curriculum</t>
        </is>
      </c>
      <c r="D107" s="20" t="inlineStr">
        <is>
          <t>5–10 anchor examples per metric before pilot</t>
        </is>
      </c>
      <c r="E107" s="20" t="inlineStr">
        <is>
          <t>2 independent assessors minimum</t>
        </is>
      </c>
      <c r="F107" s="20" t="inlineStr">
        <is>
          <t>Blind second scoring recommended</t>
        </is>
      </c>
      <c r="G107" s="20" t="inlineStr">
        <is>
          <t>Target ICC/weighted agreement ≥0.70 exploratory; ≥0.80 preferred for freeze</t>
        </is>
      </c>
      <c r="H107" s="20" t="inlineStr">
        <is>
          <t>Pilot N to be set by study design</t>
        </is>
      </c>
      <c r="I107" s="20" t="inlineStr">
        <is>
          <t>Pending</t>
        </is>
      </c>
      <c r="J107" s="20" t="inlineStr">
        <is>
          <t>Methodology Lead</t>
        </is>
      </c>
    </row>
    <row r="108">
      <c r="A108" s="20" t="inlineStr">
        <is>
          <t>D09</t>
        </is>
      </c>
      <c r="B108" s="20" t="inlineStr">
        <is>
          <t>I04</t>
        </is>
      </c>
      <c r="C108" s="20" t="inlineStr">
        <is>
          <t>Practice-Based Learning</t>
        </is>
      </c>
      <c r="D108" s="20" t="inlineStr">
        <is>
          <t>5–10 anchor examples per metric before pilot</t>
        </is>
      </c>
      <c r="E108" s="20" t="inlineStr">
        <is>
          <t>2 independent assessors minimum</t>
        </is>
      </c>
      <c r="F108" s="20" t="inlineStr">
        <is>
          <t>Blind second scoring recommended</t>
        </is>
      </c>
      <c r="G108" s="20" t="inlineStr">
        <is>
          <t>Target ICC/weighted agreement ≥0.70 exploratory; ≥0.80 preferred for freeze</t>
        </is>
      </c>
      <c r="H108" s="20" t="inlineStr">
        <is>
          <t>Pilot N to be set by study design</t>
        </is>
      </c>
      <c r="I108" s="20" t="inlineStr">
        <is>
          <t>Pending</t>
        </is>
      </c>
      <c r="J108" s="20" t="inlineStr">
        <is>
          <t>Methodology Lead</t>
        </is>
      </c>
    </row>
    <row r="109">
      <c r="A109" s="20" t="inlineStr">
        <is>
          <t>D09</t>
        </is>
      </c>
      <c r="B109" s="20" t="inlineStr">
        <is>
          <t>I05</t>
        </is>
      </c>
      <c r="C109" s="20" t="inlineStr">
        <is>
          <t>Recruiter Confidence</t>
        </is>
      </c>
      <c r="D109" s="20" t="inlineStr">
        <is>
          <t>5–10 anchor examples per metric before pilot</t>
        </is>
      </c>
      <c r="E109" s="20" t="inlineStr">
        <is>
          <t>2 independent assessors minimum</t>
        </is>
      </c>
      <c r="F109" s="20" t="inlineStr">
        <is>
          <t>Blind second scoring recommended</t>
        </is>
      </c>
      <c r="G109" s="20" t="inlineStr">
        <is>
          <t>Target ICC/weighted agreement ≥0.70 exploratory; ≥0.80 preferred for freeze</t>
        </is>
      </c>
      <c r="H109" s="20" t="inlineStr">
        <is>
          <t>Pilot N to be set by study design</t>
        </is>
      </c>
      <c r="I109" s="20" t="inlineStr">
        <is>
          <t>Pending</t>
        </is>
      </c>
      <c r="J109" s="20" t="inlineStr">
        <is>
          <t>Methodology Lead</t>
        </is>
      </c>
    </row>
    <row r="110">
      <c r="A110" s="20" t="inlineStr">
        <is>
          <t>D09</t>
        </is>
      </c>
      <c r="B110" s="20" t="inlineStr">
        <is>
          <t>I06</t>
        </is>
      </c>
      <c r="C110" s="20" t="inlineStr">
        <is>
          <t>Placement Outcome Quality</t>
        </is>
      </c>
      <c r="D110" s="20" t="inlineStr">
        <is>
          <t>5–10 anchor examples per metric before pilot</t>
        </is>
      </c>
      <c r="E110" s="20" t="inlineStr">
        <is>
          <t>2 independent assessors minimum</t>
        </is>
      </c>
      <c r="F110" s="20" t="inlineStr">
        <is>
          <t>Blind second scoring recommended</t>
        </is>
      </c>
      <c r="G110" s="20" t="inlineStr">
        <is>
          <t>Target ICC/weighted agreement ≥0.70 exploratory; ≥0.80 preferred for freeze</t>
        </is>
      </c>
      <c r="H110" s="20" t="inlineStr">
        <is>
          <t>Pilot N to be set by study design</t>
        </is>
      </c>
      <c r="I110" s="20" t="inlineStr">
        <is>
          <t>Pending</t>
        </is>
      </c>
      <c r="J110" s="20" t="inlineStr">
        <is>
          <t>Methodology Lead</t>
        </is>
      </c>
    </row>
    <row r="111">
      <c r="A111" s="20" t="inlineStr">
        <is>
          <t>D09</t>
        </is>
      </c>
      <c r="B111" s="20" t="inlineStr">
        <is>
          <t>I07</t>
        </is>
      </c>
      <c r="C111" s="20" t="inlineStr">
        <is>
          <t>Career Adaptability</t>
        </is>
      </c>
      <c r="D111" s="20" t="inlineStr">
        <is>
          <t>5–10 anchor examples per metric before pilot</t>
        </is>
      </c>
      <c r="E111" s="20" t="inlineStr">
        <is>
          <t>2 independent assessors minimum</t>
        </is>
      </c>
      <c r="F111" s="20" t="inlineStr">
        <is>
          <t>Blind second scoring recommended</t>
        </is>
      </c>
      <c r="G111" s="20" t="inlineStr">
        <is>
          <t>Target ICC/weighted agreement ≥0.70 exploratory; ≥0.80 preferred for freeze</t>
        </is>
      </c>
      <c r="H111" s="20" t="inlineStr">
        <is>
          <t>Pilot N to be set by study design</t>
        </is>
      </c>
      <c r="I111" s="20" t="inlineStr">
        <is>
          <t>Pending</t>
        </is>
      </c>
      <c r="J111" s="20" t="inlineStr">
        <is>
          <t>Methodology Lead</t>
        </is>
      </c>
    </row>
    <row r="112">
      <c r="A112" s="20" t="inlineStr">
        <is>
          <t>D09</t>
        </is>
      </c>
      <c r="B112" s="20" t="inlineStr">
        <is>
          <t>I08</t>
        </is>
      </c>
      <c r="C112" s="20" t="inlineStr">
        <is>
          <t>AI-Era Employability Readiness</t>
        </is>
      </c>
      <c r="D112" s="20" t="inlineStr">
        <is>
          <t>5–10 anchor examples per metric before pilot</t>
        </is>
      </c>
      <c r="E112" s="20" t="inlineStr">
        <is>
          <t>2 independent assessors minimum</t>
        </is>
      </c>
      <c r="F112" s="20" t="inlineStr">
        <is>
          <t>Blind second scoring recommended</t>
        </is>
      </c>
      <c r="G112" s="20" t="inlineStr">
        <is>
          <t>Target ICC/weighted agreement ≥0.70 exploratory; ≥0.80 preferred for freeze</t>
        </is>
      </c>
      <c r="H112" s="20" t="inlineStr">
        <is>
          <t>Pilot N to be set by study design</t>
        </is>
      </c>
      <c r="I112" s="20" t="inlineStr">
        <is>
          <t>Pending</t>
        </is>
      </c>
      <c r="J112" s="20" t="inlineStr">
        <is>
          <t>Methodology Lead</t>
        </is>
      </c>
    </row>
    <row r="113">
      <c r="A113" s="20" t="inlineStr">
        <is>
          <t>D09</t>
        </is>
      </c>
      <c r="B113" s="20" t="inlineStr">
        <is>
          <t>I09</t>
        </is>
      </c>
      <c r="C113" s="20" t="inlineStr">
        <is>
          <t>Capability Signalling</t>
        </is>
      </c>
      <c r="D113" s="20" t="inlineStr">
        <is>
          <t>5–10 anchor examples per metric before pilot</t>
        </is>
      </c>
      <c r="E113" s="20" t="inlineStr">
        <is>
          <t>2 independent assessors minimum</t>
        </is>
      </c>
      <c r="F113" s="20" t="inlineStr">
        <is>
          <t>Blind second scoring recommended</t>
        </is>
      </c>
      <c r="G113" s="20" t="inlineStr">
        <is>
          <t>Target ICC/weighted agreement ≥0.70 exploratory; ≥0.80 preferred for freeze</t>
        </is>
      </c>
      <c r="H113" s="20" t="inlineStr">
        <is>
          <t>Pilot N to be set by study design</t>
        </is>
      </c>
      <c r="I113" s="20" t="inlineStr">
        <is>
          <t>Pending</t>
        </is>
      </c>
      <c r="J113" s="20" t="inlineStr">
        <is>
          <t>Methodology Lead</t>
        </is>
      </c>
    </row>
    <row r="114">
      <c r="A114" s="20" t="inlineStr">
        <is>
          <t>D09</t>
        </is>
      </c>
      <c r="B114" s="20" t="inlineStr">
        <is>
          <t>I10</t>
        </is>
      </c>
      <c r="C114" s="20" t="inlineStr">
        <is>
          <t>Industry Co-Creation</t>
        </is>
      </c>
      <c r="D114" s="20" t="inlineStr">
        <is>
          <t>5–10 anchor examples per metric before pilot</t>
        </is>
      </c>
      <c r="E114" s="20" t="inlineStr">
        <is>
          <t>2 independent assessors minimum</t>
        </is>
      </c>
      <c r="F114" s="20" t="inlineStr">
        <is>
          <t>Blind second scoring recommended</t>
        </is>
      </c>
      <c r="G114" s="20" t="inlineStr">
        <is>
          <t>Target ICC/weighted agreement ≥0.70 exploratory; ≥0.80 preferred for freeze</t>
        </is>
      </c>
      <c r="H114" s="20" t="inlineStr">
        <is>
          <t>Pilot N to be set by study design</t>
        </is>
      </c>
      <c r="I114" s="20" t="inlineStr">
        <is>
          <t>Pending</t>
        </is>
      </c>
      <c r="J114" s="20" t="inlineStr">
        <is>
          <t>Methodology Lead</t>
        </is>
      </c>
    </row>
    <row r="115">
      <c r="A115" s="20" t="inlineStr">
        <is>
          <t>D09</t>
        </is>
      </c>
      <c r="B115" s="20" t="inlineStr">
        <is>
          <t>I11</t>
        </is>
      </c>
      <c r="C115" s="20" t="inlineStr">
        <is>
          <t>Regional/Economic Relevance</t>
        </is>
      </c>
      <c r="D115" s="20" t="inlineStr">
        <is>
          <t>5–10 anchor examples per metric before pilot</t>
        </is>
      </c>
      <c r="E115" s="20" t="inlineStr">
        <is>
          <t>2 independent assessors minimum</t>
        </is>
      </c>
      <c r="F115" s="20" t="inlineStr">
        <is>
          <t>Blind second scoring recommended</t>
        </is>
      </c>
      <c r="G115" s="20" t="inlineStr">
        <is>
          <t>Target ICC/weighted agreement ≥0.70 exploratory; ≥0.80 preferred for freeze</t>
        </is>
      </c>
      <c r="H115" s="20" t="inlineStr">
        <is>
          <t>Pilot N to be set by study design</t>
        </is>
      </c>
      <c r="I115" s="20" t="inlineStr">
        <is>
          <t>Pending</t>
        </is>
      </c>
      <c r="J115" s="20" t="inlineStr">
        <is>
          <t>Methodology Lead</t>
        </is>
      </c>
    </row>
    <row r="116">
      <c r="A116" s="20" t="inlineStr">
        <is>
          <t>D09</t>
        </is>
      </c>
      <c r="B116" s="20" t="inlineStr">
        <is>
          <t>I12</t>
        </is>
      </c>
      <c r="C116" s="20" t="inlineStr">
        <is>
          <t>Alumni Career Intelligence</t>
        </is>
      </c>
      <c r="D116" s="20" t="inlineStr">
        <is>
          <t>5–10 anchor examples per metric before pilot</t>
        </is>
      </c>
      <c r="E116" s="20" t="inlineStr">
        <is>
          <t>2 independent assessors minimum</t>
        </is>
      </c>
      <c r="F116" s="20" t="inlineStr">
        <is>
          <t>Blind second scoring recommended</t>
        </is>
      </c>
      <c r="G116" s="20" t="inlineStr">
        <is>
          <t>Target ICC/weighted agreement ≥0.70 exploratory; ≥0.80 preferred for freeze</t>
        </is>
      </c>
      <c r="H116" s="20" t="inlineStr">
        <is>
          <t>Pilot N to be set by study design</t>
        </is>
      </c>
      <c r="I116" s="20" t="inlineStr">
        <is>
          <t>Pending</t>
        </is>
      </c>
      <c r="J116" s="20" t="inlineStr">
        <is>
          <t>Methodology Lead</t>
        </is>
      </c>
    </row>
    <row r="117">
      <c r="A117" s="20" t="inlineStr">
        <is>
          <t>D10</t>
        </is>
      </c>
      <c r="B117" s="20" t="inlineStr">
        <is>
          <t>I01</t>
        </is>
      </c>
      <c r="C117" s="20" t="inlineStr">
        <is>
          <t>Research Strategy Maturity</t>
        </is>
      </c>
      <c r="D117" s="20" t="inlineStr">
        <is>
          <t>5–10 anchor examples per metric before pilot</t>
        </is>
      </c>
      <c r="E117" s="20" t="inlineStr">
        <is>
          <t>2 independent assessors minimum</t>
        </is>
      </c>
      <c r="F117" s="20" t="inlineStr">
        <is>
          <t>Blind second scoring recommended</t>
        </is>
      </c>
      <c r="G117" s="20" t="inlineStr">
        <is>
          <t>Target ICC/weighted agreement ≥0.70 exploratory; ≥0.80 preferred for freeze</t>
        </is>
      </c>
      <c r="H117" s="20" t="inlineStr">
        <is>
          <t>Pilot N to be set by study design</t>
        </is>
      </c>
      <c r="I117" s="20" t="inlineStr">
        <is>
          <t>Pending</t>
        </is>
      </c>
      <c r="J117" s="20" t="inlineStr">
        <is>
          <t>Methodology Lead</t>
        </is>
      </c>
    </row>
    <row r="118">
      <c r="A118" s="20" t="inlineStr">
        <is>
          <t>D10</t>
        </is>
      </c>
      <c r="B118" s="20" t="inlineStr">
        <is>
          <t>I02</t>
        </is>
      </c>
      <c r="C118" s="20" t="inlineStr">
        <is>
          <t>Research Portfolio Balance</t>
        </is>
      </c>
      <c r="D118" s="20" t="inlineStr">
        <is>
          <t>5–10 anchor examples per metric before pilot</t>
        </is>
      </c>
      <c r="E118" s="20" t="inlineStr">
        <is>
          <t>2 independent assessors minimum</t>
        </is>
      </c>
      <c r="F118" s="20" t="inlineStr">
        <is>
          <t>Blind second scoring recommended</t>
        </is>
      </c>
      <c r="G118" s="20" t="inlineStr">
        <is>
          <t>Target ICC/weighted agreement ≥0.70 exploratory; ≥0.80 preferred for freeze</t>
        </is>
      </c>
      <c r="H118" s="20" t="inlineStr">
        <is>
          <t>Pilot N to be set by study design</t>
        </is>
      </c>
      <c r="I118" s="20" t="inlineStr">
        <is>
          <t>Pending</t>
        </is>
      </c>
      <c r="J118" s="20" t="inlineStr">
        <is>
          <t>Methodology Lead</t>
        </is>
      </c>
    </row>
    <row r="119">
      <c r="A119" s="20" t="inlineStr">
        <is>
          <t>D10</t>
        </is>
      </c>
      <c r="B119" s="20" t="inlineStr">
        <is>
          <t>I03</t>
        </is>
      </c>
      <c r="C119" s="20" t="inlineStr">
        <is>
          <t>Interdisciplinary Research Capability</t>
        </is>
      </c>
      <c r="D119" s="20" t="inlineStr">
        <is>
          <t>5–10 anchor examples per metric before pilot</t>
        </is>
      </c>
      <c r="E119" s="20" t="inlineStr">
        <is>
          <t>2 independent assessors minimum</t>
        </is>
      </c>
      <c r="F119" s="20" t="inlineStr">
        <is>
          <t>Blind second scoring recommended</t>
        </is>
      </c>
      <c r="G119" s="20" t="inlineStr">
        <is>
          <t>Target ICC/weighted agreement ≥0.70 exploratory; ≥0.80 preferred for freeze</t>
        </is>
      </c>
      <c r="H119" s="20" t="inlineStr">
        <is>
          <t>Pilot N to be set by study design</t>
        </is>
      </c>
      <c r="I119" s="20" t="inlineStr">
        <is>
          <t>Pending</t>
        </is>
      </c>
      <c r="J119" s="20" t="inlineStr">
        <is>
          <t>Methodology Lead</t>
        </is>
      </c>
    </row>
    <row r="120">
      <c r="A120" s="20" t="inlineStr">
        <is>
          <t>D10</t>
        </is>
      </c>
      <c r="B120" s="20" t="inlineStr">
        <is>
          <t>I04</t>
        </is>
      </c>
      <c r="C120" s="20" t="inlineStr">
        <is>
          <t>AI-Enabled Research Capability</t>
        </is>
      </c>
      <c r="D120" s="20" t="inlineStr">
        <is>
          <t>5–10 anchor examples per metric before pilot</t>
        </is>
      </c>
      <c r="E120" s="20" t="inlineStr">
        <is>
          <t>2 independent assessors minimum</t>
        </is>
      </c>
      <c r="F120" s="20" t="inlineStr">
        <is>
          <t>Blind second scoring recommended</t>
        </is>
      </c>
      <c r="G120" s="20" t="inlineStr">
        <is>
          <t>Target ICC/weighted agreement ≥0.70 exploratory; ≥0.80 preferred for freeze</t>
        </is>
      </c>
      <c r="H120" s="20" t="inlineStr">
        <is>
          <t>Pilot N to be set by study design</t>
        </is>
      </c>
      <c r="I120" s="20" t="inlineStr">
        <is>
          <t>Pending</t>
        </is>
      </c>
      <c r="J120" s="20" t="inlineStr">
        <is>
          <t>Methodology Lead</t>
        </is>
      </c>
    </row>
    <row r="121">
      <c r="A121" s="20" t="inlineStr">
        <is>
          <t>D10</t>
        </is>
      </c>
      <c r="B121" s="20" t="inlineStr">
        <is>
          <t>I05</t>
        </is>
      </c>
      <c r="C121" s="20" t="inlineStr">
        <is>
          <t>Research Infrastructure Readiness</t>
        </is>
      </c>
      <c r="D121" s="20" t="inlineStr">
        <is>
          <t>5–10 anchor examples per metric before pilot</t>
        </is>
      </c>
      <c r="E121" s="20" t="inlineStr">
        <is>
          <t>2 independent assessors minimum</t>
        </is>
      </c>
      <c r="F121" s="20" t="inlineStr">
        <is>
          <t>Blind second scoring recommended</t>
        </is>
      </c>
      <c r="G121" s="20" t="inlineStr">
        <is>
          <t>Target ICC/weighted agreement ≥0.70 exploratory; ≥0.80 preferred for freeze</t>
        </is>
      </c>
      <c r="H121" s="20" t="inlineStr">
        <is>
          <t>Pilot N to be set by study design</t>
        </is>
      </c>
      <c r="I121" s="20" t="inlineStr">
        <is>
          <t>Pending</t>
        </is>
      </c>
      <c r="J121" s="20" t="inlineStr">
        <is>
          <t>Methodology Lead</t>
        </is>
      </c>
    </row>
    <row r="122">
      <c r="A122" s="20" t="inlineStr">
        <is>
          <t>D10</t>
        </is>
      </c>
      <c r="B122" s="20" t="inlineStr">
        <is>
          <t>I06</t>
        </is>
      </c>
      <c r="C122" s="20" t="inlineStr">
        <is>
          <t>Researcher Capability</t>
        </is>
      </c>
      <c r="D122" s="20" t="inlineStr">
        <is>
          <t>5–10 anchor examples per metric before pilot</t>
        </is>
      </c>
      <c r="E122" s="20" t="inlineStr">
        <is>
          <t>2 independent assessors minimum</t>
        </is>
      </c>
      <c r="F122" s="20" t="inlineStr">
        <is>
          <t>Blind second scoring recommended</t>
        </is>
      </c>
      <c r="G122" s="20" t="inlineStr">
        <is>
          <t>Target ICC/weighted agreement ≥0.70 exploratory; ≥0.80 preferred for freeze</t>
        </is>
      </c>
      <c r="H122" s="20" t="inlineStr">
        <is>
          <t>Pilot N to be set by study design</t>
        </is>
      </c>
      <c r="I122" s="20" t="inlineStr">
        <is>
          <t>Pending</t>
        </is>
      </c>
      <c r="J122" s="20" t="inlineStr">
        <is>
          <t>Methodology Lead</t>
        </is>
      </c>
    </row>
    <row r="123">
      <c r="A123" s="20" t="inlineStr">
        <is>
          <t>D10</t>
        </is>
      </c>
      <c r="B123" s="20" t="inlineStr">
        <is>
          <t>I07</t>
        </is>
      </c>
      <c r="C123" s="20" t="inlineStr">
        <is>
          <t>Research Funding Capability</t>
        </is>
      </c>
      <c r="D123" s="20" t="inlineStr">
        <is>
          <t>5–10 anchor examples per metric before pilot</t>
        </is>
      </c>
      <c r="E123" s="20" t="inlineStr">
        <is>
          <t>2 independent assessors minimum</t>
        </is>
      </c>
      <c r="F123" s="20" t="inlineStr">
        <is>
          <t>Blind second scoring recommended</t>
        </is>
      </c>
      <c r="G123" s="20" t="inlineStr">
        <is>
          <t>Target ICC/weighted agreement ≥0.70 exploratory; ≥0.80 preferred for freeze</t>
        </is>
      </c>
      <c r="H123" s="20" t="inlineStr">
        <is>
          <t>Pilot N to be set by study design</t>
        </is>
      </c>
      <c r="I123" s="20" t="inlineStr">
        <is>
          <t>Pending</t>
        </is>
      </c>
      <c r="J123" s="20" t="inlineStr">
        <is>
          <t>Methodology Lead</t>
        </is>
      </c>
    </row>
    <row r="124">
      <c r="A124" s="20" t="inlineStr">
        <is>
          <t>D10</t>
        </is>
      </c>
      <c r="B124" s="20" t="inlineStr">
        <is>
          <t>I08</t>
        </is>
      </c>
      <c r="C124" s="20" t="inlineStr">
        <is>
          <t>Knowledge Translation Capability</t>
        </is>
      </c>
      <c r="D124" s="20" t="inlineStr">
        <is>
          <t>5–10 anchor examples per metric before pilot</t>
        </is>
      </c>
      <c r="E124" s="20" t="inlineStr">
        <is>
          <t>2 independent assessors minimum</t>
        </is>
      </c>
      <c r="F124" s="20" t="inlineStr">
        <is>
          <t>Blind second scoring recommended</t>
        </is>
      </c>
      <c r="G124" s="20" t="inlineStr">
        <is>
          <t>Target ICC/weighted agreement ≥0.70 exploratory; ≥0.80 preferred for freeze</t>
        </is>
      </c>
      <c r="H124" s="20" t="inlineStr">
        <is>
          <t>Pilot N to be set by study design</t>
        </is>
      </c>
      <c r="I124" s="20" t="inlineStr">
        <is>
          <t>Pending</t>
        </is>
      </c>
      <c r="J124" s="20" t="inlineStr">
        <is>
          <t>Methodology Lead</t>
        </is>
      </c>
    </row>
    <row r="125">
      <c r="A125" s="20" t="inlineStr">
        <is>
          <t>D10</t>
        </is>
      </c>
      <c r="B125" s="20" t="inlineStr">
        <is>
          <t>I09</t>
        </is>
      </c>
      <c r="C125" s="20" t="inlineStr">
        <is>
          <t>Industry-Linked Research</t>
        </is>
      </c>
      <c r="D125" s="20" t="inlineStr">
        <is>
          <t>5–10 anchor examples per metric before pilot</t>
        </is>
      </c>
      <c r="E125" s="20" t="inlineStr">
        <is>
          <t>2 independent assessors minimum</t>
        </is>
      </c>
      <c r="F125" s="20" t="inlineStr">
        <is>
          <t>Blind second scoring recommended</t>
        </is>
      </c>
      <c r="G125" s="20" t="inlineStr">
        <is>
          <t>Target ICC/weighted agreement ≥0.70 exploratory; ≥0.80 preferred for freeze</t>
        </is>
      </c>
      <c r="H125" s="20" t="inlineStr">
        <is>
          <t>Pilot N to be set by study design</t>
        </is>
      </c>
      <c r="I125" s="20" t="inlineStr">
        <is>
          <t>Pending</t>
        </is>
      </c>
      <c r="J125" s="20" t="inlineStr">
        <is>
          <t>Methodology Lead</t>
        </is>
      </c>
    </row>
    <row r="126">
      <c r="A126" s="20" t="inlineStr">
        <is>
          <t>D10</t>
        </is>
      </c>
      <c r="B126" s="20" t="inlineStr">
        <is>
          <t>I10</t>
        </is>
      </c>
      <c r="C126" s="20" t="inlineStr">
        <is>
          <t>Research-to-Innovation Pipeline</t>
        </is>
      </c>
      <c r="D126" s="20" t="inlineStr">
        <is>
          <t>5–10 anchor examples per metric before pilot</t>
        </is>
      </c>
      <c r="E126" s="20" t="inlineStr">
        <is>
          <t>2 independent assessors minimum</t>
        </is>
      </c>
      <c r="F126" s="20" t="inlineStr">
        <is>
          <t>Blind second scoring recommended</t>
        </is>
      </c>
      <c r="G126" s="20" t="inlineStr">
        <is>
          <t>Target ICC/weighted agreement ≥0.70 exploratory; ≥0.80 preferred for freeze</t>
        </is>
      </c>
      <c r="H126" s="20" t="inlineStr">
        <is>
          <t>Pilot N to be set by study design</t>
        </is>
      </c>
      <c r="I126" s="20" t="inlineStr">
        <is>
          <t>Pending</t>
        </is>
      </c>
      <c r="J126" s="20" t="inlineStr">
        <is>
          <t>Methodology Lead</t>
        </is>
      </c>
    </row>
    <row r="127">
      <c r="A127" s="20" t="inlineStr">
        <is>
          <t>D10</t>
        </is>
      </c>
      <c r="B127" s="20" t="inlineStr">
        <is>
          <t>I11</t>
        </is>
      </c>
      <c r="C127" s="20" t="inlineStr">
        <is>
          <t>IP &amp; Knowledge Assets</t>
        </is>
      </c>
      <c r="D127" s="20" t="inlineStr">
        <is>
          <t>5–10 anchor examples per metric before pilot</t>
        </is>
      </c>
      <c r="E127" s="20" t="inlineStr">
        <is>
          <t>2 independent assessors minimum</t>
        </is>
      </c>
      <c r="F127" s="20" t="inlineStr">
        <is>
          <t>Blind second scoring recommended</t>
        </is>
      </c>
      <c r="G127" s="20" t="inlineStr">
        <is>
          <t>Target ICC/weighted agreement ≥0.70 exploratory; ≥0.80 preferred for freeze</t>
        </is>
      </c>
      <c r="H127" s="20" t="inlineStr">
        <is>
          <t>Pilot N to be set by study design</t>
        </is>
      </c>
      <c r="I127" s="20" t="inlineStr">
        <is>
          <t>Pending</t>
        </is>
      </c>
      <c r="J127" s="20" t="inlineStr">
        <is>
          <t>Methodology Lead</t>
        </is>
      </c>
    </row>
    <row r="128">
      <c r="A128" s="20" t="inlineStr">
        <is>
          <t>D10</t>
        </is>
      </c>
      <c r="B128" s="20" t="inlineStr">
        <is>
          <t>I12</t>
        </is>
      </c>
      <c r="C128" s="20" t="inlineStr">
        <is>
          <t>Research Integrity &amp; Responsible AI</t>
        </is>
      </c>
      <c r="D128" s="20" t="inlineStr">
        <is>
          <t>5–10 anchor examples per metric before pilot</t>
        </is>
      </c>
      <c r="E128" s="20" t="inlineStr">
        <is>
          <t>2 independent assessors minimum</t>
        </is>
      </c>
      <c r="F128" s="20" t="inlineStr">
        <is>
          <t>Blind second scoring recommended</t>
        </is>
      </c>
      <c r="G128" s="20" t="inlineStr">
        <is>
          <t>Target ICC/weighted agreement ≥0.70 exploratory; ≥0.80 preferred for freeze</t>
        </is>
      </c>
      <c r="H128" s="20" t="inlineStr">
        <is>
          <t>Pilot N to be set by study design</t>
        </is>
      </c>
      <c r="I128" s="20" t="inlineStr">
        <is>
          <t>Pending</t>
        </is>
      </c>
      <c r="J128" s="20" t="inlineStr">
        <is>
          <t>Methodology Lead</t>
        </is>
      </c>
    </row>
    <row r="129">
      <c r="A129" s="20" t="inlineStr">
        <is>
          <t>D10</t>
        </is>
      </c>
      <c r="B129" s="20" t="inlineStr">
        <is>
          <t>I13</t>
        </is>
      </c>
      <c r="C129" s="20" t="inlineStr">
        <is>
          <t>Research Impact Evidence</t>
        </is>
      </c>
      <c r="D129" s="20" t="inlineStr">
        <is>
          <t>5–10 anchor examples per metric before pilot</t>
        </is>
      </c>
      <c r="E129" s="20" t="inlineStr">
        <is>
          <t>2 independent assessors minimum</t>
        </is>
      </c>
      <c r="F129" s="20" t="inlineStr">
        <is>
          <t>Blind second scoring recommended</t>
        </is>
      </c>
      <c r="G129" s="20" t="inlineStr">
        <is>
          <t>Target ICC/weighted agreement ≥0.70 exploratory; ≥0.80 preferred for freeze</t>
        </is>
      </c>
      <c r="H129" s="20" t="inlineStr">
        <is>
          <t>Pilot N to be set by study design</t>
        </is>
      </c>
      <c r="I129" s="20" t="inlineStr">
        <is>
          <t>Pending</t>
        </is>
      </c>
      <c r="J129" s="20" t="inlineStr">
        <is>
          <t>Methodology Lead</t>
        </is>
      </c>
    </row>
    <row r="130">
      <c r="A130" s="20" t="inlineStr">
        <is>
          <t>D10</t>
        </is>
      </c>
      <c r="B130" s="20" t="inlineStr">
        <is>
          <t>I14</t>
        </is>
      </c>
      <c r="C130" s="20" t="inlineStr">
        <is>
          <t>Student Research Capability</t>
        </is>
      </c>
      <c r="D130" s="20" t="inlineStr">
        <is>
          <t>5–10 anchor examples per metric before pilot</t>
        </is>
      </c>
      <c r="E130" s="20" t="inlineStr">
        <is>
          <t>2 independent assessors minimum</t>
        </is>
      </c>
      <c r="F130" s="20" t="inlineStr">
        <is>
          <t>Blind second scoring recommended</t>
        </is>
      </c>
      <c r="G130" s="20" t="inlineStr">
        <is>
          <t>Target ICC/weighted agreement ≥0.70 exploratory; ≥0.80 preferred for freeze</t>
        </is>
      </c>
      <c r="H130" s="20" t="inlineStr">
        <is>
          <t>Pilot N to be set by study design</t>
        </is>
      </c>
      <c r="I130" s="20" t="inlineStr">
        <is>
          <t>Pending</t>
        </is>
      </c>
      <c r="J130" s="20" t="inlineStr">
        <is>
          <t>Methodology Lead</t>
        </is>
      </c>
    </row>
    <row r="131">
      <c r="A131" s="20" t="inlineStr">
        <is>
          <t>D11</t>
        </is>
      </c>
      <c r="B131" s="20" t="inlineStr">
        <is>
          <t>I01</t>
        </is>
      </c>
      <c r="C131" s="20" t="inlineStr">
        <is>
          <t>External Change Sensing</t>
        </is>
      </c>
      <c r="D131" s="20" t="inlineStr">
        <is>
          <t>5–10 anchor examples per metric before pilot</t>
        </is>
      </c>
      <c r="E131" s="20" t="inlineStr">
        <is>
          <t>2 independent assessors minimum</t>
        </is>
      </c>
      <c r="F131" s="20" t="inlineStr">
        <is>
          <t>Blind second scoring recommended</t>
        </is>
      </c>
      <c r="G131" s="20" t="inlineStr">
        <is>
          <t>Target ICC/weighted agreement ≥0.70 exploratory; ≥0.80 preferred for freeze</t>
        </is>
      </c>
      <c r="H131" s="20" t="inlineStr">
        <is>
          <t>Pilot N to be set by study design</t>
        </is>
      </c>
      <c r="I131" s="20" t="inlineStr">
        <is>
          <t>Pending</t>
        </is>
      </c>
      <c r="J131" s="20" t="inlineStr">
        <is>
          <t>Methodology Lead</t>
        </is>
      </c>
    </row>
    <row r="132">
      <c r="A132" s="20" t="inlineStr">
        <is>
          <t>D11</t>
        </is>
      </c>
      <c r="B132" s="20" t="inlineStr">
        <is>
          <t>I02</t>
        </is>
      </c>
      <c r="C132" s="20" t="inlineStr">
        <is>
          <t>Strategic Response Agility</t>
        </is>
      </c>
      <c r="D132" s="20" t="inlineStr">
        <is>
          <t>5–10 anchor examples per metric before pilot</t>
        </is>
      </c>
      <c r="E132" s="20" t="inlineStr">
        <is>
          <t>2 independent assessors minimum</t>
        </is>
      </c>
      <c r="F132" s="20" t="inlineStr">
        <is>
          <t>Blind second scoring recommended</t>
        </is>
      </c>
      <c r="G132" s="20" t="inlineStr">
        <is>
          <t>Target ICC/weighted agreement ≥0.70 exploratory; ≥0.80 preferred for freeze</t>
        </is>
      </c>
      <c r="H132" s="20" t="inlineStr">
        <is>
          <t>Pilot N to be set by study design</t>
        </is>
      </c>
      <c r="I132" s="20" t="inlineStr">
        <is>
          <t>Pending</t>
        </is>
      </c>
      <c r="J132" s="20" t="inlineStr">
        <is>
          <t>Methodology Lead</t>
        </is>
      </c>
    </row>
    <row r="133">
      <c r="A133" s="20" t="inlineStr">
        <is>
          <t>D11</t>
        </is>
      </c>
      <c r="B133" s="20" t="inlineStr">
        <is>
          <t>I03</t>
        </is>
      </c>
      <c r="C133" s="20" t="inlineStr">
        <is>
          <t>Adaptive Decision Architecture</t>
        </is>
      </c>
      <c r="D133" s="20" t="inlineStr">
        <is>
          <t>5–10 anchor examples per metric before pilot</t>
        </is>
      </c>
      <c r="E133" s="20" t="inlineStr">
        <is>
          <t>2 independent assessors minimum</t>
        </is>
      </c>
      <c r="F133" s="20" t="inlineStr">
        <is>
          <t>Blind second scoring recommended</t>
        </is>
      </c>
      <c r="G133" s="20" t="inlineStr">
        <is>
          <t>Target ICC/weighted agreement ≥0.70 exploratory; ≥0.80 preferred for freeze</t>
        </is>
      </c>
      <c r="H133" s="20" t="inlineStr">
        <is>
          <t>Pilot N to be set by study design</t>
        </is>
      </c>
      <c r="I133" s="20" t="inlineStr">
        <is>
          <t>Pending</t>
        </is>
      </c>
      <c r="J133" s="20" t="inlineStr">
        <is>
          <t>Methodology Lead</t>
        </is>
      </c>
    </row>
    <row r="134">
      <c r="A134" s="20" t="inlineStr">
        <is>
          <t>D11</t>
        </is>
      </c>
      <c r="B134" s="20" t="inlineStr">
        <is>
          <t>I04</t>
        </is>
      </c>
      <c r="C134" s="20" t="inlineStr">
        <is>
          <t>Resource Reallocation Agility</t>
        </is>
      </c>
      <c r="D134" s="20" t="inlineStr">
        <is>
          <t>5–10 anchor examples per metric before pilot</t>
        </is>
      </c>
      <c r="E134" s="20" t="inlineStr">
        <is>
          <t>2 independent assessors minimum</t>
        </is>
      </c>
      <c r="F134" s="20" t="inlineStr">
        <is>
          <t>Blind second scoring recommended</t>
        </is>
      </c>
      <c r="G134" s="20" t="inlineStr">
        <is>
          <t>Target ICC/weighted agreement ≥0.70 exploratory; ≥0.80 preferred for freeze</t>
        </is>
      </c>
      <c r="H134" s="20" t="inlineStr">
        <is>
          <t>Pilot N to be set by study design</t>
        </is>
      </c>
      <c r="I134" s="20" t="inlineStr">
        <is>
          <t>Pending</t>
        </is>
      </c>
      <c r="J134" s="20" t="inlineStr">
        <is>
          <t>Methodology Lead</t>
        </is>
      </c>
    </row>
    <row r="135">
      <c r="A135" s="20" t="inlineStr">
        <is>
          <t>D11</t>
        </is>
      </c>
      <c r="B135" s="20" t="inlineStr">
        <is>
          <t>I05</t>
        </is>
      </c>
      <c r="C135" s="20" t="inlineStr">
        <is>
          <t>Institutional Experimentation</t>
        </is>
      </c>
      <c r="D135" s="20" t="inlineStr">
        <is>
          <t>5–10 anchor examples per metric before pilot</t>
        </is>
      </c>
      <c r="E135" s="20" t="inlineStr">
        <is>
          <t>2 independent assessors minimum</t>
        </is>
      </c>
      <c r="F135" s="20" t="inlineStr">
        <is>
          <t>Blind second scoring recommended</t>
        </is>
      </c>
      <c r="G135" s="20" t="inlineStr">
        <is>
          <t>Target ICC/weighted agreement ≥0.70 exploratory; ≥0.80 preferred for freeze</t>
        </is>
      </c>
      <c r="H135" s="20" t="inlineStr">
        <is>
          <t>Pilot N to be set by study design</t>
        </is>
      </c>
      <c r="I135" s="20" t="inlineStr">
        <is>
          <t>Pending</t>
        </is>
      </c>
      <c r="J135" s="20" t="inlineStr">
        <is>
          <t>Methodology Lead</t>
        </is>
      </c>
    </row>
    <row r="136">
      <c r="A136" s="20" t="inlineStr">
        <is>
          <t>D11</t>
        </is>
      </c>
      <c r="B136" s="20" t="inlineStr">
        <is>
          <t>I06</t>
        </is>
      </c>
      <c r="C136" s="20" t="inlineStr">
        <is>
          <t>Failure-to-Learning Capability</t>
        </is>
      </c>
      <c r="D136" s="20" t="inlineStr">
        <is>
          <t>5–10 anchor examples per metric before pilot</t>
        </is>
      </c>
      <c r="E136" s="20" t="inlineStr">
        <is>
          <t>2 independent assessors minimum</t>
        </is>
      </c>
      <c r="F136" s="20" t="inlineStr">
        <is>
          <t>Blind second scoring recommended</t>
        </is>
      </c>
      <c r="G136" s="20" t="inlineStr">
        <is>
          <t>Target ICC/weighted agreement ≥0.70 exploratory; ≥0.80 preferred for freeze</t>
        </is>
      </c>
      <c r="H136" s="20" t="inlineStr">
        <is>
          <t>Pilot N to be set by study design</t>
        </is>
      </c>
      <c r="I136" s="20" t="inlineStr">
        <is>
          <t>Pending</t>
        </is>
      </c>
      <c r="J136" s="20" t="inlineStr">
        <is>
          <t>Methodology Lead</t>
        </is>
      </c>
    </row>
    <row r="137">
      <c r="A137" s="20" t="inlineStr">
        <is>
          <t>D11</t>
        </is>
      </c>
      <c r="B137" s="20" t="inlineStr">
        <is>
          <t>I07</t>
        </is>
      </c>
      <c r="C137" s="20" t="inlineStr">
        <is>
          <t>Change Management Capacity</t>
        </is>
      </c>
      <c r="D137" s="20" t="inlineStr">
        <is>
          <t>5–10 anchor examples per metric before pilot</t>
        </is>
      </c>
      <c r="E137" s="20" t="inlineStr">
        <is>
          <t>2 independent assessors minimum</t>
        </is>
      </c>
      <c r="F137" s="20" t="inlineStr">
        <is>
          <t>Blind second scoring recommended</t>
        </is>
      </c>
      <c r="G137" s="20" t="inlineStr">
        <is>
          <t>Target ICC/weighted agreement ≥0.70 exploratory; ≥0.80 preferred for freeze</t>
        </is>
      </c>
      <c r="H137" s="20" t="inlineStr">
        <is>
          <t>Pilot N to be set by study design</t>
        </is>
      </c>
      <c r="I137" s="20" t="inlineStr">
        <is>
          <t>Pending</t>
        </is>
      </c>
      <c r="J137" s="20" t="inlineStr">
        <is>
          <t>Methodology Lead</t>
        </is>
      </c>
    </row>
    <row r="138">
      <c r="A138" s="20" t="inlineStr">
        <is>
          <t>D11</t>
        </is>
      </c>
      <c r="B138" s="20" t="inlineStr">
        <is>
          <t>I08</t>
        </is>
      </c>
      <c r="C138" s="20" t="inlineStr">
        <is>
          <t>Adaptive Leadership Alignment</t>
        </is>
      </c>
      <c r="D138" s="20" t="inlineStr">
        <is>
          <t>5–10 anchor examples per metric before pilot</t>
        </is>
      </c>
      <c r="E138" s="20" t="inlineStr">
        <is>
          <t>2 independent assessors minimum</t>
        </is>
      </c>
      <c r="F138" s="20" t="inlineStr">
        <is>
          <t>Blind second scoring recommended</t>
        </is>
      </c>
      <c r="G138" s="20" t="inlineStr">
        <is>
          <t>Target ICC/weighted agreement ≥0.70 exploratory; ≥0.80 preferred for freeze</t>
        </is>
      </c>
      <c r="H138" s="20" t="inlineStr">
        <is>
          <t>Pilot N to be set by study design</t>
        </is>
      </c>
      <c r="I138" s="20" t="inlineStr">
        <is>
          <t>Pending</t>
        </is>
      </c>
      <c r="J138" s="20" t="inlineStr">
        <is>
          <t>Methodology Lead</t>
        </is>
      </c>
    </row>
    <row r="139">
      <c r="A139" s="20" t="inlineStr">
        <is>
          <t>D11</t>
        </is>
      </c>
      <c r="B139" s="20" t="inlineStr">
        <is>
          <t>I09</t>
        </is>
      </c>
      <c r="C139" s="20" t="inlineStr">
        <is>
          <t>Learner Signal Responsiveness</t>
        </is>
      </c>
      <c r="D139" s="20" t="inlineStr">
        <is>
          <t>5–10 anchor examples per metric before pilot</t>
        </is>
      </c>
      <c r="E139" s="20" t="inlineStr">
        <is>
          <t>2 independent assessors minimum</t>
        </is>
      </c>
      <c r="F139" s="20" t="inlineStr">
        <is>
          <t>Blind second scoring recommended</t>
        </is>
      </c>
      <c r="G139" s="20" t="inlineStr">
        <is>
          <t>Target ICC/weighted agreement ≥0.70 exploratory; ≥0.80 preferred for freeze</t>
        </is>
      </c>
      <c r="H139" s="20" t="inlineStr">
        <is>
          <t>Pilot N to be set by study design</t>
        </is>
      </c>
      <c r="I139" s="20" t="inlineStr">
        <is>
          <t>Pending</t>
        </is>
      </c>
      <c r="J139" s="20" t="inlineStr">
        <is>
          <t>Methodology Lead</t>
        </is>
      </c>
    </row>
    <row r="140">
      <c r="A140" s="20" t="inlineStr">
        <is>
          <t>D11</t>
        </is>
      </c>
      <c r="B140" s="20" t="inlineStr">
        <is>
          <t>I10</t>
        </is>
      </c>
      <c r="C140" s="20" t="inlineStr">
        <is>
          <t>Economic &amp; Workforce Responsiveness</t>
        </is>
      </c>
      <c r="D140" s="20" t="inlineStr">
        <is>
          <t>5–10 anchor examples per metric before pilot</t>
        </is>
      </c>
      <c r="E140" s="20" t="inlineStr">
        <is>
          <t>2 independent assessors minimum</t>
        </is>
      </c>
      <c r="F140" s="20" t="inlineStr">
        <is>
          <t>Blind second scoring recommended</t>
        </is>
      </c>
      <c r="G140" s="20" t="inlineStr">
        <is>
          <t>Target ICC/weighted agreement ≥0.70 exploratory; ≥0.80 preferred for freeze</t>
        </is>
      </c>
      <c r="H140" s="20" t="inlineStr">
        <is>
          <t>Pilot N to be set by study design</t>
        </is>
      </c>
      <c r="I140" s="20" t="inlineStr">
        <is>
          <t>Pending</t>
        </is>
      </c>
      <c r="J140" s="20" t="inlineStr">
        <is>
          <t>Methodology Lead</t>
        </is>
      </c>
    </row>
    <row r="141">
      <c r="A141" s="20" t="inlineStr">
        <is>
          <t>D11</t>
        </is>
      </c>
      <c r="B141" s="20" t="inlineStr">
        <is>
          <t>I11</t>
        </is>
      </c>
      <c r="C141" s="20" t="inlineStr">
        <is>
          <t>Scenario Planning Capability</t>
        </is>
      </c>
      <c r="D141" s="20" t="inlineStr">
        <is>
          <t>5–10 anchor examples per metric before pilot</t>
        </is>
      </c>
      <c r="E141" s="20" t="inlineStr">
        <is>
          <t>2 independent assessors minimum</t>
        </is>
      </c>
      <c r="F141" s="20" t="inlineStr">
        <is>
          <t>Blind second scoring recommended</t>
        </is>
      </c>
      <c r="G141" s="20" t="inlineStr">
        <is>
          <t>Target ICC/weighted agreement ≥0.70 exploratory; ≥0.80 preferred for freeze</t>
        </is>
      </c>
      <c r="H141" s="20" t="inlineStr">
        <is>
          <t>Pilot N to be set by study design</t>
        </is>
      </c>
      <c r="I141" s="20" t="inlineStr">
        <is>
          <t>Pending</t>
        </is>
      </c>
      <c r="J141" s="20" t="inlineStr">
        <is>
          <t>Methodology Lead</t>
        </is>
      </c>
    </row>
    <row r="142">
      <c r="A142" s="20" t="inlineStr">
        <is>
          <t>D11</t>
        </is>
      </c>
      <c r="B142" s="20" t="inlineStr">
        <is>
          <t>I12</t>
        </is>
      </c>
      <c r="C142" s="20" t="inlineStr">
        <is>
          <t>Institutional Resilience</t>
        </is>
      </c>
      <c r="D142" s="20" t="inlineStr">
        <is>
          <t>5–10 anchor examples per metric before pilot</t>
        </is>
      </c>
      <c r="E142" s="20" t="inlineStr">
        <is>
          <t>2 independent assessors minimum</t>
        </is>
      </c>
      <c r="F142" s="20" t="inlineStr">
        <is>
          <t>Blind second scoring recommended</t>
        </is>
      </c>
      <c r="G142" s="20" t="inlineStr">
        <is>
          <t>Target ICC/weighted agreement ≥0.70 exploratory; ≥0.80 preferred for freeze</t>
        </is>
      </c>
      <c r="H142" s="20" t="inlineStr">
        <is>
          <t>Pilot N to be set by study design</t>
        </is>
      </c>
      <c r="I142" s="20" t="inlineStr">
        <is>
          <t>Pending</t>
        </is>
      </c>
      <c r="J142" s="20" t="inlineStr">
        <is>
          <t>Methodology Lead</t>
        </is>
      </c>
    </row>
    <row r="143">
      <c r="A143" s="20" t="inlineStr">
        <is>
          <t>D11</t>
        </is>
      </c>
      <c r="B143" s="20" t="inlineStr">
        <is>
          <t>I13</t>
        </is>
      </c>
      <c r="C143" s="20" t="inlineStr">
        <is>
          <t>Institutional Learning System</t>
        </is>
      </c>
      <c r="D143" s="20" t="inlineStr">
        <is>
          <t>5–10 anchor examples per metric before pilot</t>
        </is>
      </c>
      <c r="E143" s="20" t="inlineStr">
        <is>
          <t>2 independent assessors minimum</t>
        </is>
      </c>
      <c r="F143" s="20" t="inlineStr">
        <is>
          <t>Blind second scoring recommended</t>
        </is>
      </c>
      <c r="G143" s="20" t="inlineStr">
        <is>
          <t>Target ICC/weighted agreement ≥0.70 exploratory; ≥0.80 preferred for freeze</t>
        </is>
      </c>
      <c r="H143" s="20" t="inlineStr">
        <is>
          <t>Pilot N to be set by study design</t>
        </is>
      </c>
      <c r="I143" s="20" t="inlineStr">
        <is>
          <t>Pending</t>
        </is>
      </c>
      <c r="J143" s="20" t="inlineStr">
        <is>
          <t>Methodology Lead</t>
        </is>
      </c>
    </row>
    <row r="144">
      <c r="A144" s="20" t="inlineStr">
        <is>
          <t>D11</t>
        </is>
      </c>
      <c r="B144" s="20" t="inlineStr">
        <is>
          <t>I14</t>
        </is>
      </c>
      <c r="C144" s="20" t="inlineStr">
        <is>
          <t>Future Transformation Capacity</t>
        </is>
      </c>
      <c r="D144" s="20" t="inlineStr">
        <is>
          <t>5–10 anchor examples per metric before pilot</t>
        </is>
      </c>
      <c r="E144" s="20" t="inlineStr">
        <is>
          <t>2 independent assessors minimum</t>
        </is>
      </c>
      <c r="F144" s="20" t="inlineStr">
        <is>
          <t>Blind second scoring recommended</t>
        </is>
      </c>
      <c r="G144" s="20" t="inlineStr">
        <is>
          <t>Target ICC/weighted agreement ≥0.70 exploratory; ≥0.80 preferred for freeze</t>
        </is>
      </c>
      <c r="H144" s="20" t="inlineStr">
        <is>
          <t>Pilot N to be set by study design</t>
        </is>
      </c>
      <c r="I144" s="20" t="inlineStr">
        <is>
          <t>Pending</t>
        </is>
      </c>
      <c r="J144" s="20" t="inlineStr">
        <is>
          <t>Methodology Lead</t>
        </is>
      </c>
    </row>
  </sheetData>
  <autoFilter ref="A1:J144"/>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55" customWidth="1" min="3" max="3"/>
    <col width="18" customWidth="1" min="4" max="4"/>
    <col width="18" customWidth="1" min="5" max="5"/>
    <col width="18" customWidth="1" min="6" max="6"/>
    <col width="24" customWidth="1" min="7" max="7"/>
    <col width="24" customWidth="1" min="8" max="8"/>
    <col width="25" customWidth="1" min="9" max="9"/>
    <col width="35" customWidth="1" min="10" max="10"/>
  </cols>
  <sheetData>
    <row r="1">
      <c r="A1" s="19" t="inlineStr">
        <is>
          <t>Metric ID</t>
        </is>
      </c>
      <c r="B1" s="19" t="inlineStr">
        <is>
          <t>Metric</t>
        </is>
      </c>
      <c r="C1" s="19" t="inlineStr">
        <is>
          <t>Calibration Protocol</t>
        </is>
      </c>
      <c r="D1" s="19" t="inlineStr">
        <is>
          <t>Assessor A</t>
        </is>
      </c>
      <c r="E1" s="19" t="inlineStr">
        <is>
          <t>Assessor B</t>
        </is>
      </c>
      <c r="F1" s="19" t="inlineStr">
        <is>
          <t>Absolute Difference</t>
        </is>
      </c>
      <c r="G1" s="19" t="inlineStr">
        <is>
          <t>Agreement Status</t>
        </is>
      </c>
      <c r="H1" s="19" t="inlineStr">
        <is>
          <t>Adjudication Required?</t>
        </is>
      </c>
      <c r="I1" s="19" t="inlineStr">
        <is>
          <t>Final Calibrated Score</t>
        </is>
      </c>
      <c r="J1" s="19" t="inlineStr">
        <is>
          <t>Notes</t>
        </is>
      </c>
    </row>
    <row r="2">
      <c r="A2" s="20" t="inlineStr">
        <is>
          <t>I01</t>
        </is>
      </c>
      <c r="B2" s="20" t="inlineStr">
        <is>
          <t>Strategic AI Integration</t>
        </is>
      </c>
      <c r="C2" s="20" t="inlineStr">
        <is>
          <t>Use domain-specific anchor + metric rule + evidence gate</t>
        </is>
      </c>
      <c r="D2" s="20" t="inlineStr">
        <is>
          <t>Independent assessor A score</t>
        </is>
      </c>
      <c r="E2" s="20" t="inlineStr">
        <is>
          <t>Independent assessor B score</t>
        </is>
      </c>
      <c r="F2" s="20">
        <f>IF(OR(D2="",E2=""),"",ABS(D2-E2))</f>
        <v/>
      </c>
      <c r="G2" s="20">
        <f>IF(F2="","PENDING",IF(F2&lt;=1,"AGREE","REVIEW"))</f>
        <v/>
      </c>
      <c r="H2" s="20">
        <f>IF(G2="REVIEW","Y","N")</f>
        <v/>
      </c>
      <c r="I2" s="20" t="inlineStr">
        <is>
          <t>Final calibrated score</t>
        </is>
      </c>
      <c r="J2" s="20" t="inlineStr">
        <is>
          <t>Notes</t>
        </is>
      </c>
    </row>
    <row r="3">
      <c r="A3" s="20" t="inlineStr">
        <is>
          <t>I02</t>
        </is>
      </c>
      <c r="B3" s="20" t="inlineStr">
        <is>
          <t>Future Foresight Maturity</t>
        </is>
      </c>
      <c r="C3" s="20" t="inlineStr">
        <is>
          <t>Use domain-specific anchor + metric rule + evidence gate</t>
        </is>
      </c>
      <c r="D3" s="20" t="inlineStr">
        <is>
          <t>Independent assessor A score</t>
        </is>
      </c>
      <c r="E3" s="20" t="inlineStr">
        <is>
          <t>Independent assessor B score</t>
        </is>
      </c>
      <c r="F3" s="20">
        <f>IF(OR(D3="",E3=""),"",ABS(D3-E3))</f>
        <v/>
      </c>
      <c r="G3" s="20">
        <f>IF(F3="","PENDING",IF(F3&lt;=1,"AGREE","REVIEW"))</f>
        <v/>
      </c>
      <c r="H3" s="20">
        <f>IF(G3="REVIEW","Y","N")</f>
        <v/>
      </c>
      <c r="I3" s="20" t="inlineStr">
        <is>
          <t>Final calibrated score</t>
        </is>
      </c>
      <c r="J3" s="20" t="inlineStr">
        <is>
          <t>Notes</t>
        </is>
      </c>
    </row>
    <row r="4">
      <c r="A4" s="20" t="inlineStr">
        <is>
          <t>I03</t>
        </is>
      </c>
      <c r="B4" s="20" t="inlineStr">
        <is>
          <t>Strategic Translation Rate</t>
        </is>
      </c>
      <c r="C4" s="20" t="inlineStr">
        <is>
          <t>Use domain-specific anchor + metric rule + evidence gate</t>
        </is>
      </c>
      <c r="D4" s="20" t="inlineStr">
        <is>
          <t>Independent assessor A score</t>
        </is>
      </c>
      <c r="E4" s="20" t="inlineStr">
        <is>
          <t>Independent assessor B score</t>
        </is>
      </c>
      <c r="F4" s="20">
        <f>IF(OR(D4="",E4=""),"",ABS(D4-E4))</f>
        <v/>
      </c>
      <c r="G4" s="20">
        <f>IF(F4="","PENDING",IF(F4&lt;=1,"AGREE","REVIEW"))</f>
        <v/>
      </c>
      <c r="H4" s="20">
        <f>IF(G4="REVIEW","Y","N")</f>
        <v/>
      </c>
      <c r="I4" s="20" t="inlineStr">
        <is>
          <t>Final calibrated score</t>
        </is>
      </c>
      <c r="J4" s="20" t="inlineStr">
        <is>
          <t>Notes</t>
        </is>
      </c>
    </row>
    <row r="5">
      <c r="A5" s="20" t="inlineStr">
        <is>
          <t>I04</t>
        </is>
      </c>
      <c r="B5" s="20" t="inlineStr">
        <is>
          <t>Programme Future-Review Coverage</t>
        </is>
      </c>
      <c r="C5" s="20" t="inlineStr">
        <is>
          <t>Use domain-specific anchor + metric rule + evidence gate</t>
        </is>
      </c>
      <c r="D5" s="20" t="inlineStr">
        <is>
          <t>Independent assessor A score</t>
        </is>
      </c>
      <c r="E5" s="20" t="inlineStr">
        <is>
          <t>Independent assessor B score</t>
        </is>
      </c>
      <c r="F5" s="20">
        <f>IF(OR(D5="",E5=""),"",ABS(D5-E5))</f>
        <v/>
      </c>
      <c r="G5" s="20">
        <f>IF(F5="","PENDING",IF(F5&lt;=1,"AGREE","REVIEW"))</f>
        <v/>
      </c>
      <c r="H5" s="20">
        <f>IF(G5="REVIEW","Y","N")</f>
        <v/>
      </c>
      <c r="I5" s="20" t="inlineStr">
        <is>
          <t>Final calibrated score</t>
        </is>
      </c>
      <c r="J5" s="20" t="inlineStr">
        <is>
          <t>Notes</t>
        </is>
      </c>
    </row>
    <row r="6">
      <c r="A6" s="20" t="inlineStr">
        <is>
          <t>I05</t>
        </is>
      </c>
      <c r="B6" s="20" t="inlineStr">
        <is>
          <t>Strategic Differentiation Clarity</t>
        </is>
      </c>
      <c r="C6" s="20" t="inlineStr">
        <is>
          <t>Use domain-specific anchor + metric rule + evidence gate</t>
        </is>
      </c>
      <c r="D6" s="20" t="inlineStr">
        <is>
          <t>Independent assessor A score</t>
        </is>
      </c>
      <c r="E6" s="20" t="inlineStr">
        <is>
          <t>Independent assessor B score</t>
        </is>
      </c>
      <c r="F6" s="20">
        <f>IF(OR(D6="",E6=""),"",ABS(D6-E6))</f>
        <v/>
      </c>
      <c r="G6" s="20">
        <f>IF(F6="","PENDING",IF(F6&lt;=1,"AGREE","REVIEW"))</f>
        <v/>
      </c>
      <c r="H6" s="20">
        <f>IF(G6="REVIEW","Y","N")</f>
        <v/>
      </c>
      <c r="I6" s="20" t="inlineStr">
        <is>
          <t>Final calibrated score</t>
        </is>
      </c>
      <c r="J6" s="20" t="inlineStr">
        <is>
          <t>Notes</t>
        </is>
      </c>
    </row>
    <row r="7">
      <c r="A7" s="20" t="inlineStr">
        <is>
          <t>I06</t>
        </is>
      </c>
      <c r="B7" s="20" t="inlineStr">
        <is>
          <t>Foresight Response Architecture</t>
        </is>
      </c>
      <c r="C7" s="20" t="inlineStr">
        <is>
          <t>Use domain-specific anchor + metric rule + evidence gate</t>
        </is>
      </c>
      <c r="D7" s="20" t="inlineStr">
        <is>
          <t>Independent assessor A score</t>
        </is>
      </c>
      <c r="E7" s="20" t="inlineStr">
        <is>
          <t>Independent assessor B score</t>
        </is>
      </c>
      <c r="F7" s="20">
        <f>IF(OR(D7="",E7=""),"",ABS(D7-E7))</f>
        <v/>
      </c>
      <c r="G7" s="20">
        <f>IF(F7="","PENDING",IF(F7&lt;=1,"AGREE","REVIEW"))</f>
        <v/>
      </c>
      <c r="H7" s="20">
        <f>IF(G7="REVIEW","Y","N")</f>
        <v/>
      </c>
      <c r="I7" s="20" t="inlineStr">
        <is>
          <t>Final calibrated score</t>
        </is>
      </c>
      <c r="J7" s="20" t="inlineStr">
        <is>
          <t>Notes</t>
        </is>
      </c>
    </row>
    <row r="8">
      <c r="A8" s="20" t="inlineStr">
        <is>
          <t>I07</t>
        </is>
      </c>
      <c r="B8" s="20" t="inlineStr">
        <is>
          <t>Resource Alignment</t>
        </is>
      </c>
      <c r="C8" s="20" t="inlineStr">
        <is>
          <t>Use domain-specific anchor + metric rule + evidence gate</t>
        </is>
      </c>
      <c r="D8" s="20" t="inlineStr">
        <is>
          <t>Independent assessor A score</t>
        </is>
      </c>
      <c r="E8" s="20" t="inlineStr">
        <is>
          <t>Independent assessor B score</t>
        </is>
      </c>
      <c r="F8" s="20">
        <f>IF(OR(D8="",E8=""),"",ABS(D8-E8))</f>
        <v/>
      </c>
      <c r="G8" s="20">
        <f>IF(F8="","PENDING",IF(F8&lt;=1,"AGREE","REVIEW"))</f>
        <v/>
      </c>
      <c r="H8" s="20">
        <f>IF(G8="REVIEW","Y","N")</f>
        <v/>
      </c>
      <c r="I8" s="20" t="inlineStr">
        <is>
          <t>Final calibrated score</t>
        </is>
      </c>
      <c r="J8" s="20" t="inlineStr">
        <is>
          <t>Notes</t>
        </is>
      </c>
    </row>
    <row r="9">
      <c r="A9" s="20" t="inlineStr">
        <is>
          <t>I08</t>
        </is>
      </c>
      <c r="B9" s="20" t="inlineStr">
        <is>
          <t>Leadership Alignment</t>
        </is>
      </c>
      <c r="C9" s="20" t="inlineStr">
        <is>
          <t>Use domain-specific anchor + metric rule + evidence gate</t>
        </is>
      </c>
      <c r="D9" s="20" t="inlineStr">
        <is>
          <t>Independent assessor A score</t>
        </is>
      </c>
      <c r="E9" s="20" t="inlineStr">
        <is>
          <t>Independent assessor B score</t>
        </is>
      </c>
      <c r="F9" s="20">
        <f>IF(OR(D9="",E9=""),"",ABS(D9-E9))</f>
        <v/>
      </c>
      <c r="G9" s="20">
        <f>IF(F9="","PENDING",IF(F9&lt;=1,"AGREE","REVIEW"))</f>
        <v/>
      </c>
      <c r="H9" s="20">
        <f>IF(G9="REVIEW","Y","N")</f>
        <v/>
      </c>
      <c r="I9" s="20" t="inlineStr">
        <is>
          <t>Final calibrated score</t>
        </is>
      </c>
      <c r="J9" s="20" t="inlineStr">
        <is>
          <t>Notes</t>
        </is>
      </c>
    </row>
    <row r="10">
      <c r="A10" s="20" t="inlineStr">
        <is>
          <t>I09</t>
        </is>
      </c>
      <c r="B10" s="20" t="inlineStr">
        <is>
          <t>Experimentation Effectiveness</t>
        </is>
      </c>
      <c r="C10" s="20" t="inlineStr">
        <is>
          <t>Use domain-specific anchor + metric rule + evidence gate</t>
        </is>
      </c>
      <c r="D10" s="20" t="inlineStr">
        <is>
          <t>Independent assessor A score</t>
        </is>
      </c>
      <c r="E10" s="20" t="inlineStr">
        <is>
          <t>Independent assessor B score</t>
        </is>
      </c>
      <c r="F10" s="20">
        <f>IF(OR(D10="",E10=""),"",ABS(D10-E10))</f>
        <v/>
      </c>
      <c r="G10" s="20">
        <f>IF(F10="","PENDING",IF(F10&lt;=1,"AGREE","REVIEW"))</f>
        <v/>
      </c>
      <c r="H10" s="20">
        <f>IF(G10="REVIEW","Y","N")</f>
        <v/>
      </c>
      <c r="I10" s="20" t="inlineStr">
        <is>
          <t>Final calibrated score</t>
        </is>
      </c>
      <c r="J10" s="20" t="inlineStr">
        <is>
          <t>Notes</t>
        </is>
      </c>
    </row>
    <row r="11">
      <c r="A11" s="20" t="inlineStr">
        <is>
          <t>I10</t>
        </is>
      </c>
      <c r="B11" s="20" t="inlineStr">
        <is>
          <t>Strategic Learning Rate</t>
        </is>
      </c>
      <c r="C11" s="20" t="inlineStr">
        <is>
          <t>Use domain-specific anchor + metric rule + evidence gate</t>
        </is>
      </c>
      <c r="D11" s="20" t="inlineStr">
        <is>
          <t>Independent assessor A score</t>
        </is>
      </c>
      <c r="E11" s="20" t="inlineStr">
        <is>
          <t>Independent assessor B score</t>
        </is>
      </c>
      <c r="F11" s="20">
        <f>IF(OR(D11="",E11=""),"",ABS(D11-E11))</f>
        <v/>
      </c>
      <c r="G11" s="20">
        <f>IF(F11="","PENDING",IF(F11&lt;=1,"AGREE","REVIEW"))</f>
        <v/>
      </c>
      <c r="H11" s="20">
        <f>IF(G11="REVIEW","Y","N")</f>
        <v/>
      </c>
      <c r="I11" s="20" t="inlineStr">
        <is>
          <t>Final calibrated score</t>
        </is>
      </c>
      <c r="J11" s="20" t="inlineStr">
        <is>
          <t>Notes</t>
        </is>
      </c>
    </row>
    <row r="12">
      <c r="A12" s="20" t="inlineStr">
        <is>
          <t>I01</t>
        </is>
      </c>
      <c r="B12" s="20" t="inlineStr">
        <is>
          <t>Governance Ownership</t>
        </is>
      </c>
      <c r="C12" s="20" t="inlineStr">
        <is>
          <t>Use domain-specific anchor + metric rule + evidence gate</t>
        </is>
      </c>
      <c r="D12" s="20" t="inlineStr">
        <is>
          <t>Independent assessor A score</t>
        </is>
      </c>
      <c r="E12" s="20" t="inlineStr">
        <is>
          <t>Independent assessor B score</t>
        </is>
      </c>
      <c r="F12" s="20">
        <f>IF(OR(D12="",E12=""),"",ABS(D12-E12))</f>
        <v/>
      </c>
      <c r="G12" s="20">
        <f>IF(F12="","PENDING",IF(F12&lt;=1,"AGREE","REVIEW"))</f>
        <v/>
      </c>
      <c r="H12" s="20">
        <f>IF(G12="REVIEW","Y","N")</f>
        <v/>
      </c>
      <c r="I12" s="20" t="inlineStr">
        <is>
          <t>Final calibrated score</t>
        </is>
      </c>
      <c r="J12" s="20" t="inlineStr">
        <is>
          <t>Notes</t>
        </is>
      </c>
    </row>
    <row r="13">
      <c r="A13" s="20" t="inlineStr">
        <is>
          <t>I02</t>
        </is>
      </c>
      <c r="B13" s="20" t="inlineStr">
        <is>
          <t>Decision Architecture</t>
        </is>
      </c>
      <c r="C13" s="20" t="inlineStr">
        <is>
          <t>Use domain-specific anchor + metric rule + evidence gate</t>
        </is>
      </c>
      <c r="D13" s="20" t="inlineStr">
        <is>
          <t>Independent assessor A score</t>
        </is>
      </c>
      <c r="E13" s="20" t="inlineStr">
        <is>
          <t>Independent assessor B score</t>
        </is>
      </c>
      <c r="F13" s="20">
        <f>IF(OR(D13="",E13=""),"",ABS(D13-E13))</f>
        <v/>
      </c>
      <c r="G13" s="20">
        <f>IF(F13="","PENDING",IF(F13&lt;=1,"AGREE","REVIEW"))</f>
        <v/>
      </c>
      <c r="H13" s="20">
        <f>IF(G13="REVIEW","Y","N")</f>
        <v/>
      </c>
      <c r="I13" s="20" t="inlineStr">
        <is>
          <t>Final calibrated score</t>
        </is>
      </c>
      <c r="J13" s="20" t="inlineStr">
        <is>
          <t>Notes</t>
        </is>
      </c>
    </row>
    <row r="14">
      <c r="A14" s="20" t="inlineStr">
        <is>
          <t>I03</t>
        </is>
      </c>
      <c r="B14" s="20" t="inlineStr">
        <is>
          <t>Responsible AI Maturity</t>
        </is>
      </c>
      <c r="C14" s="20" t="inlineStr">
        <is>
          <t>Use domain-specific anchor + metric rule + evidence gate</t>
        </is>
      </c>
      <c r="D14" s="20" t="inlineStr">
        <is>
          <t>Independent assessor A score</t>
        </is>
      </c>
      <c r="E14" s="20" t="inlineStr">
        <is>
          <t>Independent assessor B score</t>
        </is>
      </c>
      <c r="F14" s="20">
        <f>IF(OR(D14="",E14=""),"",ABS(D14-E14))</f>
        <v/>
      </c>
      <c r="G14" s="20">
        <f>IF(F14="","PENDING",IF(F14&lt;=1,"AGREE","REVIEW"))</f>
        <v/>
      </c>
      <c r="H14" s="20">
        <f>IF(G14="REVIEW","Y","N")</f>
        <v/>
      </c>
      <c r="I14" s="20" t="inlineStr">
        <is>
          <t>Final calibrated score</t>
        </is>
      </c>
      <c r="J14" s="20" t="inlineStr">
        <is>
          <t>Notes</t>
        </is>
      </c>
    </row>
    <row r="15">
      <c r="A15" s="20" t="inlineStr">
        <is>
          <t>I04</t>
        </is>
      </c>
      <c r="B15" s="20" t="inlineStr">
        <is>
          <t>Data Governance Readiness</t>
        </is>
      </c>
      <c r="C15" s="20" t="inlineStr">
        <is>
          <t>Use domain-specific anchor + metric rule + evidence gate</t>
        </is>
      </c>
      <c r="D15" s="20" t="inlineStr">
        <is>
          <t>Independent assessor A score</t>
        </is>
      </c>
      <c r="E15" s="20" t="inlineStr">
        <is>
          <t>Independent assessor B score</t>
        </is>
      </c>
      <c r="F15" s="20">
        <f>IF(OR(D15="",E15=""),"",ABS(D15-E15))</f>
        <v/>
      </c>
      <c r="G15" s="20">
        <f>IF(F15="","PENDING",IF(F15&lt;=1,"AGREE","REVIEW"))</f>
        <v/>
      </c>
      <c r="H15" s="20">
        <f>IF(G15="REVIEW","Y","N")</f>
        <v/>
      </c>
      <c r="I15" s="20" t="inlineStr">
        <is>
          <t>Final calibrated score</t>
        </is>
      </c>
      <c r="J15" s="20" t="inlineStr">
        <is>
          <t>Notes</t>
        </is>
      </c>
    </row>
    <row r="16">
      <c r="A16" s="20" t="inlineStr">
        <is>
          <t>I05</t>
        </is>
      </c>
      <c r="B16" s="20" t="inlineStr">
        <is>
          <t>Academic Integrity Governance</t>
        </is>
      </c>
      <c r="C16" s="20" t="inlineStr">
        <is>
          <t>Use domain-specific anchor + metric rule + evidence gate</t>
        </is>
      </c>
      <c r="D16" s="20" t="inlineStr">
        <is>
          <t>Independent assessor A score</t>
        </is>
      </c>
      <c r="E16" s="20" t="inlineStr">
        <is>
          <t>Independent assessor B score</t>
        </is>
      </c>
      <c r="F16" s="20">
        <f>IF(OR(D16="",E16=""),"",ABS(D16-E16))</f>
        <v/>
      </c>
      <c r="G16" s="20">
        <f>IF(F16="","PENDING",IF(F16&lt;=1,"AGREE","REVIEW"))</f>
        <v/>
      </c>
      <c r="H16" s="20">
        <f>IF(G16="REVIEW","Y","N")</f>
        <v/>
      </c>
      <c r="I16" s="20" t="inlineStr">
        <is>
          <t>Final calibrated score</t>
        </is>
      </c>
      <c r="J16" s="20" t="inlineStr">
        <is>
          <t>Notes</t>
        </is>
      </c>
    </row>
    <row r="17">
      <c r="A17" s="20" t="inlineStr">
        <is>
          <t>I06</t>
        </is>
      </c>
      <c r="B17" s="20" t="inlineStr">
        <is>
          <t>Assessment Governance</t>
        </is>
      </c>
      <c r="C17" s="20" t="inlineStr">
        <is>
          <t>Use domain-specific anchor + metric rule + evidence gate</t>
        </is>
      </c>
      <c r="D17" s="20" t="inlineStr">
        <is>
          <t>Independent assessor A score</t>
        </is>
      </c>
      <c r="E17" s="20" t="inlineStr">
        <is>
          <t>Independent assessor B score</t>
        </is>
      </c>
      <c r="F17" s="20">
        <f>IF(OR(D17="",E17=""),"",ABS(D17-E17))</f>
        <v/>
      </c>
      <c r="G17" s="20">
        <f>IF(F17="","PENDING",IF(F17&lt;=1,"AGREE","REVIEW"))</f>
        <v/>
      </c>
      <c r="H17" s="20">
        <f>IF(G17="REVIEW","Y","N")</f>
        <v/>
      </c>
      <c r="I17" s="20" t="inlineStr">
        <is>
          <t>Final calibrated score</t>
        </is>
      </c>
      <c r="J17" s="20" t="inlineStr">
        <is>
          <t>Notes</t>
        </is>
      </c>
    </row>
    <row r="18">
      <c r="A18" s="20" t="inlineStr">
        <is>
          <t>I07</t>
        </is>
      </c>
      <c r="B18" s="20" t="inlineStr">
        <is>
          <t>AI Risk Management</t>
        </is>
      </c>
      <c r="C18" s="20" t="inlineStr">
        <is>
          <t>Use domain-specific anchor + metric rule + evidence gate</t>
        </is>
      </c>
      <c r="D18" s="20" t="inlineStr">
        <is>
          <t>Independent assessor A score</t>
        </is>
      </c>
      <c r="E18" s="20" t="inlineStr">
        <is>
          <t>Independent assessor B score</t>
        </is>
      </c>
      <c r="F18" s="20">
        <f>IF(OR(D18="",E18=""),"",ABS(D18-E18))</f>
        <v/>
      </c>
      <c r="G18" s="20">
        <f>IF(F18="","PENDING",IF(F18&lt;=1,"AGREE","REVIEW"))</f>
        <v/>
      </c>
      <c r="H18" s="20">
        <f>IF(G18="REVIEW","Y","N")</f>
        <v/>
      </c>
      <c r="I18" s="20" t="inlineStr">
        <is>
          <t>Final calibrated score</t>
        </is>
      </c>
      <c r="J18" s="20" t="inlineStr">
        <is>
          <t>Notes</t>
        </is>
      </c>
    </row>
    <row r="19">
      <c r="A19" s="20" t="inlineStr">
        <is>
          <t>I08</t>
        </is>
      </c>
      <c r="B19" s="20" t="inlineStr">
        <is>
          <t>Incident Responsiveness</t>
        </is>
      </c>
      <c r="C19" s="20" t="inlineStr">
        <is>
          <t>Use domain-specific anchor + metric rule + evidence gate</t>
        </is>
      </c>
      <c r="D19" s="20" t="inlineStr">
        <is>
          <t>Independent assessor A score</t>
        </is>
      </c>
      <c r="E19" s="20" t="inlineStr">
        <is>
          <t>Independent assessor B score</t>
        </is>
      </c>
      <c r="F19" s="20">
        <f>IF(OR(D19="",E19=""),"",ABS(D19-E19))</f>
        <v/>
      </c>
      <c r="G19" s="20">
        <f>IF(F19="","PENDING",IF(F19&lt;=1,"AGREE","REVIEW"))</f>
        <v/>
      </c>
      <c r="H19" s="20">
        <f>IF(G19="REVIEW","Y","N")</f>
        <v/>
      </c>
      <c r="I19" s="20" t="inlineStr">
        <is>
          <t>Final calibrated score</t>
        </is>
      </c>
      <c r="J19" s="20" t="inlineStr">
        <is>
          <t>Notes</t>
        </is>
      </c>
    </row>
    <row r="20">
      <c r="A20" s="20" t="inlineStr">
        <is>
          <t>I09</t>
        </is>
      </c>
      <c r="B20" s="20" t="inlineStr">
        <is>
          <t>Human Accountability</t>
        </is>
      </c>
      <c r="C20" s="20" t="inlineStr">
        <is>
          <t>Use domain-specific anchor + metric rule + evidence gate</t>
        </is>
      </c>
      <c r="D20" s="20" t="inlineStr">
        <is>
          <t>Independent assessor A score</t>
        </is>
      </c>
      <c r="E20" s="20" t="inlineStr">
        <is>
          <t>Independent assessor B score</t>
        </is>
      </c>
      <c r="F20" s="20">
        <f>IF(OR(D20="",E20=""),"",ABS(D20-E20))</f>
        <v/>
      </c>
      <c r="G20" s="20">
        <f>IF(F20="","PENDING",IF(F20&lt;=1,"AGREE","REVIEW"))</f>
        <v/>
      </c>
      <c r="H20" s="20">
        <f>IF(G20="REVIEW","Y","N")</f>
        <v/>
      </c>
      <c r="I20" s="20" t="inlineStr">
        <is>
          <t>Final calibrated score</t>
        </is>
      </c>
      <c r="J20" s="20" t="inlineStr">
        <is>
          <t>Notes</t>
        </is>
      </c>
    </row>
    <row r="21">
      <c r="A21" s="20" t="inlineStr">
        <is>
          <t>I10</t>
        </is>
      </c>
      <c r="B21" s="20" t="inlineStr">
        <is>
          <t>Vendor/Tool Governance</t>
        </is>
      </c>
      <c r="C21" s="20" t="inlineStr">
        <is>
          <t>Use domain-specific anchor + metric rule + evidence gate</t>
        </is>
      </c>
      <c r="D21" s="20" t="inlineStr">
        <is>
          <t>Independent assessor A score</t>
        </is>
      </c>
      <c r="E21" s="20" t="inlineStr">
        <is>
          <t>Independent assessor B score</t>
        </is>
      </c>
      <c r="F21" s="20">
        <f>IF(OR(D21="",E21=""),"",ABS(D21-E21))</f>
        <v/>
      </c>
      <c r="G21" s="20">
        <f>IF(F21="","PENDING",IF(F21&lt;=1,"AGREE","REVIEW"))</f>
        <v/>
      </c>
      <c r="H21" s="20">
        <f>IF(G21="REVIEW","Y","N")</f>
        <v/>
      </c>
      <c r="I21" s="20" t="inlineStr">
        <is>
          <t>Final calibrated score</t>
        </is>
      </c>
      <c r="J21" s="20" t="inlineStr">
        <is>
          <t>Notes</t>
        </is>
      </c>
    </row>
    <row r="22">
      <c r="A22" s="20" t="inlineStr">
        <is>
          <t>I11</t>
        </is>
      </c>
      <c r="B22" s="20" t="inlineStr">
        <is>
          <t>IP Governance</t>
        </is>
      </c>
      <c r="C22" s="20" t="inlineStr">
        <is>
          <t>Use domain-specific anchor + metric rule + evidence gate</t>
        </is>
      </c>
      <c r="D22" s="20" t="inlineStr">
        <is>
          <t>Independent assessor A score</t>
        </is>
      </c>
      <c r="E22" s="20" t="inlineStr">
        <is>
          <t>Independent assessor B score</t>
        </is>
      </c>
      <c r="F22" s="20">
        <f>IF(OR(D22="",E22=""),"",ABS(D22-E22))</f>
        <v/>
      </c>
      <c r="G22" s="20">
        <f>IF(F22="","PENDING",IF(F22&lt;=1,"AGREE","REVIEW"))</f>
        <v/>
      </c>
      <c r="H22" s="20">
        <f>IF(G22="REVIEW","Y","N")</f>
        <v/>
      </c>
      <c r="I22" s="20" t="inlineStr">
        <is>
          <t>Final calibrated score</t>
        </is>
      </c>
      <c r="J22" s="20" t="inlineStr">
        <is>
          <t>Notes</t>
        </is>
      </c>
    </row>
    <row r="23">
      <c r="A23" s="20" t="inlineStr">
        <is>
          <t>I12</t>
        </is>
      </c>
      <c r="B23" s="20" t="inlineStr">
        <is>
          <t>Research AI Governance</t>
        </is>
      </c>
      <c r="C23" s="20" t="inlineStr">
        <is>
          <t>Use domain-specific anchor + metric rule + evidence gate</t>
        </is>
      </c>
      <c r="D23" s="20" t="inlineStr">
        <is>
          <t>Independent assessor A score</t>
        </is>
      </c>
      <c r="E23" s="20" t="inlineStr">
        <is>
          <t>Independent assessor B score</t>
        </is>
      </c>
      <c r="F23" s="20">
        <f>IF(OR(D23="",E23=""),"",ABS(D23-E23))</f>
        <v/>
      </c>
      <c r="G23" s="20">
        <f>IF(F23="","PENDING",IF(F23&lt;=1,"AGREE","REVIEW"))</f>
        <v/>
      </c>
      <c r="H23" s="20">
        <f>IF(G23="REVIEW","Y","N")</f>
        <v/>
      </c>
      <c r="I23" s="20" t="inlineStr">
        <is>
          <t>Final calibrated score</t>
        </is>
      </c>
      <c r="J23" s="20" t="inlineStr">
        <is>
          <t>Notes</t>
        </is>
      </c>
    </row>
    <row r="24">
      <c r="A24" s="20" t="inlineStr">
        <is>
          <t>I13</t>
        </is>
      </c>
      <c r="B24" s="20" t="inlineStr">
        <is>
          <t>Governance Review Adaptability</t>
        </is>
      </c>
      <c r="C24" s="20" t="inlineStr">
        <is>
          <t>Use domain-specific anchor + metric rule + evidence gate</t>
        </is>
      </c>
      <c r="D24" s="20" t="inlineStr">
        <is>
          <t>Independent assessor A score</t>
        </is>
      </c>
      <c r="E24" s="20" t="inlineStr">
        <is>
          <t>Independent assessor B score</t>
        </is>
      </c>
      <c r="F24" s="20">
        <f>IF(OR(D24="",E24=""),"",ABS(D24-E24))</f>
        <v/>
      </c>
      <c r="G24" s="20">
        <f>IF(F24="","PENDING",IF(F24&lt;=1,"AGREE","REVIEW"))</f>
        <v/>
      </c>
      <c r="H24" s="20">
        <f>IF(G24="REVIEW","Y","N")</f>
        <v/>
      </c>
      <c r="I24" s="20" t="inlineStr">
        <is>
          <t>Final calibrated score</t>
        </is>
      </c>
      <c r="J24" s="20" t="inlineStr">
        <is>
          <t>Notes</t>
        </is>
      </c>
    </row>
    <row r="25">
      <c r="A25" s="20" t="inlineStr">
        <is>
          <t>I14</t>
        </is>
      </c>
      <c r="B25" s="20" t="inlineStr">
        <is>
          <t>Governance Effectiveness</t>
        </is>
      </c>
      <c r="C25" s="20" t="inlineStr">
        <is>
          <t>Use domain-specific anchor + metric rule + evidence gate</t>
        </is>
      </c>
      <c r="D25" s="20" t="inlineStr">
        <is>
          <t>Independent assessor A score</t>
        </is>
      </c>
      <c r="E25" s="20" t="inlineStr">
        <is>
          <t>Independent assessor B score</t>
        </is>
      </c>
      <c r="F25" s="20">
        <f>IF(OR(D25="",E25=""),"",ABS(D25-E25))</f>
        <v/>
      </c>
      <c r="G25" s="20">
        <f>IF(F25="","PENDING",IF(F25&lt;=1,"AGREE","REVIEW"))</f>
        <v/>
      </c>
      <c r="H25" s="20">
        <f>IF(G25="REVIEW","Y","N")</f>
        <v/>
      </c>
      <c r="I25" s="20" t="inlineStr">
        <is>
          <t>Final calibrated score</t>
        </is>
      </c>
      <c r="J25" s="20" t="inlineStr">
        <is>
          <t>Notes</t>
        </is>
      </c>
    </row>
    <row r="26">
      <c r="A26" s="20" t="inlineStr">
        <is>
          <t>I01</t>
        </is>
      </c>
      <c r="B26" s="20" t="inlineStr">
        <is>
          <t>Foundational Knowledge Depth</t>
        </is>
      </c>
      <c r="C26" s="20" t="inlineStr">
        <is>
          <t>Use domain-specific anchor + metric rule + evidence gate</t>
        </is>
      </c>
      <c r="D26" s="20" t="inlineStr">
        <is>
          <t>Independent assessor A score</t>
        </is>
      </c>
      <c r="E26" s="20" t="inlineStr">
        <is>
          <t>Independent assessor B score</t>
        </is>
      </c>
      <c r="F26" s="20">
        <f>IF(OR(D26="",E26=""),"",ABS(D26-E26))</f>
        <v/>
      </c>
      <c r="G26" s="20">
        <f>IF(F26="","PENDING",IF(F26&lt;=1,"AGREE","REVIEW"))</f>
        <v/>
      </c>
      <c r="H26" s="20">
        <f>IF(G26="REVIEW","Y","N")</f>
        <v/>
      </c>
      <c r="I26" s="20" t="inlineStr">
        <is>
          <t>Final calibrated score</t>
        </is>
      </c>
      <c r="J26" s="20" t="inlineStr">
        <is>
          <t>Notes</t>
        </is>
      </c>
    </row>
    <row r="27">
      <c r="A27" s="20" t="inlineStr">
        <is>
          <t>I02</t>
        </is>
      </c>
      <c r="B27" s="20" t="inlineStr">
        <is>
          <t>Critical Reasoning Development</t>
        </is>
      </c>
      <c r="C27" s="20" t="inlineStr">
        <is>
          <t>Use domain-specific anchor + metric rule + evidence gate</t>
        </is>
      </c>
      <c r="D27" s="20" t="inlineStr">
        <is>
          <t>Independent assessor A score</t>
        </is>
      </c>
      <c r="E27" s="20" t="inlineStr">
        <is>
          <t>Independent assessor B score</t>
        </is>
      </c>
      <c r="F27" s="20">
        <f>IF(OR(D27="",E27=""),"",ABS(D27-E27))</f>
        <v/>
      </c>
      <c r="G27" s="20">
        <f>IF(F27="","PENDING",IF(F27&lt;=1,"AGREE","REVIEW"))</f>
        <v/>
      </c>
      <c r="H27" s="20">
        <f>IF(G27="REVIEW","Y","N")</f>
        <v/>
      </c>
      <c r="I27" s="20" t="inlineStr">
        <is>
          <t>Final calibrated score</t>
        </is>
      </c>
      <c r="J27" s="20" t="inlineStr">
        <is>
          <t>Notes</t>
        </is>
      </c>
    </row>
    <row r="28">
      <c r="A28" s="20" t="inlineStr">
        <is>
          <t>I03</t>
        </is>
      </c>
      <c r="B28" s="20" t="inlineStr">
        <is>
          <t>Question Formulation</t>
        </is>
      </c>
      <c r="C28" s="20" t="inlineStr">
        <is>
          <t>Use domain-specific anchor + metric rule + evidence gate</t>
        </is>
      </c>
      <c r="D28" s="20" t="inlineStr">
        <is>
          <t>Independent assessor A score</t>
        </is>
      </c>
      <c r="E28" s="20" t="inlineStr">
        <is>
          <t>Independent assessor B score</t>
        </is>
      </c>
      <c r="F28" s="20">
        <f>IF(OR(D28="",E28=""),"",ABS(D28-E28))</f>
        <v/>
      </c>
      <c r="G28" s="20">
        <f>IF(F28="","PENDING",IF(F28&lt;=1,"AGREE","REVIEW"))</f>
        <v/>
      </c>
      <c r="H28" s="20">
        <f>IF(G28="REVIEW","Y","N")</f>
        <v/>
      </c>
      <c r="I28" s="20" t="inlineStr">
        <is>
          <t>Final calibrated score</t>
        </is>
      </c>
      <c r="J28" s="20" t="inlineStr">
        <is>
          <t>Notes</t>
        </is>
      </c>
    </row>
    <row r="29">
      <c r="A29" s="20" t="inlineStr">
        <is>
          <t>I04</t>
        </is>
      </c>
      <c r="B29" s="20" t="inlineStr">
        <is>
          <t>Analytical Reasoning</t>
        </is>
      </c>
      <c r="C29" s="20" t="inlineStr">
        <is>
          <t>Use domain-specific anchor + metric rule + evidence gate</t>
        </is>
      </c>
      <c r="D29" s="20" t="inlineStr">
        <is>
          <t>Independent assessor A score</t>
        </is>
      </c>
      <c r="E29" s="20" t="inlineStr">
        <is>
          <t>Independent assessor B score</t>
        </is>
      </c>
      <c r="F29" s="20">
        <f>IF(OR(D29="",E29=""),"",ABS(D29-E29))</f>
        <v/>
      </c>
      <c r="G29" s="20">
        <f>IF(F29="","PENDING",IF(F29&lt;=1,"AGREE","REVIEW"))</f>
        <v/>
      </c>
      <c r="H29" s="20">
        <f>IF(G29="REVIEW","Y","N")</f>
        <v/>
      </c>
      <c r="I29" s="20" t="inlineStr">
        <is>
          <t>Final calibrated score</t>
        </is>
      </c>
      <c r="J29" s="20" t="inlineStr">
        <is>
          <t>Notes</t>
        </is>
      </c>
    </row>
    <row r="30">
      <c r="A30" s="20" t="inlineStr">
        <is>
          <t>I05</t>
        </is>
      </c>
      <c r="B30" s="20" t="inlineStr">
        <is>
          <t>Problem Formulation</t>
        </is>
      </c>
      <c r="C30" s="20" t="inlineStr">
        <is>
          <t>Use domain-specific anchor + metric rule + evidence gate</t>
        </is>
      </c>
      <c r="D30" s="20" t="inlineStr">
        <is>
          <t>Independent assessor A score</t>
        </is>
      </c>
      <c r="E30" s="20" t="inlineStr">
        <is>
          <t>Independent assessor B score</t>
        </is>
      </c>
      <c r="F30" s="20">
        <f>IF(OR(D30="",E30=""),"",ABS(D30-E30))</f>
        <v/>
      </c>
      <c r="G30" s="20">
        <f>IF(F30="","PENDING",IF(F30&lt;=1,"AGREE","REVIEW"))</f>
        <v/>
      </c>
      <c r="H30" s="20">
        <f>IF(G30="REVIEW","Y","N")</f>
        <v/>
      </c>
      <c r="I30" s="20" t="inlineStr">
        <is>
          <t>Final calibrated score</t>
        </is>
      </c>
      <c r="J30" s="20" t="inlineStr">
        <is>
          <t>Notes</t>
        </is>
      </c>
    </row>
    <row r="31">
      <c r="A31" s="20" t="inlineStr">
        <is>
          <t>I06</t>
        </is>
      </c>
      <c r="B31" s="20" t="inlineStr">
        <is>
          <t>Creativity &amp; Originality</t>
        </is>
      </c>
      <c r="C31" s="20" t="inlineStr">
        <is>
          <t>Use domain-specific anchor + metric rule + evidence gate</t>
        </is>
      </c>
      <c r="D31" s="20" t="inlineStr">
        <is>
          <t>Independent assessor A score</t>
        </is>
      </c>
      <c r="E31" s="20" t="inlineStr">
        <is>
          <t>Independent assessor B score</t>
        </is>
      </c>
      <c r="F31" s="20">
        <f>IF(OR(D31="",E31=""),"",ABS(D31-E31))</f>
        <v/>
      </c>
      <c r="G31" s="20">
        <f>IF(F31="","PENDING",IF(F31&lt;=1,"AGREE","REVIEW"))</f>
        <v/>
      </c>
      <c r="H31" s="20">
        <f>IF(G31="REVIEW","Y","N")</f>
        <v/>
      </c>
      <c r="I31" s="20" t="inlineStr">
        <is>
          <t>Final calibrated score</t>
        </is>
      </c>
      <c r="J31" s="20" t="inlineStr">
        <is>
          <t>Notes</t>
        </is>
      </c>
    </row>
    <row r="32">
      <c r="A32" s="20" t="inlineStr">
        <is>
          <t>I07</t>
        </is>
      </c>
      <c r="B32" s="20" t="inlineStr">
        <is>
          <t>Judgement Capability</t>
        </is>
      </c>
      <c r="C32" s="20" t="inlineStr">
        <is>
          <t>Use domain-specific anchor + metric rule + evidence gate</t>
        </is>
      </c>
      <c r="D32" s="20" t="inlineStr">
        <is>
          <t>Independent assessor A score</t>
        </is>
      </c>
      <c r="E32" s="20" t="inlineStr">
        <is>
          <t>Independent assessor B score</t>
        </is>
      </c>
      <c r="F32" s="20">
        <f>IF(OR(D32="",E32=""),"",ABS(D32-E32))</f>
        <v/>
      </c>
      <c r="G32" s="20">
        <f>IF(F32="","PENDING",IF(F32&lt;=1,"AGREE","REVIEW"))</f>
        <v/>
      </c>
      <c r="H32" s="20">
        <f>IF(G32="REVIEW","Y","N")</f>
        <v/>
      </c>
      <c r="I32" s="20" t="inlineStr">
        <is>
          <t>Final calibrated score</t>
        </is>
      </c>
      <c r="J32" s="20" t="inlineStr">
        <is>
          <t>Notes</t>
        </is>
      </c>
    </row>
    <row r="33">
      <c r="A33" s="20" t="inlineStr">
        <is>
          <t>I08</t>
        </is>
      </c>
      <c r="B33" s="20" t="inlineStr">
        <is>
          <t>AI Verification Capability</t>
        </is>
      </c>
      <c r="C33" s="20" t="inlineStr">
        <is>
          <t>Use domain-specific anchor + metric rule + evidence gate</t>
        </is>
      </c>
      <c r="D33" s="20" t="inlineStr">
        <is>
          <t>Independent assessor A score</t>
        </is>
      </c>
      <c r="E33" s="20" t="inlineStr">
        <is>
          <t>Independent assessor B score</t>
        </is>
      </c>
      <c r="F33" s="20">
        <f>IF(OR(D33="",E33=""),"",ABS(D33-E33))</f>
        <v/>
      </c>
      <c r="G33" s="20">
        <f>IF(F33="","PENDING",IF(F33&lt;=1,"AGREE","REVIEW"))</f>
        <v/>
      </c>
      <c r="H33" s="20">
        <f>IF(G33="REVIEW","Y","N")</f>
        <v/>
      </c>
      <c r="I33" s="20" t="inlineStr">
        <is>
          <t>Final calibrated score</t>
        </is>
      </c>
      <c r="J33" s="20" t="inlineStr">
        <is>
          <t>Notes</t>
        </is>
      </c>
    </row>
    <row r="34">
      <c r="A34" s="20" t="inlineStr">
        <is>
          <t>I09</t>
        </is>
      </c>
      <c r="B34" s="20" t="inlineStr">
        <is>
          <t>Metacognitive Capability</t>
        </is>
      </c>
      <c r="C34" s="20" t="inlineStr">
        <is>
          <t>Use domain-specific anchor + metric rule + evidence gate</t>
        </is>
      </c>
      <c r="D34" s="20" t="inlineStr">
        <is>
          <t>Independent assessor A score</t>
        </is>
      </c>
      <c r="E34" s="20" t="inlineStr">
        <is>
          <t>Independent assessor B score</t>
        </is>
      </c>
      <c r="F34" s="20">
        <f>IF(OR(D34="",E34=""),"",ABS(D34-E34))</f>
        <v/>
      </c>
      <c r="G34" s="20">
        <f>IF(F34="","PENDING",IF(F34&lt;=1,"AGREE","REVIEW"))</f>
        <v/>
      </c>
      <c r="H34" s="20">
        <f>IF(G34="REVIEW","Y","N")</f>
        <v/>
      </c>
      <c r="I34" s="20" t="inlineStr">
        <is>
          <t>Final calibrated score</t>
        </is>
      </c>
      <c r="J34" s="20" t="inlineStr">
        <is>
          <t>Notes</t>
        </is>
      </c>
    </row>
    <row r="35">
      <c r="A35" s="20" t="inlineStr">
        <is>
          <t>I10</t>
        </is>
      </c>
      <c r="B35" s="20" t="inlineStr">
        <is>
          <t>Human-AI Collaboration</t>
        </is>
      </c>
      <c r="C35" s="20" t="inlineStr">
        <is>
          <t>Use domain-specific anchor + metric rule + evidence gate</t>
        </is>
      </c>
      <c r="D35" s="20" t="inlineStr">
        <is>
          <t>Independent assessor A score</t>
        </is>
      </c>
      <c r="E35" s="20" t="inlineStr">
        <is>
          <t>Independent assessor B score</t>
        </is>
      </c>
      <c r="F35" s="20">
        <f>IF(OR(D35="",E35=""),"",ABS(D35-E35))</f>
        <v/>
      </c>
      <c r="G35" s="20">
        <f>IF(F35="","PENDING",IF(F35&lt;=1,"AGREE","REVIEW"))</f>
        <v/>
      </c>
      <c r="H35" s="20">
        <f>IF(G35="REVIEW","Y","N")</f>
        <v/>
      </c>
      <c r="I35" s="20" t="inlineStr">
        <is>
          <t>Final calibrated score</t>
        </is>
      </c>
      <c r="J35" s="20" t="inlineStr">
        <is>
          <t>Notes</t>
        </is>
      </c>
    </row>
    <row r="36">
      <c r="A36" s="20" t="inlineStr">
        <is>
          <t>I11</t>
        </is>
      </c>
      <c r="B36" s="20" t="inlineStr">
        <is>
          <t>Communication &amp; Defence</t>
        </is>
      </c>
      <c r="C36" s="20" t="inlineStr">
        <is>
          <t>Use domain-specific anchor + metric rule + evidence gate</t>
        </is>
      </c>
      <c r="D36" s="20" t="inlineStr">
        <is>
          <t>Independent assessor A score</t>
        </is>
      </c>
      <c r="E36" s="20" t="inlineStr">
        <is>
          <t>Independent assessor B score</t>
        </is>
      </c>
      <c r="F36" s="20">
        <f>IF(OR(D36="",E36=""),"",ABS(D36-E36))</f>
        <v/>
      </c>
      <c r="G36" s="20">
        <f>IF(F36="","PENDING",IF(F36&lt;=1,"AGREE","REVIEW"))</f>
        <v/>
      </c>
      <c r="H36" s="20">
        <f>IF(G36="REVIEW","Y","N")</f>
        <v/>
      </c>
      <c r="I36" s="20" t="inlineStr">
        <is>
          <t>Final calibrated score</t>
        </is>
      </c>
      <c r="J36" s="20" t="inlineStr">
        <is>
          <t>Notes</t>
        </is>
      </c>
    </row>
    <row r="37">
      <c r="A37" s="20" t="inlineStr">
        <is>
          <t>I12</t>
        </is>
      </c>
      <c r="B37" s="20" t="inlineStr">
        <is>
          <t>Collaboration Capability</t>
        </is>
      </c>
      <c r="C37" s="20" t="inlineStr">
        <is>
          <t>Use domain-specific anchor + metric rule + evidence gate</t>
        </is>
      </c>
      <c r="D37" s="20" t="inlineStr">
        <is>
          <t>Independent assessor A score</t>
        </is>
      </c>
      <c r="E37" s="20" t="inlineStr">
        <is>
          <t>Independent assessor B score</t>
        </is>
      </c>
      <c r="F37" s="20">
        <f>IF(OR(D37="",E37=""),"",ABS(D37-E37))</f>
        <v/>
      </c>
      <c r="G37" s="20">
        <f>IF(F37="","PENDING",IF(F37&lt;=1,"AGREE","REVIEW"))</f>
        <v/>
      </c>
      <c r="H37" s="20">
        <f>IF(G37="REVIEW","Y","N")</f>
        <v/>
      </c>
      <c r="I37" s="20" t="inlineStr">
        <is>
          <t>Final calibrated score</t>
        </is>
      </c>
      <c r="J37" s="20" t="inlineStr">
        <is>
          <t>Notes</t>
        </is>
      </c>
    </row>
    <row r="38">
      <c r="A38" s="20" t="inlineStr">
        <is>
          <t>I13</t>
        </is>
      </c>
      <c r="B38" s="20" t="inlineStr">
        <is>
          <t>Practical Capability</t>
        </is>
      </c>
      <c r="C38" s="20" t="inlineStr">
        <is>
          <t>Use domain-specific anchor + metric rule + evidence gate</t>
        </is>
      </c>
      <c r="D38" s="20" t="inlineStr">
        <is>
          <t>Independent assessor A score</t>
        </is>
      </c>
      <c r="E38" s="20" t="inlineStr">
        <is>
          <t>Independent assessor B score</t>
        </is>
      </c>
      <c r="F38" s="20">
        <f>IF(OR(D38="",E38=""),"",ABS(D38-E38))</f>
        <v/>
      </c>
      <c r="G38" s="20">
        <f>IF(F38="","PENDING",IF(F38&lt;=1,"AGREE","REVIEW"))</f>
        <v/>
      </c>
      <c r="H38" s="20">
        <f>IF(G38="REVIEW","Y","N")</f>
        <v/>
      </c>
      <c r="I38" s="20" t="inlineStr">
        <is>
          <t>Final calibrated score</t>
        </is>
      </c>
      <c r="J38" s="20" t="inlineStr">
        <is>
          <t>Notes</t>
        </is>
      </c>
    </row>
    <row r="39">
      <c r="A39" s="20" t="inlineStr">
        <is>
          <t>I14</t>
        </is>
      </c>
      <c r="B39" s="20" t="inlineStr">
        <is>
          <t>Ethical/Social Judgement</t>
        </is>
      </c>
      <c r="C39" s="20" t="inlineStr">
        <is>
          <t>Use domain-specific anchor + metric rule + evidence gate</t>
        </is>
      </c>
      <c r="D39" s="20" t="inlineStr">
        <is>
          <t>Independent assessor A score</t>
        </is>
      </c>
      <c r="E39" s="20" t="inlineStr">
        <is>
          <t>Independent assessor B score</t>
        </is>
      </c>
      <c r="F39" s="20">
        <f>IF(OR(D39="",E39=""),"",ABS(D39-E39))</f>
        <v/>
      </c>
      <c r="G39" s="20">
        <f>IF(F39="","PENDING",IF(F39&lt;=1,"AGREE","REVIEW"))</f>
        <v/>
      </c>
      <c r="H39" s="20">
        <f>IF(G39="REVIEW","Y","N")</f>
        <v/>
      </c>
      <c r="I39" s="20" t="inlineStr">
        <is>
          <t>Final calibrated score</t>
        </is>
      </c>
      <c r="J39" s="20" t="inlineStr">
        <is>
          <t>Notes</t>
        </is>
      </c>
    </row>
    <row r="40">
      <c r="A40" s="20" t="inlineStr">
        <is>
          <t>I15</t>
        </is>
      </c>
      <c r="B40" s="20" t="inlineStr">
        <is>
          <t>Intellectual Agency</t>
        </is>
      </c>
      <c r="C40" s="20" t="inlineStr">
        <is>
          <t>Use domain-specific anchor + metric rule + evidence gate</t>
        </is>
      </c>
      <c r="D40" s="20" t="inlineStr">
        <is>
          <t>Independent assessor A score</t>
        </is>
      </c>
      <c r="E40" s="20" t="inlineStr">
        <is>
          <t>Independent assessor B score</t>
        </is>
      </c>
      <c r="F40" s="20">
        <f>IF(OR(D40="",E40=""),"",ABS(D40-E40))</f>
        <v/>
      </c>
      <c r="G40" s="20">
        <f>IF(F40="","PENDING",IF(F40&lt;=1,"AGREE","REVIEW"))</f>
        <v/>
      </c>
      <c r="H40" s="20">
        <f>IF(G40="REVIEW","Y","N")</f>
        <v/>
      </c>
      <c r="I40" s="20" t="inlineStr">
        <is>
          <t>Final calibrated score</t>
        </is>
      </c>
      <c r="J40" s="20" t="inlineStr">
        <is>
          <t>Notes</t>
        </is>
      </c>
    </row>
    <row r="41">
      <c r="A41" s="20" t="inlineStr">
        <is>
          <t>I16</t>
        </is>
      </c>
      <c r="B41" s="20" t="inlineStr">
        <is>
          <t>Transfer Capability</t>
        </is>
      </c>
      <c r="C41" s="20" t="inlineStr">
        <is>
          <t>Use domain-specific anchor + metric rule + evidence gate</t>
        </is>
      </c>
      <c r="D41" s="20" t="inlineStr">
        <is>
          <t>Independent assessor A score</t>
        </is>
      </c>
      <c r="E41" s="20" t="inlineStr">
        <is>
          <t>Independent assessor B score</t>
        </is>
      </c>
      <c r="F41" s="20">
        <f>IF(OR(D41="",E41=""),"",ABS(D41-E41))</f>
        <v/>
      </c>
      <c r="G41" s="20">
        <f>IF(F41="","PENDING",IF(F41&lt;=1,"AGREE","REVIEW"))</f>
        <v/>
      </c>
      <c r="H41" s="20">
        <f>IF(G41="REVIEW","Y","N")</f>
        <v/>
      </c>
      <c r="I41" s="20" t="inlineStr">
        <is>
          <t>Final calibrated score</t>
        </is>
      </c>
      <c r="J41" s="20" t="inlineStr">
        <is>
          <t>Notes</t>
        </is>
      </c>
    </row>
    <row r="42">
      <c r="A42" s="20" t="inlineStr">
        <is>
          <t>I17</t>
        </is>
      </c>
      <c r="B42" s="20" t="inlineStr">
        <is>
          <t>Non-Technical Discipline AI Capability</t>
        </is>
      </c>
      <c r="C42" s="20" t="inlineStr">
        <is>
          <t>Use domain-specific anchor + metric rule + evidence gate</t>
        </is>
      </c>
      <c r="D42" s="20" t="inlineStr">
        <is>
          <t>Independent assessor A score</t>
        </is>
      </c>
      <c r="E42" s="20" t="inlineStr">
        <is>
          <t>Independent assessor B score</t>
        </is>
      </c>
      <c r="F42" s="20">
        <f>IF(OR(D42="",E42=""),"",ABS(D42-E42))</f>
        <v/>
      </c>
      <c r="G42" s="20">
        <f>IF(F42="","PENDING",IF(F42&lt;=1,"AGREE","REVIEW"))</f>
        <v/>
      </c>
      <c r="H42" s="20">
        <f>IF(G42="REVIEW","Y","N")</f>
        <v/>
      </c>
      <c r="I42" s="20" t="inlineStr">
        <is>
          <t>Final calibrated score</t>
        </is>
      </c>
      <c r="J42" s="20" t="inlineStr">
        <is>
          <t>Notes</t>
        </is>
      </c>
    </row>
    <row r="43">
      <c r="A43" s="20" t="inlineStr">
        <is>
          <t>I01</t>
        </is>
      </c>
      <c r="B43" s="20" t="inlineStr">
        <is>
          <t>Curriculum Sensing Maturity</t>
        </is>
      </c>
      <c r="C43" s="20" t="inlineStr">
        <is>
          <t>Use domain-specific anchor + metric rule + evidence gate</t>
        </is>
      </c>
      <c r="D43" s="20" t="inlineStr">
        <is>
          <t>Independent assessor A score</t>
        </is>
      </c>
      <c r="E43" s="20" t="inlineStr">
        <is>
          <t>Independent assessor B score</t>
        </is>
      </c>
      <c r="F43" s="20">
        <f>IF(OR(D43="",E43=""),"",ABS(D43-E43))</f>
        <v/>
      </c>
      <c r="G43" s="20">
        <f>IF(F43="","PENDING",IF(F43&lt;=1,"AGREE","REVIEW"))</f>
        <v/>
      </c>
      <c r="H43" s="20">
        <f>IF(G43="REVIEW","Y","N")</f>
        <v/>
      </c>
      <c r="I43" s="20" t="inlineStr">
        <is>
          <t>Final calibrated score</t>
        </is>
      </c>
      <c r="J43" s="20" t="inlineStr">
        <is>
          <t>Notes</t>
        </is>
      </c>
    </row>
    <row r="44">
      <c r="A44" s="20" t="inlineStr">
        <is>
          <t>I02</t>
        </is>
      </c>
      <c r="B44" s="20" t="inlineStr">
        <is>
          <t>Future Learning Outcome Alignment</t>
        </is>
      </c>
      <c r="C44" s="20" t="inlineStr">
        <is>
          <t>Use domain-specific anchor + metric rule + evidence gate</t>
        </is>
      </c>
      <c r="D44" s="20" t="inlineStr">
        <is>
          <t>Independent assessor A score</t>
        </is>
      </c>
      <c r="E44" s="20" t="inlineStr">
        <is>
          <t>Independent assessor B score</t>
        </is>
      </c>
      <c r="F44" s="20">
        <f>IF(OR(D44="",E44=""),"",ABS(D44-E44))</f>
        <v/>
      </c>
      <c r="G44" s="20">
        <f>IF(F44="","PENDING",IF(F44&lt;=1,"AGREE","REVIEW"))</f>
        <v/>
      </c>
      <c r="H44" s="20">
        <f>IF(G44="REVIEW","Y","N")</f>
        <v/>
      </c>
      <c r="I44" s="20" t="inlineStr">
        <is>
          <t>Final calibrated score</t>
        </is>
      </c>
      <c r="J44" s="20" t="inlineStr">
        <is>
          <t>Notes</t>
        </is>
      </c>
    </row>
    <row r="45">
      <c r="A45" s="20" t="inlineStr">
        <is>
          <t>I03</t>
        </is>
      </c>
      <c r="B45" s="20" t="inlineStr">
        <is>
          <t>Programme Review Effectiveness</t>
        </is>
      </c>
      <c r="C45" s="20" t="inlineStr">
        <is>
          <t>Use domain-specific anchor + metric rule + evidence gate</t>
        </is>
      </c>
      <c r="D45" s="20" t="inlineStr">
        <is>
          <t>Independent assessor A score</t>
        </is>
      </c>
      <c r="E45" s="20" t="inlineStr">
        <is>
          <t>Independent assessor B score</t>
        </is>
      </c>
      <c r="F45" s="20">
        <f>IF(OR(D45="",E45=""),"",ABS(D45-E45))</f>
        <v/>
      </c>
      <c r="G45" s="20">
        <f>IF(F45="","PENDING",IF(F45&lt;=1,"AGREE","REVIEW"))</f>
        <v/>
      </c>
      <c r="H45" s="20">
        <f>IF(G45="REVIEW","Y","N")</f>
        <v/>
      </c>
      <c r="I45" s="20" t="inlineStr">
        <is>
          <t>Final calibrated score</t>
        </is>
      </c>
      <c r="J45" s="20" t="inlineStr">
        <is>
          <t>Notes</t>
        </is>
      </c>
    </row>
    <row r="46">
      <c r="A46" s="20" t="inlineStr">
        <is>
          <t>I04</t>
        </is>
      </c>
      <c r="B46" s="20" t="inlineStr">
        <is>
          <t>Disciplinary AI Integration Depth</t>
        </is>
      </c>
      <c r="C46" s="20" t="inlineStr">
        <is>
          <t>Use domain-specific anchor + metric rule + evidence gate</t>
        </is>
      </c>
      <c r="D46" s="20" t="inlineStr">
        <is>
          <t>Independent assessor A score</t>
        </is>
      </c>
      <c r="E46" s="20" t="inlineStr">
        <is>
          <t>Independent assessor B score</t>
        </is>
      </c>
      <c r="F46" s="20">
        <f>IF(OR(D46="",E46=""),"",ABS(D46-E46))</f>
        <v/>
      </c>
      <c r="G46" s="20">
        <f>IF(F46="","PENDING",IF(F46&lt;=1,"AGREE","REVIEW"))</f>
        <v/>
      </c>
      <c r="H46" s="20">
        <f>IF(G46="REVIEW","Y","N")</f>
        <v/>
      </c>
      <c r="I46" s="20" t="inlineStr">
        <is>
          <t>Final calibrated score</t>
        </is>
      </c>
      <c r="J46" s="20" t="inlineStr">
        <is>
          <t>Notes</t>
        </is>
      </c>
    </row>
    <row r="47">
      <c r="A47" s="20" t="inlineStr">
        <is>
          <t>I05</t>
        </is>
      </c>
      <c r="B47" s="20" t="inlineStr">
        <is>
          <t>Content Obsolescence Response</t>
        </is>
      </c>
      <c r="C47" s="20" t="inlineStr">
        <is>
          <t>Use domain-specific anchor + metric rule + evidence gate</t>
        </is>
      </c>
      <c r="D47" s="20" t="inlineStr">
        <is>
          <t>Independent assessor A score</t>
        </is>
      </c>
      <c r="E47" s="20" t="inlineStr">
        <is>
          <t>Independent assessor B score</t>
        </is>
      </c>
      <c r="F47" s="20">
        <f>IF(OR(D47="",E47=""),"",ABS(D47-E47))</f>
        <v/>
      </c>
      <c r="G47" s="20">
        <f>IF(F47="","PENDING",IF(F47&lt;=1,"AGREE","REVIEW"))</f>
        <v/>
      </c>
      <c r="H47" s="20">
        <f>IF(G47="REVIEW","Y","N")</f>
        <v/>
      </c>
      <c r="I47" s="20" t="inlineStr">
        <is>
          <t>Final calibrated score</t>
        </is>
      </c>
      <c r="J47" s="20" t="inlineStr">
        <is>
          <t>Notes</t>
        </is>
      </c>
    </row>
    <row r="48">
      <c r="A48" s="20" t="inlineStr">
        <is>
          <t>I06</t>
        </is>
      </c>
      <c r="B48" s="20" t="inlineStr">
        <is>
          <t>Experiential Learning Strength</t>
        </is>
      </c>
      <c r="C48" s="20" t="inlineStr">
        <is>
          <t>Use domain-specific anchor + metric rule + evidence gate</t>
        </is>
      </c>
      <c r="D48" s="20" t="inlineStr">
        <is>
          <t>Independent assessor A score</t>
        </is>
      </c>
      <c r="E48" s="20" t="inlineStr">
        <is>
          <t>Independent assessor B score</t>
        </is>
      </c>
      <c r="F48" s="20">
        <f>IF(OR(D48="",E48=""),"",ABS(D48-E48))</f>
        <v/>
      </c>
      <c r="G48" s="20">
        <f>IF(F48="","PENDING",IF(F48&lt;=1,"AGREE","REVIEW"))</f>
        <v/>
      </c>
      <c r="H48" s="20">
        <f>IF(G48="REVIEW","Y","N")</f>
        <v/>
      </c>
      <c r="I48" s="20" t="inlineStr">
        <is>
          <t>Final calibrated score</t>
        </is>
      </c>
      <c r="J48" s="20" t="inlineStr">
        <is>
          <t>Notes</t>
        </is>
      </c>
    </row>
    <row r="49">
      <c r="A49" s="20" t="inlineStr">
        <is>
          <t>I07</t>
        </is>
      </c>
      <c r="B49" s="20" t="inlineStr">
        <is>
          <t>Interdisciplinary Flexibility</t>
        </is>
      </c>
      <c r="C49" s="20" t="inlineStr">
        <is>
          <t>Use domain-specific anchor + metric rule + evidence gate</t>
        </is>
      </c>
      <c r="D49" s="20" t="inlineStr">
        <is>
          <t>Independent assessor A score</t>
        </is>
      </c>
      <c r="E49" s="20" t="inlineStr">
        <is>
          <t>Independent assessor B score</t>
        </is>
      </c>
      <c r="F49" s="20">
        <f>IF(OR(D49="",E49=""),"",ABS(D49-E49))</f>
        <v/>
      </c>
      <c r="G49" s="20">
        <f>IF(F49="","PENDING",IF(F49&lt;=1,"AGREE","REVIEW"))</f>
        <v/>
      </c>
      <c r="H49" s="20">
        <f>IF(G49="REVIEW","Y","N")</f>
        <v/>
      </c>
      <c r="I49" s="20" t="inlineStr">
        <is>
          <t>Final calibrated score</t>
        </is>
      </c>
      <c r="J49" s="20" t="inlineStr">
        <is>
          <t>Notes</t>
        </is>
      </c>
    </row>
    <row r="50">
      <c r="A50" s="20" t="inlineStr">
        <is>
          <t>I08</t>
        </is>
      </c>
      <c r="B50" s="20" t="inlineStr">
        <is>
          <t>Programme Agility</t>
        </is>
      </c>
      <c r="C50" s="20" t="inlineStr">
        <is>
          <t>Use domain-specific anchor + metric rule + evidence gate</t>
        </is>
      </c>
      <c r="D50" s="20" t="inlineStr">
        <is>
          <t>Independent assessor A score</t>
        </is>
      </c>
      <c r="E50" s="20" t="inlineStr">
        <is>
          <t>Independent assessor B score</t>
        </is>
      </c>
      <c r="F50" s="20">
        <f>IF(OR(D50="",E50=""),"",ABS(D50-E50))</f>
        <v/>
      </c>
      <c r="G50" s="20">
        <f>IF(F50="","PENDING",IF(F50&lt;=1,"AGREE","REVIEW"))</f>
        <v/>
      </c>
      <c r="H50" s="20">
        <f>IF(G50="REVIEW","Y","N")</f>
        <v/>
      </c>
      <c r="I50" s="20" t="inlineStr">
        <is>
          <t>Final calibrated score</t>
        </is>
      </c>
      <c r="J50" s="20" t="inlineStr">
        <is>
          <t>Notes</t>
        </is>
      </c>
    </row>
    <row r="51">
      <c r="A51" s="20" t="inlineStr">
        <is>
          <t>I09</t>
        </is>
      </c>
      <c r="B51" s="20" t="inlineStr">
        <is>
          <t>External Validation Strength</t>
        </is>
      </c>
      <c r="C51" s="20" t="inlineStr">
        <is>
          <t>Use domain-specific anchor + metric rule + evidence gate</t>
        </is>
      </c>
      <c r="D51" s="20" t="inlineStr">
        <is>
          <t>Independent assessor A score</t>
        </is>
      </c>
      <c r="E51" s="20" t="inlineStr">
        <is>
          <t>Independent assessor B score</t>
        </is>
      </c>
      <c r="F51" s="20">
        <f>IF(OR(D51="",E51=""),"",ABS(D51-E51))</f>
        <v/>
      </c>
      <c r="G51" s="20">
        <f>IF(F51="","PENDING",IF(F51&lt;=1,"AGREE","REVIEW"))</f>
        <v/>
      </c>
      <c r="H51" s="20">
        <f>IF(G51="REVIEW","Y","N")</f>
        <v/>
      </c>
      <c r="I51" s="20" t="inlineStr">
        <is>
          <t>Final calibrated score</t>
        </is>
      </c>
      <c r="J51" s="20" t="inlineStr">
        <is>
          <t>Notes</t>
        </is>
      </c>
    </row>
    <row r="52">
      <c r="A52" s="20" t="inlineStr">
        <is>
          <t>I10</t>
        </is>
      </c>
      <c r="B52" s="20" t="inlineStr">
        <is>
          <t>External Learning Ecosystem</t>
        </is>
      </c>
      <c r="C52" s="20" t="inlineStr">
        <is>
          <t>Use domain-specific anchor + metric rule + evidence gate</t>
        </is>
      </c>
      <c r="D52" s="20" t="inlineStr">
        <is>
          <t>Independent assessor A score</t>
        </is>
      </c>
      <c r="E52" s="20" t="inlineStr">
        <is>
          <t>Independent assessor B score</t>
        </is>
      </c>
      <c r="F52" s="20">
        <f>IF(OR(D52="",E52=""),"",ABS(D52-E52))</f>
        <v/>
      </c>
      <c r="G52" s="20">
        <f>IF(F52="","PENDING",IF(F52&lt;=1,"AGREE","REVIEW"))</f>
        <v/>
      </c>
      <c r="H52" s="20">
        <f>IF(G52="REVIEW","Y","N")</f>
        <v/>
      </c>
      <c r="I52" s="20" t="inlineStr">
        <is>
          <t>Final calibrated score</t>
        </is>
      </c>
      <c r="J52" s="20" t="inlineStr">
        <is>
          <t>Notes</t>
        </is>
      </c>
    </row>
    <row r="53">
      <c r="A53" s="20" t="inlineStr">
        <is>
          <t>I11</t>
        </is>
      </c>
      <c r="B53" s="20" t="inlineStr">
        <is>
          <t>Transfer Capability</t>
        </is>
      </c>
      <c r="C53" s="20" t="inlineStr">
        <is>
          <t>Use domain-specific anchor + metric rule + evidence gate</t>
        </is>
      </c>
      <c r="D53" s="20" t="inlineStr">
        <is>
          <t>Independent assessor A score</t>
        </is>
      </c>
      <c r="E53" s="20" t="inlineStr">
        <is>
          <t>Independent assessor B score</t>
        </is>
      </c>
      <c r="F53" s="20">
        <f>IF(OR(D53="",E53=""),"",ABS(D53-E53))</f>
        <v/>
      </c>
      <c r="G53" s="20">
        <f>IF(F53="","PENDING",IF(F53&lt;=1,"AGREE","REVIEW"))</f>
        <v/>
      </c>
      <c r="H53" s="20">
        <f>IF(G53="REVIEW","Y","N")</f>
        <v/>
      </c>
      <c r="I53" s="20" t="inlineStr">
        <is>
          <t>Final calibrated score</t>
        </is>
      </c>
      <c r="J53" s="20" t="inlineStr">
        <is>
          <t>Notes</t>
        </is>
      </c>
    </row>
    <row r="54">
      <c r="A54" s="20" t="inlineStr">
        <is>
          <t>I12</t>
        </is>
      </c>
      <c r="B54" s="20" t="inlineStr">
        <is>
          <t>Portfolio Foresight</t>
        </is>
      </c>
      <c r="C54" s="20" t="inlineStr">
        <is>
          <t>Use domain-specific anchor + metric rule + evidence gate</t>
        </is>
      </c>
      <c r="D54" s="20" t="inlineStr">
        <is>
          <t>Independent assessor A score</t>
        </is>
      </c>
      <c r="E54" s="20" t="inlineStr">
        <is>
          <t>Independent assessor B score</t>
        </is>
      </c>
      <c r="F54" s="20">
        <f>IF(OR(D54="",E54=""),"",ABS(D54-E54))</f>
        <v/>
      </c>
      <c r="G54" s="20">
        <f>IF(F54="","PENDING",IF(F54&lt;=1,"AGREE","REVIEW"))</f>
        <v/>
      </c>
      <c r="H54" s="20">
        <f>IF(G54="REVIEW","Y","N")</f>
        <v/>
      </c>
      <c r="I54" s="20" t="inlineStr">
        <is>
          <t>Final calibrated score</t>
        </is>
      </c>
      <c r="J54" s="20" t="inlineStr">
        <is>
          <t>Notes</t>
        </is>
      </c>
    </row>
    <row r="55">
      <c r="A55" s="20" t="inlineStr">
        <is>
          <t>I01</t>
        </is>
      </c>
      <c r="B55" s="20" t="inlineStr">
        <is>
          <t>Faculty AI Literacy Maturity</t>
        </is>
      </c>
      <c r="C55" s="20" t="inlineStr">
        <is>
          <t>Use domain-specific anchor + metric rule + evidence gate</t>
        </is>
      </c>
      <c r="D55" s="20" t="inlineStr">
        <is>
          <t>Independent assessor A score</t>
        </is>
      </c>
      <c r="E55" s="20" t="inlineStr">
        <is>
          <t>Independent assessor B score</t>
        </is>
      </c>
      <c r="F55" s="20">
        <f>IF(OR(D55="",E55=""),"",ABS(D55-E55))</f>
        <v/>
      </c>
      <c r="G55" s="20">
        <f>IF(F55="","PENDING",IF(F55&lt;=1,"AGREE","REVIEW"))</f>
        <v/>
      </c>
      <c r="H55" s="20">
        <f>IF(G55="REVIEW","Y","N")</f>
        <v/>
      </c>
      <c r="I55" s="20" t="inlineStr">
        <is>
          <t>Final calibrated score</t>
        </is>
      </c>
      <c r="J55" s="20" t="inlineStr">
        <is>
          <t>Notes</t>
        </is>
      </c>
    </row>
    <row r="56">
      <c r="A56" s="20" t="inlineStr">
        <is>
          <t>I02</t>
        </is>
      </c>
      <c r="B56" s="20" t="inlineStr">
        <is>
          <t>Discipline-Specific AI Practice</t>
        </is>
      </c>
      <c r="C56" s="20" t="inlineStr">
        <is>
          <t>Use domain-specific anchor + metric rule + evidence gate</t>
        </is>
      </c>
      <c r="D56" s="20" t="inlineStr">
        <is>
          <t>Independent assessor A score</t>
        </is>
      </c>
      <c r="E56" s="20" t="inlineStr">
        <is>
          <t>Independent assessor B score</t>
        </is>
      </c>
      <c r="F56" s="20">
        <f>IF(OR(D56="",E56=""),"",ABS(D56-E56))</f>
        <v/>
      </c>
      <c r="G56" s="20">
        <f>IF(F56="","PENDING",IF(F56&lt;=1,"AGREE","REVIEW"))</f>
        <v/>
      </c>
      <c r="H56" s="20">
        <f>IF(G56="REVIEW","Y","N")</f>
        <v/>
      </c>
      <c r="I56" s="20" t="inlineStr">
        <is>
          <t>Final calibrated score</t>
        </is>
      </c>
      <c r="J56" s="20" t="inlineStr">
        <is>
          <t>Notes</t>
        </is>
      </c>
    </row>
    <row r="57">
      <c r="A57" s="20" t="inlineStr">
        <is>
          <t>I03</t>
        </is>
      </c>
      <c r="B57" s="20" t="inlineStr">
        <is>
          <t>AI-Enhanced Pedagogy</t>
        </is>
      </c>
      <c r="C57" s="20" t="inlineStr">
        <is>
          <t>Use domain-specific anchor + metric rule + evidence gate</t>
        </is>
      </c>
      <c r="D57" s="20" t="inlineStr">
        <is>
          <t>Independent assessor A score</t>
        </is>
      </c>
      <c r="E57" s="20" t="inlineStr">
        <is>
          <t>Independent assessor B score</t>
        </is>
      </c>
      <c r="F57" s="20">
        <f>IF(OR(D57="",E57=""),"",ABS(D57-E57))</f>
        <v/>
      </c>
      <c r="G57" s="20">
        <f>IF(F57="","PENDING",IF(F57&lt;=1,"AGREE","REVIEW"))</f>
        <v/>
      </c>
      <c r="H57" s="20">
        <f>IF(G57="REVIEW","Y","N")</f>
        <v/>
      </c>
      <c r="I57" s="20" t="inlineStr">
        <is>
          <t>Final calibrated score</t>
        </is>
      </c>
      <c r="J57" s="20" t="inlineStr">
        <is>
          <t>Notes</t>
        </is>
      </c>
    </row>
    <row r="58">
      <c r="A58" s="20" t="inlineStr">
        <is>
          <t>I04</t>
        </is>
      </c>
      <c r="B58" s="20" t="inlineStr">
        <is>
          <t>Assessment Redesign Capability</t>
        </is>
      </c>
      <c r="C58" s="20" t="inlineStr">
        <is>
          <t>Use domain-specific anchor + metric rule + evidence gate</t>
        </is>
      </c>
      <c r="D58" s="20" t="inlineStr">
        <is>
          <t>Independent assessor A score</t>
        </is>
      </c>
      <c r="E58" s="20" t="inlineStr">
        <is>
          <t>Independent assessor B score</t>
        </is>
      </c>
      <c r="F58" s="20">
        <f>IF(OR(D58="",E58=""),"",ABS(D58-E58))</f>
        <v/>
      </c>
      <c r="G58" s="20">
        <f>IF(F58="","PENDING",IF(F58&lt;=1,"AGREE","REVIEW"))</f>
        <v/>
      </c>
      <c r="H58" s="20">
        <f>IF(G58="REVIEW","Y","N")</f>
        <v/>
      </c>
      <c r="I58" s="20" t="inlineStr">
        <is>
          <t>Final calibrated score</t>
        </is>
      </c>
      <c r="J58" s="20" t="inlineStr">
        <is>
          <t>Notes</t>
        </is>
      </c>
    </row>
    <row r="59">
      <c r="A59" s="20" t="inlineStr">
        <is>
          <t>I05</t>
        </is>
      </c>
      <c r="B59" s="20" t="inlineStr">
        <is>
          <t>Faculty Learning &amp; Development Effectiveness</t>
        </is>
      </c>
      <c r="C59" s="20" t="inlineStr">
        <is>
          <t>Use domain-specific anchor + metric rule + evidence gate</t>
        </is>
      </c>
      <c r="D59" s="20" t="inlineStr">
        <is>
          <t>Independent assessor A score</t>
        </is>
      </c>
      <c r="E59" s="20" t="inlineStr">
        <is>
          <t>Independent assessor B score</t>
        </is>
      </c>
      <c r="F59" s="20">
        <f>IF(OR(D59="",E59=""),"",ABS(D59-E59))</f>
        <v/>
      </c>
      <c r="G59" s="20">
        <f>IF(F59="","PENDING",IF(F59&lt;=1,"AGREE","REVIEW"))</f>
        <v/>
      </c>
      <c r="H59" s="20">
        <f>IF(G59="REVIEW","Y","N")</f>
        <v/>
      </c>
      <c r="I59" s="20" t="inlineStr">
        <is>
          <t>Final calibrated score</t>
        </is>
      </c>
      <c r="J59" s="20" t="inlineStr">
        <is>
          <t>Notes</t>
        </is>
      </c>
    </row>
    <row r="60">
      <c r="A60" s="20" t="inlineStr">
        <is>
          <t>I06</t>
        </is>
      </c>
      <c r="B60" s="20" t="inlineStr">
        <is>
          <t>Peer Learning &amp; Communities</t>
        </is>
      </c>
      <c r="C60" s="20" t="inlineStr">
        <is>
          <t>Use domain-specific anchor + metric rule + evidence gate</t>
        </is>
      </c>
      <c r="D60" s="20" t="inlineStr">
        <is>
          <t>Independent assessor A score</t>
        </is>
      </c>
      <c r="E60" s="20" t="inlineStr">
        <is>
          <t>Independent assessor B score</t>
        </is>
      </c>
      <c r="F60" s="20">
        <f>IF(OR(D60="",E60=""),"",ABS(D60-E60))</f>
        <v/>
      </c>
      <c r="G60" s="20">
        <f>IF(F60="","PENDING",IF(F60&lt;=1,"AGREE","REVIEW"))</f>
        <v/>
      </c>
      <c r="H60" s="20">
        <f>IF(G60="REVIEW","Y","N")</f>
        <v/>
      </c>
      <c r="I60" s="20" t="inlineStr">
        <is>
          <t>Final calibrated score</t>
        </is>
      </c>
      <c r="J60" s="20" t="inlineStr">
        <is>
          <t>Notes</t>
        </is>
      </c>
    </row>
    <row r="61">
      <c r="A61" s="20" t="inlineStr">
        <is>
          <t>I07</t>
        </is>
      </c>
      <c r="B61" s="20" t="inlineStr">
        <is>
          <t>AI Research &amp; Knowledge Creation</t>
        </is>
      </c>
      <c r="C61" s="20" t="inlineStr">
        <is>
          <t>Use domain-specific anchor + metric rule + evidence gate</t>
        </is>
      </c>
      <c r="D61" s="20" t="inlineStr">
        <is>
          <t>Independent assessor A score</t>
        </is>
      </c>
      <c r="E61" s="20" t="inlineStr">
        <is>
          <t>Independent assessor B score</t>
        </is>
      </c>
      <c r="F61" s="20">
        <f>IF(OR(D61="",E61=""),"",ABS(D61-E61))</f>
        <v/>
      </c>
      <c r="G61" s="20">
        <f>IF(F61="","PENDING",IF(F61&lt;=1,"AGREE","REVIEW"))</f>
        <v/>
      </c>
      <c r="H61" s="20">
        <f>IF(G61="REVIEW","Y","N")</f>
        <v/>
      </c>
      <c r="I61" s="20" t="inlineStr">
        <is>
          <t>Final calibrated score</t>
        </is>
      </c>
      <c r="J61" s="20" t="inlineStr">
        <is>
          <t>Notes</t>
        </is>
      </c>
    </row>
    <row r="62">
      <c r="A62" s="20" t="inlineStr">
        <is>
          <t>I08</t>
        </is>
      </c>
      <c r="B62" s="20" t="inlineStr">
        <is>
          <t>Academic Role Redesign</t>
        </is>
      </c>
      <c r="C62" s="20" t="inlineStr">
        <is>
          <t>Use domain-specific anchor + metric rule + evidence gate</t>
        </is>
      </c>
      <c r="D62" s="20" t="inlineStr">
        <is>
          <t>Independent assessor A score</t>
        </is>
      </c>
      <c r="E62" s="20" t="inlineStr">
        <is>
          <t>Independent assessor B score</t>
        </is>
      </c>
      <c r="F62" s="20">
        <f>IF(OR(D62="",E62=""),"",ABS(D62-E62))</f>
        <v/>
      </c>
      <c r="G62" s="20">
        <f>IF(F62="","PENDING",IF(F62&lt;=1,"AGREE","REVIEW"))</f>
        <v/>
      </c>
      <c r="H62" s="20">
        <f>IF(G62="REVIEW","Y","N")</f>
        <v/>
      </c>
      <c r="I62" s="20" t="inlineStr">
        <is>
          <t>Final calibrated score</t>
        </is>
      </c>
      <c r="J62" s="20" t="inlineStr">
        <is>
          <t>Notes</t>
        </is>
      </c>
    </row>
    <row r="63">
      <c r="A63" s="20" t="inlineStr">
        <is>
          <t>I09</t>
        </is>
      </c>
      <c r="B63" s="20" t="inlineStr">
        <is>
          <t>Workload &amp; Workflow Transformation</t>
        </is>
      </c>
      <c r="C63" s="20" t="inlineStr">
        <is>
          <t>Use domain-specific anchor + metric rule + evidence gate</t>
        </is>
      </c>
      <c r="D63" s="20" t="inlineStr">
        <is>
          <t>Independent assessor A score</t>
        </is>
      </c>
      <c r="E63" s="20" t="inlineStr">
        <is>
          <t>Independent assessor B score</t>
        </is>
      </c>
      <c r="F63" s="20">
        <f>IF(OR(D63="",E63=""),"",ABS(D63-E63))</f>
        <v/>
      </c>
      <c r="G63" s="20">
        <f>IF(F63="","PENDING",IF(F63&lt;=1,"AGREE","REVIEW"))</f>
        <v/>
      </c>
      <c r="H63" s="20">
        <f>IF(G63="REVIEW","Y","N")</f>
        <v/>
      </c>
      <c r="I63" s="20" t="inlineStr">
        <is>
          <t>Final calibrated score</t>
        </is>
      </c>
      <c r="J63" s="20" t="inlineStr">
        <is>
          <t>Notes</t>
        </is>
      </c>
    </row>
    <row r="64">
      <c r="A64" s="20" t="inlineStr">
        <is>
          <t>I10</t>
        </is>
      </c>
      <c r="B64" s="20" t="inlineStr">
        <is>
          <t>Faculty Support Infrastructure</t>
        </is>
      </c>
      <c r="C64" s="20" t="inlineStr">
        <is>
          <t>Use domain-specific anchor + metric rule + evidence gate</t>
        </is>
      </c>
      <c r="D64" s="20" t="inlineStr">
        <is>
          <t>Independent assessor A score</t>
        </is>
      </c>
      <c r="E64" s="20" t="inlineStr">
        <is>
          <t>Independent assessor B score</t>
        </is>
      </c>
      <c r="F64" s="20">
        <f>IF(OR(D64="",E64=""),"",ABS(D64-E64))</f>
        <v/>
      </c>
      <c r="G64" s="20">
        <f>IF(F64="","PENDING",IF(F64&lt;=1,"AGREE","REVIEW"))</f>
        <v/>
      </c>
      <c r="H64" s="20">
        <f>IF(G64="REVIEW","Y","N")</f>
        <v/>
      </c>
      <c r="I64" s="20" t="inlineStr">
        <is>
          <t>Final calibrated score</t>
        </is>
      </c>
      <c r="J64" s="20" t="inlineStr">
        <is>
          <t>Notes</t>
        </is>
      </c>
    </row>
    <row r="65">
      <c r="A65" s="20" t="inlineStr">
        <is>
          <t>I11</t>
        </is>
      </c>
      <c r="B65" s="20" t="inlineStr">
        <is>
          <t>Academic Leadership for AI</t>
        </is>
      </c>
      <c r="C65" s="20" t="inlineStr">
        <is>
          <t>Use domain-specific anchor + metric rule + evidence gate</t>
        </is>
      </c>
      <c r="D65" s="20" t="inlineStr">
        <is>
          <t>Independent assessor A score</t>
        </is>
      </c>
      <c r="E65" s="20" t="inlineStr">
        <is>
          <t>Independent assessor B score</t>
        </is>
      </c>
      <c r="F65" s="20">
        <f>IF(OR(D65="",E65=""),"",ABS(D65-E65))</f>
        <v/>
      </c>
      <c r="G65" s="20">
        <f>IF(F65="","PENDING",IF(F65&lt;=1,"AGREE","REVIEW"))</f>
        <v/>
      </c>
      <c r="H65" s="20">
        <f>IF(G65="REVIEW","Y","N")</f>
        <v/>
      </c>
      <c r="I65" s="20" t="inlineStr">
        <is>
          <t>Final calibrated score</t>
        </is>
      </c>
      <c r="J65" s="20" t="inlineStr">
        <is>
          <t>Notes</t>
        </is>
      </c>
    </row>
    <row r="66">
      <c r="A66" s="20" t="inlineStr">
        <is>
          <t>I12</t>
        </is>
      </c>
      <c r="B66" s="20" t="inlineStr">
        <is>
          <t>Faculty Adoption Learning Loop</t>
        </is>
      </c>
      <c r="C66" s="20" t="inlineStr">
        <is>
          <t>Use domain-specific anchor + metric rule + evidence gate</t>
        </is>
      </c>
      <c r="D66" s="20" t="inlineStr">
        <is>
          <t>Independent assessor A score</t>
        </is>
      </c>
      <c r="E66" s="20" t="inlineStr">
        <is>
          <t>Independent assessor B score</t>
        </is>
      </c>
      <c r="F66" s="20">
        <f>IF(OR(D66="",E66=""),"",ABS(D66-E66))</f>
        <v/>
      </c>
      <c r="G66" s="20">
        <f>IF(F66="","PENDING",IF(F66&lt;=1,"AGREE","REVIEW"))</f>
        <v/>
      </c>
      <c r="H66" s="20">
        <f>IF(G66="REVIEW","Y","N")</f>
        <v/>
      </c>
      <c r="I66" s="20" t="inlineStr">
        <is>
          <t>Final calibrated score</t>
        </is>
      </c>
      <c r="J66" s="20" t="inlineStr">
        <is>
          <t>Notes</t>
        </is>
      </c>
    </row>
    <row r="67">
      <c r="A67" s="20" t="inlineStr">
        <is>
          <t>I01</t>
        </is>
      </c>
      <c r="B67" s="20" t="inlineStr">
        <is>
          <t>Student AI Literacy</t>
        </is>
      </c>
      <c r="C67" s="20" t="inlineStr">
        <is>
          <t>Use domain-specific anchor + metric rule + evidence gate</t>
        </is>
      </c>
      <c r="D67" s="20" t="inlineStr">
        <is>
          <t>Independent assessor A score</t>
        </is>
      </c>
      <c r="E67" s="20" t="inlineStr">
        <is>
          <t>Independent assessor B score</t>
        </is>
      </c>
      <c r="F67" s="20">
        <f>IF(OR(D67="",E67=""),"",ABS(D67-E67))</f>
        <v/>
      </c>
      <c r="G67" s="20">
        <f>IF(F67="","PENDING",IF(F67&lt;=1,"AGREE","REVIEW"))</f>
        <v/>
      </c>
      <c r="H67" s="20">
        <f>IF(G67="REVIEW","Y","N")</f>
        <v/>
      </c>
      <c r="I67" s="20" t="inlineStr">
        <is>
          <t>Final calibrated score</t>
        </is>
      </c>
      <c r="J67" s="20" t="inlineStr">
        <is>
          <t>Notes</t>
        </is>
      </c>
    </row>
    <row r="68">
      <c r="A68" s="20" t="inlineStr">
        <is>
          <t>I02</t>
        </is>
      </c>
      <c r="B68" s="20" t="inlineStr">
        <is>
          <t>Critical AI Evaluation</t>
        </is>
      </c>
      <c r="C68" s="20" t="inlineStr">
        <is>
          <t>Use domain-specific anchor + metric rule + evidence gate</t>
        </is>
      </c>
      <c r="D68" s="20" t="inlineStr">
        <is>
          <t>Independent assessor A score</t>
        </is>
      </c>
      <c r="E68" s="20" t="inlineStr">
        <is>
          <t>Independent assessor B score</t>
        </is>
      </c>
      <c r="F68" s="20">
        <f>IF(OR(D68="",E68=""),"",ABS(D68-E68))</f>
        <v/>
      </c>
      <c r="G68" s="20">
        <f>IF(F68="","PENDING",IF(F68&lt;=1,"AGREE","REVIEW"))</f>
        <v/>
      </c>
      <c r="H68" s="20">
        <f>IF(G68="REVIEW","Y","N")</f>
        <v/>
      </c>
      <c r="I68" s="20" t="inlineStr">
        <is>
          <t>Final calibrated score</t>
        </is>
      </c>
      <c r="J68" s="20" t="inlineStr">
        <is>
          <t>Notes</t>
        </is>
      </c>
    </row>
    <row r="69">
      <c r="A69" s="20" t="inlineStr">
        <is>
          <t>I03</t>
        </is>
      </c>
      <c r="B69" s="20" t="inlineStr">
        <is>
          <t>Learning Agency</t>
        </is>
      </c>
      <c r="C69" s="20" t="inlineStr">
        <is>
          <t>Use domain-specific anchor + metric rule + evidence gate</t>
        </is>
      </c>
      <c r="D69" s="20" t="inlineStr">
        <is>
          <t>Independent assessor A score</t>
        </is>
      </c>
      <c r="E69" s="20" t="inlineStr">
        <is>
          <t>Independent assessor B score</t>
        </is>
      </c>
      <c r="F69" s="20">
        <f>IF(OR(D69="",E69=""),"",ABS(D69-E69))</f>
        <v/>
      </c>
      <c r="G69" s="20">
        <f>IF(F69="","PENDING",IF(F69&lt;=1,"AGREE","REVIEW"))</f>
        <v/>
      </c>
      <c r="H69" s="20">
        <f>IF(G69="REVIEW","Y","N")</f>
        <v/>
      </c>
      <c r="I69" s="20" t="inlineStr">
        <is>
          <t>Final calibrated score</t>
        </is>
      </c>
      <c r="J69" s="20" t="inlineStr">
        <is>
          <t>Notes</t>
        </is>
      </c>
    </row>
    <row r="70">
      <c r="A70" s="20" t="inlineStr">
        <is>
          <t>I04</t>
        </is>
      </c>
      <c r="B70" s="20" t="inlineStr">
        <is>
          <t>Independent Intellectual Agency</t>
        </is>
      </c>
      <c r="C70" s="20" t="inlineStr">
        <is>
          <t>Use domain-specific anchor + metric rule + evidence gate</t>
        </is>
      </c>
      <c r="D70" s="20" t="inlineStr">
        <is>
          <t>Independent assessor A score</t>
        </is>
      </c>
      <c r="E70" s="20" t="inlineStr">
        <is>
          <t>Independent assessor B score</t>
        </is>
      </c>
      <c r="F70" s="20">
        <f>IF(OR(D70="",E70=""),"",ABS(D70-E70))</f>
        <v/>
      </c>
      <c r="G70" s="20">
        <f>IF(F70="","PENDING",IF(F70&lt;=1,"AGREE","REVIEW"))</f>
        <v/>
      </c>
      <c r="H70" s="20">
        <f>IF(G70="REVIEW","Y","N")</f>
        <v/>
      </c>
      <c r="I70" s="20" t="inlineStr">
        <is>
          <t>Final calibrated score</t>
        </is>
      </c>
      <c r="J70" s="20" t="inlineStr">
        <is>
          <t>Notes</t>
        </is>
      </c>
    </row>
    <row r="71">
      <c r="A71" s="20" t="inlineStr">
        <is>
          <t>I05</t>
        </is>
      </c>
      <c r="B71" s="20" t="inlineStr">
        <is>
          <t>Communication &amp; Defence</t>
        </is>
      </c>
      <c r="C71" s="20" t="inlineStr">
        <is>
          <t>Use domain-specific anchor + metric rule + evidence gate</t>
        </is>
      </c>
      <c r="D71" s="20" t="inlineStr">
        <is>
          <t>Independent assessor A score</t>
        </is>
      </c>
      <c r="E71" s="20" t="inlineStr">
        <is>
          <t>Independent assessor B score</t>
        </is>
      </c>
      <c r="F71" s="20">
        <f>IF(OR(D71="",E71=""),"",ABS(D71-E71))</f>
        <v/>
      </c>
      <c r="G71" s="20">
        <f>IF(F71="","PENDING",IF(F71&lt;=1,"AGREE","REVIEW"))</f>
        <v/>
      </c>
      <c r="H71" s="20">
        <f>IF(G71="REVIEW","Y","N")</f>
        <v/>
      </c>
      <c r="I71" s="20" t="inlineStr">
        <is>
          <t>Final calibrated score</t>
        </is>
      </c>
      <c r="J71" s="20" t="inlineStr">
        <is>
          <t>Notes</t>
        </is>
      </c>
    </row>
    <row r="72">
      <c r="A72" s="20" t="inlineStr">
        <is>
          <t>I06</t>
        </is>
      </c>
      <c r="B72" s="20" t="inlineStr">
        <is>
          <t>Collaboration Capability</t>
        </is>
      </c>
      <c r="C72" s="20" t="inlineStr">
        <is>
          <t>Use domain-specific anchor + metric rule + evidence gate</t>
        </is>
      </c>
      <c r="D72" s="20" t="inlineStr">
        <is>
          <t>Independent assessor A score</t>
        </is>
      </c>
      <c r="E72" s="20" t="inlineStr">
        <is>
          <t>Independent assessor B score</t>
        </is>
      </c>
      <c r="F72" s="20">
        <f>IF(OR(D72="",E72=""),"",ABS(D72-E72))</f>
        <v/>
      </c>
      <c r="G72" s="20">
        <f>IF(F72="","PENDING",IF(F72&lt;=1,"AGREE","REVIEW"))</f>
        <v/>
      </c>
      <c r="H72" s="20">
        <f>IF(G72="REVIEW","Y","N")</f>
        <v/>
      </c>
      <c r="I72" s="20" t="inlineStr">
        <is>
          <t>Final calibrated score</t>
        </is>
      </c>
      <c r="J72" s="20" t="inlineStr">
        <is>
          <t>Notes</t>
        </is>
      </c>
    </row>
    <row r="73">
      <c r="A73" s="20" t="inlineStr">
        <is>
          <t>I07</t>
        </is>
      </c>
      <c r="B73" s="20" t="inlineStr">
        <is>
          <t>Practical Capability</t>
        </is>
      </c>
      <c r="C73" s="20" t="inlineStr">
        <is>
          <t>Use domain-specific anchor + metric rule + evidence gate</t>
        </is>
      </c>
      <c r="D73" s="20" t="inlineStr">
        <is>
          <t>Independent assessor A score</t>
        </is>
      </c>
      <c r="E73" s="20" t="inlineStr">
        <is>
          <t>Independent assessor B score</t>
        </is>
      </c>
      <c r="F73" s="20">
        <f>IF(OR(D73="",E73=""),"",ABS(D73-E73))</f>
        <v/>
      </c>
      <c r="G73" s="20">
        <f>IF(F73="","PENDING",IF(F73&lt;=1,"AGREE","REVIEW"))</f>
        <v/>
      </c>
      <c r="H73" s="20">
        <f>IF(G73="REVIEW","Y","N")</f>
        <v/>
      </c>
      <c r="I73" s="20" t="inlineStr">
        <is>
          <t>Final calibrated score</t>
        </is>
      </c>
      <c r="J73" s="20" t="inlineStr">
        <is>
          <t>Notes</t>
        </is>
      </c>
    </row>
    <row r="74">
      <c r="A74" s="20" t="inlineStr">
        <is>
          <t>I08</t>
        </is>
      </c>
      <c r="B74" s="20" t="inlineStr">
        <is>
          <t>Career Adaptability</t>
        </is>
      </c>
      <c r="C74" s="20" t="inlineStr">
        <is>
          <t>Use domain-specific anchor + metric rule + evidence gate</t>
        </is>
      </c>
      <c r="D74" s="20" t="inlineStr">
        <is>
          <t>Independent assessor A score</t>
        </is>
      </c>
      <c r="E74" s="20" t="inlineStr">
        <is>
          <t>Independent assessor B score</t>
        </is>
      </c>
      <c r="F74" s="20">
        <f>IF(OR(D74="",E74=""),"",ABS(D74-E74))</f>
        <v/>
      </c>
      <c r="G74" s="20">
        <f>IF(F74="","PENDING",IF(F74&lt;=1,"AGREE","REVIEW"))</f>
        <v/>
      </c>
      <c r="H74" s="20">
        <f>IF(G74="REVIEW","Y","N")</f>
        <v/>
      </c>
      <c r="I74" s="20" t="inlineStr">
        <is>
          <t>Final calibrated score</t>
        </is>
      </c>
      <c r="J74" s="20" t="inlineStr">
        <is>
          <t>Notes</t>
        </is>
      </c>
    </row>
    <row r="75">
      <c r="A75" s="20" t="inlineStr">
        <is>
          <t>I09</t>
        </is>
      </c>
      <c r="B75" s="20" t="inlineStr">
        <is>
          <t>Portfolio &amp; Capability Signalling</t>
        </is>
      </c>
      <c r="C75" s="20" t="inlineStr">
        <is>
          <t>Use domain-specific anchor + metric rule + evidence gate</t>
        </is>
      </c>
      <c r="D75" s="20" t="inlineStr">
        <is>
          <t>Independent assessor A score</t>
        </is>
      </c>
      <c r="E75" s="20" t="inlineStr">
        <is>
          <t>Independent assessor B score</t>
        </is>
      </c>
      <c r="F75" s="20">
        <f>IF(OR(D75="",E75=""),"",ABS(D75-E75))</f>
        <v/>
      </c>
      <c r="G75" s="20">
        <f>IF(F75="","PENDING",IF(F75&lt;=1,"AGREE","REVIEW"))</f>
        <v/>
      </c>
      <c r="H75" s="20">
        <f>IF(G75="REVIEW","Y","N")</f>
        <v/>
      </c>
      <c r="I75" s="20" t="inlineStr">
        <is>
          <t>Final calibrated score</t>
        </is>
      </c>
      <c r="J75" s="20" t="inlineStr">
        <is>
          <t>Notes</t>
        </is>
      </c>
    </row>
    <row r="76">
      <c r="A76" s="20" t="inlineStr">
        <is>
          <t>I10</t>
        </is>
      </c>
      <c r="B76" s="20" t="inlineStr">
        <is>
          <t>Problem Solving &amp; Transfer</t>
        </is>
      </c>
      <c r="C76" s="20" t="inlineStr">
        <is>
          <t>Use domain-specific anchor + metric rule + evidence gate</t>
        </is>
      </c>
      <c r="D76" s="20" t="inlineStr">
        <is>
          <t>Independent assessor A score</t>
        </is>
      </c>
      <c r="E76" s="20" t="inlineStr">
        <is>
          <t>Independent assessor B score</t>
        </is>
      </c>
      <c r="F76" s="20">
        <f>IF(OR(D76="",E76=""),"",ABS(D76-E76))</f>
        <v/>
      </c>
      <c r="G76" s="20">
        <f>IF(F76="","PENDING",IF(F76&lt;=1,"AGREE","REVIEW"))</f>
        <v/>
      </c>
      <c r="H76" s="20">
        <f>IF(G76="REVIEW","Y","N")</f>
        <v/>
      </c>
      <c r="I76" s="20" t="inlineStr">
        <is>
          <t>Final calibrated score</t>
        </is>
      </c>
      <c r="J76" s="20" t="inlineStr">
        <is>
          <t>Notes</t>
        </is>
      </c>
    </row>
    <row r="77">
      <c r="A77" s="20" t="inlineStr">
        <is>
          <t>I11</t>
        </is>
      </c>
      <c r="B77" s="20" t="inlineStr">
        <is>
          <t>Creator &amp; Entrepreneurial Agency</t>
        </is>
      </c>
      <c r="C77" s="20" t="inlineStr">
        <is>
          <t>Use domain-specific anchor + metric rule + evidence gate</t>
        </is>
      </c>
      <c r="D77" s="20" t="inlineStr">
        <is>
          <t>Independent assessor A score</t>
        </is>
      </c>
      <c r="E77" s="20" t="inlineStr">
        <is>
          <t>Independent assessor B score</t>
        </is>
      </c>
      <c r="F77" s="20">
        <f>IF(OR(D77="",E77=""),"",ABS(D77-E77))</f>
        <v/>
      </c>
      <c r="G77" s="20">
        <f>IF(F77="","PENDING",IF(F77&lt;=1,"AGREE","REVIEW"))</f>
        <v/>
      </c>
      <c r="H77" s="20">
        <f>IF(G77="REVIEW","Y","N")</f>
        <v/>
      </c>
      <c r="I77" s="20" t="inlineStr">
        <is>
          <t>Final calibrated score</t>
        </is>
      </c>
      <c r="J77" s="20" t="inlineStr">
        <is>
          <t>Notes</t>
        </is>
      </c>
    </row>
    <row r="78">
      <c r="A78" s="20" t="inlineStr">
        <is>
          <t>I12</t>
        </is>
      </c>
      <c r="B78" s="20" t="inlineStr">
        <is>
          <t>Digital Citizenship &amp; Responsible Use</t>
        </is>
      </c>
      <c r="C78" s="20" t="inlineStr">
        <is>
          <t>Use domain-specific anchor + metric rule + evidence gate</t>
        </is>
      </c>
      <c r="D78" s="20" t="inlineStr">
        <is>
          <t>Independent assessor A score</t>
        </is>
      </c>
      <c r="E78" s="20" t="inlineStr">
        <is>
          <t>Independent assessor B score</t>
        </is>
      </c>
      <c r="F78" s="20">
        <f>IF(OR(D78="",E78=""),"",ABS(D78-E78))</f>
        <v/>
      </c>
      <c r="G78" s="20">
        <f>IF(F78="","PENDING",IF(F78&lt;=1,"AGREE","REVIEW"))</f>
        <v/>
      </c>
      <c r="H78" s="20">
        <f>IF(G78="REVIEW","Y","N")</f>
        <v/>
      </c>
      <c r="I78" s="20" t="inlineStr">
        <is>
          <t>Final calibrated score</t>
        </is>
      </c>
      <c r="J78" s="20" t="inlineStr">
        <is>
          <t>Notes</t>
        </is>
      </c>
    </row>
    <row r="79">
      <c r="A79" s="20" t="inlineStr">
        <is>
          <t>I13</t>
        </is>
      </c>
      <c r="B79" s="20" t="inlineStr">
        <is>
          <t>Equitable AI Access</t>
        </is>
      </c>
      <c r="C79" s="20" t="inlineStr">
        <is>
          <t>Use domain-specific anchor + metric rule + evidence gate</t>
        </is>
      </c>
      <c r="D79" s="20" t="inlineStr">
        <is>
          <t>Independent assessor A score</t>
        </is>
      </c>
      <c r="E79" s="20" t="inlineStr">
        <is>
          <t>Independent assessor B score</t>
        </is>
      </c>
      <c r="F79" s="20">
        <f>IF(OR(D79="",E79=""),"",ABS(D79-E79))</f>
        <v/>
      </c>
      <c r="G79" s="20">
        <f>IF(F79="","PENDING",IF(F79&lt;=1,"AGREE","REVIEW"))</f>
        <v/>
      </c>
      <c r="H79" s="20">
        <f>IF(G79="REVIEW","Y","N")</f>
        <v/>
      </c>
      <c r="I79" s="20" t="inlineStr">
        <is>
          <t>Final calibrated score</t>
        </is>
      </c>
      <c r="J79" s="20" t="inlineStr">
        <is>
          <t>Notes</t>
        </is>
      </c>
    </row>
    <row r="80">
      <c r="A80" s="20" t="inlineStr">
        <is>
          <t>I14</t>
        </is>
      </c>
      <c r="B80" s="20" t="inlineStr">
        <is>
          <t>Student Voice &amp; Feedback Loop</t>
        </is>
      </c>
      <c r="C80" s="20" t="inlineStr">
        <is>
          <t>Use domain-specific anchor + metric rule + evidence gate</t>
        </is>
      </c>
      <c r="D80" s="20" t="inlineStr">
        <is>
          <t>Independent assessor A score</t>
        </is>
      </c>
      <c r="E80" s="20" t="inlineStr">
        <is>
          <t>Independent assessor B score</t>
        </is>
      </c>
      <c r="F80" s="20">
        <f>IF(OR(D80="",E80=""),"",ABS(D80-E80))</f>
        <v/>
      </c>
      <c r="G80" s="20">
        <f>IF(F80="","PENDING",IF(F80&lt;=1,"AGREE","REVIEW"))</f>
        <v/>
      </c>
      <c r="H80" s="20">
        <f>IF(G80="REVIEW","Y","N")</f>
        <v/>
      </c>
      <c r="I80" s="20" t="inlineStr">
        <is>
          <t>Final calibrated score</t>
        </is>
      </c>
      <c r="J80" s="20" t="inlineStr">
        <is>
          <t>Notes</t>
        </is>
      </c>
    </row>
    <row r="81">
      <c r="A81" s="20" t="inlineStr">
        <is>
          <t>I01</t>
        </is>
      </c>
      <c r="B81" s="20" t="inlineStr">
        <is>
          <t>Assessment Design Maturity</t>
        </is>
      </c>
      <c r="C81" s="20" t="inlineStr">
        <is>
          <t>Use domain-specific anchor + metric rule + evidence gate</t>
        </is>
      </c>
      <c r="D81" s="20" t="inlineStr">
        <is>
          <t>Independent assessor A score</t>
        </is>
      </c>
      <c r="E81" s="20" t="inlineStr">
        <is>
          <t>Independent assessor B score</t>
        </is>
      </c>
      <c r="F81" s="20">
        <f>IF(OR(D81="",E81=""),"",ABS(D81-E81))</f>
        <v/>
      </c>
      <c r="G81" s="20">
        <f>IF(F81="","PENDING",IF(F81&lt;=1,"AGREE","REVIEW"))</f>
        <v/>
      </c>
      <c r="H81" s="20">
        <f>IF(G81="REVIEW","Y","N")</f>
        <v/>
      </c>
      <c r="I81" s="20" t="inlineStr">
        <is>
          <t>Final calibrated score</t>
        </is>
      </c>
      <c r="J81" s="20" t="inlineStr">
        <is>
          <t>Notes</t>
        </is>
      </c>
    </row>
    <row r="82">
      <c r="A82" s="20" t="inlineStr">
        <is>
          <t>I02</t>
        </is>
      </c>
      <c r="B82" s="20" t="inlineStr">
        <is>
          <t>Cognitive Demonstration Depth</t>
        </is>
      </c>
      <c r="C82" s="20" t="inlineStr">
        <is>
          <t>Use domain-specific anchor + metric rule + evidence gate</t>
        </is>
      </c>
      <c r="D82" s="20" t="inlineStr">
        <is>
          <t>Independent assessor A score</t>
        </is>
      </c>
      <c r="E82" s="20" t="inlineStr">
        <is>
          <t>Independent assessor B score</t>
        </is>
      </c>
      <c r="F82" s="20">
        <f>IF(OR(D82="",E82=""),"",ABS(D82-E82))</f>
        <v/>
      </c>
      <c r="G82" s="20">
        <f>IF(F82="","PENDING",IF(F82&lt;=1,"AGREE","REVIEW"))</f>
        <v/>
      </c>
      <c r="H82" s="20">
        <f>IF(G82="REVIEW","Y","N")</f>
        <v/>
      </c>
      <c r="I82" s="20" t="inlineStr">
        <is>
          <t>Final calibrated score</t>
        </is>
      </c>
      <c r="J82" s="20" t="inlineStr">
        <is>
          <t>Notes</t>
        </is>
      </c>
    </row>
    <row r="83">
      <c r="A83" s="20" t="inlineStr">
        <is>
          <t>I03</t>
        </is>
      </c>
      <c r="B83" s="20" t="inlineStr">
        <is>
          <t>Authenticity of Demonstration</t>
        </is>
      </c>
      <c r="C83" s="20" t="inlineStr">
        <is>
          <t>Use domain-specific anchor + metric rule + evidence gate</t>
        </is>
      </c>
      <c r="D83" s="20" t="inlineStr">
        <is>
          <t>Independent assessor A score</t>
        </is>
      </c>
      <c r="E83" s="20" t="inlineStr">
        <is>
          <t>Independent assessor B score</t>
        </is>
      </c>
      <c r="F83" s="20">
        <f>IF(OR(D83="",E83=""),"",ABS(D83-E83))</f>
        <v/>
      </c>
      <c r="G83" s="20">
        <f>IF(F83="","PENDING",IF(F83&lt;=1,"AGREE","REVIEW"))</f>
        <v/>
      </c>
      <c r="H83" s="20">
        <f>IF(G83="REVIEW","Y","N")</f>
        <v/>
      </c>
      <c r="I83" s="20" t="inlineStr">
        <is>
          <t>Final calibrated score</t>
        </is>
      </c>
      <c r="J83" s="20" t="inlineStr">
        <is>
          <t>Notes</t>
        </is>
      </c>
    </row>
    <row r="84">
      <c r="A84" s="20" t="inlineStr">
        <is>
          <t>I04</t>
        </is>
      </c>
      <c r="B84" s="20" t="inlineStr">
        <is>
          <t>AI-Aware Assessment Maturity</t>
        </is>
      </c>
      <c r="C84" s="20" t="inlineStr">
        <is>
          <t>Use domain-specific anchor + metric rule + evidence gate</t>
        </is>
      </c>
      <c r="D84" s="20" t="inlineStr">
        <is>
          <t>Independent assessor A score</t>
        </is>
      </c>
      <c r="E84" s="20" t="inlineStr">
        <is>
          <t>Independent assessor B score</t>
        </is>
      </c>
      <c r="F84" s="20">
        <f>IF(OR(D84="",E84=""),"",ABS(D84-E84))</f>
        <v/>
      </c>
      <c r="G84" s="20">
        <f>IF(F84="","PENDING",IF(F84&lt;=1,"AGREE","REVIEW"))</f>
        <v/>
      </c>
      <c r="H84" s="20">
        <f>IF(G84="REVIEW","Y","N")</f>
        <v/>
      </c>
      <c r="I84" s="20" t="inlineStr">
        <is>
          <t>Final calibrated score</t>
        </is>
      </c>
      <c r="J84" s="20" t="inlineStr">
        <is>
          <t>Notes</t>
        </is>
      </c>
    </row>
    <row r="85">
      <c r="A85" s="20" t="inlineStr">
        <is>
          <t>I05</t>
        </is>
      </c>
      <c r="B85" s="20" t="inlineStr">
        <is>
          <t>Verification &amp; Defence</t>
        </is>
      </c>
      <c r="C85" s="20" t="inlineStr">
        <is>
          <t>Use domain-specific anchor + metric rule + evidence gate</t>
        </is>
      </c>
      <c r="D85" s="20" t="inlineStr">
        <is>
          <t>Independent assessor A score</t>
        </is>
      </c>
      <c r="E85" s="20" t="inlineStr">
        <is>
          <t>Independent assessor B score</t>
        </is>
      </c>
      <c r="F85" s="20">
        <f>IF(OR(D85="",E85=""),"",ABS(D85-E85))</f>
        <v/>
      </c>
      <c r="G85" s="20">
        <f>IF(F85="","PENDING",IF(F85&lt;=1,"AGREE","REVIEW"))</f>
        <v/>
      </c>
      <c r="H85" s="20">
        <f>IF(G85="REVIEW","Y","N")</f>
        <v/>
      </c>
      <c r="I85" s="20" t="inlineStr">
        <is>
          <t>Final calibrated score</t>
        </is>
      </c>
      <c r="J85" s="20" t="inlineStr">
        <is>
          <t>Notes</t>
        </is>
      </c>
    </row>
    <row r="86">
      <c r="A86" s="20" t="inlineStr">
        <is>
          <t>I06</t>
        </is>
      </c>
      <c r="B86" s="20" t="inlineStr">
        <is>
          <t>Feedback Intelligence</t>
        </is>
      </c>
      <c r="C86" s="20" t="inlineStr">
        <is>
          <t>Use domain-specific anchor + metric rule + evidence gate</t>
        </is>
      </c>
      <c r="D86" s="20" t="inlineStr">
        <is>
          <t>Independent assessor A score</t>
        </is>
      </c>
      <c r="E86" s="20" t="inlineStr">
        <is>
          <t>Independent assessor B score</t>
        </is>
      </c>
      <c r="F86" s="20">
        <f>IF(OR(D86="",E86=""),"",ABS(D86-E86))</f>
        <v/>
      </c>
      <c r="G86" s="20">
        <f>IF(F86="","PENDING",IF(F86&lt;=1,"AGREE","REVIEW"))</f>
        <v/>
      </c>
      <c r="H86" s="20">
        <f>IF(G86="REVIEW","Y","N")</f>
        <v/>
      </c>
      <c r="I86" s="20" t="inlineStr">
        <is>
          <t>Final calibrated score</t>
        </is>
      </c>
      <c r="J86" s="20" t="inlineStr">
        <is>
          <t>Notes</t>
        </is>
      </c>
    </row>
    <row r="87">
      <c r="A87" s="20" t="inlineStr">
        <is>
          <t>I07</t>
        </is>
      </c>
      <c r="B87" s="20" t="inlineStr">
        <is>
          <t>Evidence of Learning</t>
        </is>
      </c>
      <c r="C87" s="20" t="inlineStr">
        <is>
          <t>Use domain-specific anchor + metric rule + evidence gate</t>
        </is>
      </c>
      <c r="D87" s="20" t="inlineStr">
        <is>
          <t>Independent assessor A score</t>
        </is>
      </c>
      <c r="E87" s="20" t="inlineStr">
        <is>
          <t>Independent assessor B score</t>
        </is>
      </c>
      <c r="F87" s="20">
        <f>IF(OR(D87="",E87=""),"",ABS(D87-E87))</f>
        <v/>
      </c>
      <c r="G87" s="20">
        <f>IF(F87="","PENDING",IF(F87&lt;=1,"AGREE","REVIEW"))</f>
        <v/>
      </c>
      <c r="H87" s="20">
        <f>IF(G87="REVIEW","Y","N")</f>
        <v/>
      </c>
      <c r="I87" s="20" t="inlineStr">
        <is>
          <t>Final calibrated score</t>
        </is>
      </c>
      <c r="J87" s="20" t="inlineStr">
        <is>
          <t>Notes</t>
        </is>
      </c>
    </row>
    <row r="88">
      <c r="A88" s="20" t="inlineStr">
        <is>
          <t>I08</t>
        </is>
      </c>
      <c r="B88" s="20" t="inlineStr">
        <is>
          <t>Capability Outcome Measurement</t>
        </is>
      </c>
      <c r="C88" s="20" t="inlineStr">
        <is>
          <t>Use domain-specific anchor + metric rule + evidence gate</t>
        </is>
      </c>
      <c r="D88" s="20" t="inlineStr">
        <is>
          <t>Independent assessor A score</t>
        </is>
      </c>
      <c r="E88" s="20" t="inlineStr">
        <is>
          <t>Independent assessor B score</t>
        </is>
      </c>
      <c r="F88" s="20">
        <f>IF(OR(D88="",E88=""),"",ABS(D88-E88))</f>
        <v/>
      </c>
      <c r="G88" s="20">
        <f>IF(F88="","PENDING",IF(F88&lt;=1,"AGREE","REVIEW"))</f>
        <v/>
      </c>
      <c r="H88" s="20">
        <f>IF(G88="REVIEW","Y","N")</f>
        <v/>
      </c>
      <c r="I88" s="20" t="inlineStr">
        <is>
          <t>Final calibrated score</t>
        </is>
      </c>
      <c r="J88" s="20" t="inlineStr">
        <is>
          <t>Notes</t>
        </is>
      </c>
    </row>
    <row r="89">
      <c r="A89" s="20" t="inlineStr">
        <is>
          <t>I09</t>
        </is>
      </c>
      <c r="B89" s="20" t="inlineStr">
        <is>
          <t>Assessment Equity &amp; Access</t>
        </is>
      </c>
      <c r="C89" s="20" t="inlineStr">
        <is>
          <t>Use domain-specific anchor + metric rule + evidence gate</t>
        </is>
      </c>
      <c r="D89" s="20" t="inlineStr">
        <is>
          <t>Independent assessor A score</t>
        </is>
      </c>
      <c r="E89" s="20" t="inlineStr">
        <is>
          <t>Independent assessor B score</t>
        </is>
      </c>
      <c r="F89" s="20">
        <f>IF(OR(D89="",E89=""),"",ABS(D89-E89))</f>
        <v/>
      </c>
      <c r="G89" s="20">
        <f>IF(F89="","PENDING",IF(F89&lt;=1,"AGREE","REVIEW"))</f>
        <v/>
      </c>
      <c r="H89" s="20">
        <f>IF(G89="REVIEW","Y","N")</f>
        <v/>
      </c>
      <c r="I89" s="20" t="inlineStr">
        <is>
          <t>Final calibrated score</t>
        </is>
      </c>
      <c r="J89" s="20" t="inlineStr">
        <is>
          <t>Notes</t>
        </is>
      </c>
    </row>
    <row r="90">
      <c r="A90" s="20" t="inlineStr">
        <is>
          <t>I10</t>
        </is>
      </c>
      <c r="B90" s="20" t="inlineStr">
        <is>
          <t>Assessment Governance</t>
        </is>
      </c>
      <c r="C90" s="20" t="inlineStr">
        <is>
          <t>Use domain-specific anchor + metric rule + evidence gate</t>
        </is>
      </c>
      <c r="D90" s="20" t="inlineStr">
        <is>
          <t>Independent assessor A score</t>
        </is>
      </c>
      <c r="E90" s="20" t="inlineStr">
        <is>
          <t>Independent assessor B score</t>
        </is>
      </c>
      <c r="F90" s="20">
        <f>IF(OR(D90="",E90=""),"",ABS(D90-E90))</f>
        <v/>
      </c>
      <c r="G90" s="20">
        <f>IF(F90="","PENDING",IF(F90&lt;=1,"AGREE","REVIEW"))</f>
        <v/>
      </c>
      <c r="H90" s="20">
        <f>IF(G90="REVIEW","Y","N")</f>
        <v/>
      </c>
      <c r="I90" s="20" t="inlineStr">
        <is>
          <t>Final calibrated score</t>
        </is>
      </c>
      <c r="J90" s="20" t="inlineStr">
        <is>
          <t>Notes</t>
        </is>
      </c>
    </row>
    <row r="91">
      <c r="A91" s="20" t="inlineStr">
        <is>
          <t>I11</t>
        </is>
      </c>
      <c r="B91" s="20" t="inlineStr">
        <is>
          <t>Assessment Innovation</t>
        </is>
      </c>
      <c r="C91" s="20" t="inlineStr">
        <is>
          <t>Use domain-specific anchor + metric rule + evidence gate</t>
        </is>
      </c>
      <c r="D91" s="20" t="inlineStr">
        <is>
          <t>Independent assessor A score</t>
        </is>
      </c>
      <c r="E91" s="20" t="inlineStr">
        <is>
          <t>Independent assessor B score</t>
        </is>
      </c>
      <c r="F91" s="20">
        <f>IF(OR(D91="",E91=""),"",ABS(D91-E91))</f>
        <v/>
      </c>
      <c r="G91" s="20">
        <f>IF(F91="","PENDING",IF(F91&lt;=1,"AGREE","REVIEW"))</f>
        <v/>
      </c>
      <c r="H91" s="20">
        <f>IF(G91="REVIEW","Y","N")</f>
        <v/>
      </c>
      <c r="I91" s="20" t="inlineStr">
        <is>
          <t>Final calibrated score</t>
        </is>
      </c>
      <c r="J91" s="20" t="inlineStr">
        <is>
          <t>Notes</t>
        </is>
      </c>
    </row>
    <row r="92">
      <c r="A92" s="20" t="inlineStr">
        <is>
          <t>I12</t>
        </is>
      </c>
      <c r="B92" s="20" t="inlineStr">
        <is>
          <t>Learning Evidence Analytics</t>
        </is>
      </c>
      <c r="C92" s="20" t="inlineStr">
        <is>
          <t>Use domain-specific anchor + metric rule + evidence gate</t>
        </is>
      </c>
      <c r="D92" s="20" t="inlineStr">
        <is>
          <t>Independent assessor A score</t>
        </is>
      </c>
      <c r="E92" s="20" t="inlineStr">
        <is>
          <t>Independent assessor B score</t>
        </is>
      </c>
      <c r="F92" s="20">
        <f>IF(OR(D92="",E92=""),"",ABS(D92-E92))</f>
        <v/>
      </c>
      <c r="G92" s="20">
        <f>IF(F92="","PENDING",IF(F92&lt;=1,"AGREE","REVIEW"))</f>
        <v/>
      </c>
      <c r="H92" s="20">
        <f>IF(G92="REVIEW","Y","N")</f>
        <v/>
      </c>
      <c r="I92" s="20" t="inlineStr">
        <is>
          <t>Final calibrated score</t>
        </is>
      </c>
      <c r="J92" s="20" t="inlineStr">
        <is>
          <t>Notes</t>
        </is>
      </c>
    </row>
    <row r="93">
      <c r="A93" s="20" t="inlineStr">
        <is>
          <t>I01</t>
        </is>
      </c>
      <c r="B93" s="20" t="inlineStr">
        <is>
          <t>Digital Environment Readiness</t>
        </is>
      </c>
      <c r="C93" s="20" t="inlineStr">
        <is>
          <t>Use domain-specific anchor + metric rule + evidence gate</t>
        </is>
      </c>
      <c r="D93" s="20" t="inlineStr">
        <is>
          <t>Independent assessor A score</t>
        </is>
      </c>
      <c r="E93" s="20" t="inlineStr">
        <is>
          <t>Independent assessor B score</t>
        </is>
      </c>
      <c r="F93" s="20">
        <f>IF(OR(D93="",E93=""),"",ABS(D93-E93))</f>
        <v/>
      </c>
      <c r="G93" s="20">
        <f>IF(F93="","PENDING",IF(F93&lt;=1,"AGREE","REVIEW"))</f>
        <v/>
      </c>
      <c r="H93" s="20">
        <f>IF(G93="REVIEW","Y","N")</f>
        <v/>
      </c>
      <c r="I93" s="20" t="inlineStr">
        <is>
          <t>Final calibrated score</t>
        </is>
      </c>
      <c r="J93" s="20" t="inlineStr">
        <is>
          <t>Notes</t>
        </is>
      </c>
    </row>
    <row r="94">
      <c r="A94" s="20" t="inlineStr">
        <is>
          <t>I02</t>
        </is>
      </c>
      <c r="B94" s="20" t="inlineStr">
        <is>
          <t>Institutional Data Architecture</t>
        </is>
      </c>
      <c r="C94" s="20" t="inlineStr">
        <is>
          <t>Use domain-specific anchor + metric rule + evidence gate</t>
        </is>
      </c>
      <c r="D94" s="20" t="inlineStr">
        <is>
          <t>Independent assessor A score</t>
        </is>
      </c>
      <c r="E94" s="20" t="inlineStr">
        <is>
          <t>Independent assessor B score</t>
        </is>
      </c>
      <c r="F94" s="20">
        <f>IF(OR(D94="",E94=""),"",ABS(D94-E94))</f>
        <v/>
      </c>
      <c r="G94" s="20">
        <f>IF(F94="","PENDING",IF(F94&lt;=1,"AGREE","REVIEW"))</f>
        <v/>
      </c>
      <c r="H94" s="20">
        <f>IF(G94="REVIEW","Y","N")</f>
        <v/>
      </c>
      <c r="I94" s="20" t="inlineStr">
        <is>
          <t>Final calibrated score</t>
        </is>
      </c>
      <c r="J94" s="20" t="inlineStr">
        <is>
          <t>Notes</t>
        </is>
      </c>
    </row>
    <row r="95">
      <c r="A95" s="20" t="inlineStr">
        <is>
          <t>I03</t>
        </is>
      </c>
      <c r="B95" s="20" t="inlineStr">
        <is>
          <t>Data Quality &amp; Integrity</t>
        </is>
      </c>
      <c r="C95" s="20" t="inlineStr">
        <is>
          <t>Use domain-specific anchor + metric rule + evidence gate</t>
        </is>
      </c>
      <c r="D95" s="20" t="inlineStr">
        <is>
          <t>Independent assessor A score</t>
        </is>
      </c>
      <c r="E95" s="20" t="inlineStr">
        <is>
          <t>Independent assessor B score</t>
        </is>
      </c>
      <c r="F95" s="20">
        <f>IF(OR(D95="",E95=""),"",ABS(D95-E95))</f>
        <v/>
      </c>
      <c r="G95" s="20">
        <f>IF(F95="","PENDING",IF(F95&lt;=1,"AGREE","REVIEW"))</f>
        <v/>
      </c>
      <c r="H95" s="20">
        <f>IF(G95="REVIEW","Y","N")</f>
        <v/>
      </c>
      <c r="I95" s="20" t="inlineStr">
        <is>
          <t>Final calibrated score</t>
        </is>
      </c>
      <c r="J95" s="20" t="inlineStr">
        <is>
          <t>Notes</t>
        </is>
      </c>
    </row>
    <row r="96">
      <c r="A96" s="20" t="inlineStr">
        <is>
          <t>I04</t>
        </is>
      </c>
      <c r="B96" s="20" t="inlineStr">
        <is>
          <t>System Interoperability</t>
        </is>
      </c>
      <c r="C96" s="20" t="inlineStr">
        <is>
          <t>Use domain-specific anchor + metric rule + evidence gate</t>
        </is>
      </c>
      <c r="D96" s="20" t="inlineStr">
        <is>
          <t>Independent assessor A score</t>
        </is>
      </c>
      <c r="E96" s="20" t="inlineStr">
        <is>
          <t>Independent assessor B score</t>
        </is>
      </c>
      <c r="F96" s="20">
        <f>IF(OR(D96="",E96=""),"",ABS(D96-E96))</f>
        <v/>
      </c>
      <c r="G96" s="20">
        <f>IF(F96="","PENDING",IF(F96&lt;=1,"AGREE","REVIEW"))</f>
        <v/>
      </c>
      <c r="H96" s="20">
        <f>IF(G96="REVIEW","Y","N")</f>
        <v/>
      </c>
      <c r="I96" s="20" t="inlineStr">
        <is>
          <t>Final calibrated score</t>
        </is>
      </c>
      <c r="J96" s="20" t="inlineStr">
        <is>
          <t>Notes</t>
        </is>
      </c>
    </row>
    <row r="97">
      <c r="A97" s="20" t="inlineStr">
        <is>
          <t>I05</t>
        </is>
      </c>
      <c r="B97" s="20" t="inlineStr">
        <is>
          <t>Decision Intelligence</t>
        </is>
      </c>
      <c r="C97" s="20" t="inlineStr">
        <is>
          <t>Use domain-specific anchor + metric rule + evidence gate</t>
        </is>
      </c>
      <c r="D97" s="20" t="inlineStr">
        <is>
          <t>Independent assessor A score</t>
        </is>
      </c>
      <c r="E97" s="20" t="inlineStr">
        <is>
          <t>Independent assessor B score</t>
        </is>
      </c>
      <c r="F97" s="20">
        <f>IF(OR(D97="",E97=""),"",ABS(D97-E97))</f>
        <v/>
      </c>
      <c r="G97" s="20">
        <f>IF(F97="","PENDING",IF(F97&lt;=1,"AGREE","REVIEW"))</f>
        <v/>
      </c>
      <c r="H97" s="20">
        <f>IF(G97="REVIEW","Y","N")</f>
        <v/>
      </c>
      <c r="I97" s="20" t="inlineStr">
        <is>
          <t>Final calibrated score</t>
        </is>
      </c>
      <c r="J97" s="20" t="inlineStr">
        <is>
          <t>Notes</t>
        </is>
      </c>
    </row>
    <row r="98">
      <c r="A98" s="20" t="inlineStr">
        <is>
          <t>I06</t>
        </is>
      </c>
      <c r="B98" s="20" t="inlineStr">
        <is>
          <t>AI Enablement Readiness</t>
        </is>
      </c>
      <c r="C98" s="20" t="inlineStr">
        <is>
          <t>Use domain-specific anchor + metric rule + evidence gate</t>
        </is>
      </c>
      <c r="D98" s="20" t="inlineStr">
        <is>
          <t>Independent assessor A score</t>
        </is>
      </c>
      <c r="E98" s="20" t="inlineStr">
        <is>
          <t>Independent assessor B score</t>
        </is>
      </c>
      <c r="F98" s="20">
        <f>IF(OR(D98="",E98=""),"",ABS(D98-E98))</f>
        <v/>
      </c>
      <c r="G98" s="20">
        <f>IF(F98="","PENDING",IF(F98&lt;=1,"AGREE","REVIEW"))</f>
        <v/>
      </c>
      <c r="H98" s="20">
        <f>IF(G98="REVIEW","Y","N")</f>
        <v/>
      </c>
      <c r="I98" s="20" t="inlineStr">
        <is>
          <t>Final calibrated score</t>
        </is>
      </c>
      <c r="J98" s="20" t="inlineStr">
        <is>
          <t>Notes</t>
        </is>
      </c>
    </row>
    <row r="99">
      <c r="A99" s="20" t="inlineStr">
        <is>
          <t>I07</t>
        </is>
      </c>
      <c r="B99" s="20" t="inlineStr">
        <is>
          <t>Cyber &amp; Information Security</t>
        </is>
      </c>
      <c r="C99" s="20" t="inlineStr">
        <is>
          <t>Use domain-specific anchor + metric rule + evidence gate</t>
        </is>
      </c>
      <c r="D99" s="20" t="inlineStr">
        <is>
          <t>Independent assessor A score</t>
        </is>
      </c>
      <c r="E99" s="20" t="inlineStr">
        <is>
          <t>Independent assessor B score</t>
        </is>
      </c>
      <c r="F99" s="20">
        <f>IF(OR(D99="",E99=""),"",ABS(D99-E99))</f>
        <v/>
      </c>
      <c r="G99" s="20">
        <f>IF(F99="","PENDING",IF(F99&lt;=1,"AGREE","REVIEW"))</f>
        <v/>
      </c>
      <c r="H99" s="20">
        <f>IF(G99="REVIEW","Y","N")</f>
        <v/>
      </c>
      <c r="I99" s="20" t="inlineStr">
        <is>
          <t>Final calibrated score</t>
        </is>
      </c>
      <c r="J99" s="20" t="inlineStr">
        <is>
          <t>Notes</t>
        </is>
      </c>
    </row>
    <row r="100">
      <c r="A100" s="20" t="inlineStr">
        <is>
          <t>I08</t>
        </is>
      </c>
      <c r="B100" s="20" t="inlineStr">
        <is>
          <t>Data Privacy Readiness</t>
        </is>
      </c>
      <c r="C100" s="20" t="inlineStr">
        <is>
          <t>Use domain-specific anchor + metric rule + evidence gate</t>
        </is>
      </c>
      <c r="D100" s="20" t="inlineStr">
        <is>
          <t>Independent assessor A score</t>
        </is>
      </c>
      <c r="E100" s="20" t="inlineStr">
        <is>
          <t>Independent assessor B score</t>
        </is>
      </c>
      <c r="F100" s="20">
        <f>IF(OR(D100="",E100=""),"",ABS(D100-E100))</f>
        <v/>
      </c>
      <c r="G100" s="20">
        <f>IF(F100="","PENDING",IF(F100&lt;=1,"AGREE","REVIEW"))</f>
        <v/>
      </c>
      <c r="H100" s="20">
        <f>IF(G100="REVIEW","Y","N")</f>
        <v/>
      </c>
      <c r="I100" s="20" t="inlineStr">
        <is>
          <t>Final calibrated score</t>
        </is>
      </c>
      <c r="J100" s="20" t="inlineStr">
        <is>
          <t>Notes</t>
        </is>
      </c>
    </row>
    <row r="101">
      <c r="A101" s="20" t="inlineStr">
        <is>
          <t>I09</t>
        </is>
      </c>
      <c r="B101" s="20" t="inlineStr">
        <is>
          <t>Digital Equity &amp; Access</t>
        </is>
      </c>
      <c r="C101" s="20" t="inlineStr">
        <is>
          <t>Use domain-specific anchor + metric rule + evidence gate</t>
        </is>
      </c>
      <c r="D101" s="20" t="inlineStr">
        <is>
          <t>Independent assessor A score</t>
        </is>
      </c>
      <c r="E101" s="20" t="inlineStr">
        <is>
          <t>Independent assessor B score</t>
        </is>
      </c>
      <c r="F101" s="20">
        <f>IF(OR(D101="",E101=""),"",ABS(D101-E101))</f>
        <v/>
      </c>
      <c r="G101" s="20">
        <f>IF(F101="","PENDING",IF(F101&lt;=1,"AGREE","REVIEW"))</f>
        <v/>
      </c>
      <c r="H101" s="20">
        <f>IF(G101="REVIEW","Y","N")</f>
        <v/>
      </c>
      <c r="I101" s="20" t="inlineStr">
        <is>
          <t>Final calibrated score</t>
        </is>
      </c>
      <c r="J101" s="20" t="inlineStr">
        <is>
          <t>Notes</t>
        </is>
      </c>
    </row>
    <row r="102">
      <c r="A102" s="20" t="inlineStr">
        <is>
          <t>I10</t>
        </is>
      </c>
      <c r="B102" s="20" t="inlineStr">
        <is>
          <t>Technology Decision Governance</t>
        </is>
      </c>
      <c r="C102" s="20" t="inlineStr">
        <is>
          <t>Use domain-specific anchor + metric rule + evidence gate</t>
        </is>
      </c>
      <c r="D102" s="20" t="inlineStr">
        <is>
          <t>Independent assessor A score</t>
        </is>
      </c>
      <c r="E102" s="20" t="inlineStr">
        <is>
          <t>Independent assessor B score</t>
        </is>
      </c>
      <c r="F102" s="20">
        <f>IF(OR(D102="",E102=""),"",ABS(D102-E102))</f>
        <v/>
      </c>
      <c r="G102" s="20">
        <f>IF(F102="","PENDING",IF(F102&lt;=1,"AGREE","REVIEW"))</f>
        <v/>
      </c>
      <c r="H102" s="20">
        <f>IF(G102="REVIEW","Y","N")</f>
        <v/>
      </c>
      <c r="I102" s="20" t="inlineStr">
        <is>
          <t>Final calibrated score</t>
        </is>
      </c>
      <c r="J102" s="20" t="inlineStr">
        <is>
          <t>Notes</t>
        </is>
      </c>
    </row>
    <row r="103">
      <c r="A103" s="20" t="inlineStr">
        <is>
          <t>I11</t>
        </is>
      </c>
      <c r="B103" s="20" t="inlineStr">
        <is>
          <t>Digital Process Maturity</t>
        </is>
      </c>
      <c r="C103" s="20" t="inlineStr">
        <is>
          <t>Use domain-specific anchor + metric rule + evidence gate</t>
        </is>
      </c>
      <c r="D103" s="20" t="inlineStr">
        <is>
          <t>Independent assessor A score</t>
        </is>
      </c>
      <c r="E103" s="20" t="inlineStr">
        <is>
          <t>Independent assessor B score</t>
        </is>
      </c>
      <c r="F103" s="20">
        <f>IF(OR(D103="",E103=""),"",ABS(D103-E103))</f>
        <v/>
      </c>
      <c r="G103" s="20">
        <f>IF(F103="","PENDING",IF(F103&lt;=1,"AGREE","REVIEW"))</f>
        <v/>
      </c>
      <c r="H103" s="20">
        <f>IF(G103="REVIEW","Y","N")</f>
        <v/>
      </c>
      <c r="I103" s="20" t="inlineStr">
        <is>
          <t>Final calibrated score</t>
        </is>
      </c>
      <c r="J103" s="20" t="inlineStr">
        <is>
          <t>Notes</t>
        </is>
      </c>
    </row>
    <row r="104">
      <c r="A104" s="20" t="inlineStr">
        <is>
          <t>I12</t>
        </is>
      </c>
      <c r="B104" s="20" t="inlineStr">
        <is>
          <t>Institutional Intelligence Capability</t>
        </is>
      </c>
      <c r="C104" s="20" t="inlineStr">
        <is>
          <t>Use domain-specific anchor + metric rule + evidence gate</t>
        </is>
      </c>
      <c r="D104" s="20" t="inlineStr">
        <is>
          <t>Independent assessor A score</t>
        </is>
      </c>
      <c r="E104" s="20" t="inlineStr">
        <is>
          <t>Independent assessor B score</t>
        </is>
      </c>
      <c r="F104" s="20">
        <f>IF(OR(D104="",E104=""),"",ABS(D104-E104))</f>
        <v/>
      </c>
      <c r="G104" s="20">
        <f>IF(F104="","PENDING",IF(F104&lt;=1,"AGREE","REVIEW"))</f>
        <v/>
      </c>
      <c r="H104" s="20">
        <f>IF(G104="REVIEW","Y","N")</f>
        <v/>
      </c>
      <c r="I104" s="20" t="inlineStr">
        <is>
          <t>Final calibrated score</t>
        </is>
      </c>
      <c r="J104" s="20" t="inlineStr">
        <is>
          <t>Notes</t>
        </is>
      </c>
    </row>
    <row r="105">
      <c r="A105" s="20" t="inlineStr">
        <is>
          <t>I01</t>
        </is>
      </c>
      <c r="B105" s="20" t="inlineStr">
        <is>
          <t>Employer Demand Sensing</t>
        </is>
      </c>
      <c r="C105" s="20" t="inlineStr">
        <is>
          <t>Use domain-specific anchor + metric rule + evidence gate</t>
        </is>
      </c>
      <c r="D105" s="20" t="inlineStr">
        <is>
          <t>Independent assessor A score</t>
        </is>
      </c>
      <c r="E105" s="20" t="inlineStr">
        <is>
          <t>Independent assessor B score</t>
        </is>
      </c>
      <c r="F105" s="20">
        <f>IF(OR(D105="",E105=""),"",ABS(D105-E105))</f>
        <v/>
      </c>
      <c r="G105" s="20">
        <f>IF(F105="","PENDING",IF(F105&lt;=1,"AGREE","REVIEW"))</f>
        <v/>
      </c>
      <c r="H105" s="20">
        <f>IF(G105="REVIEW","Y","N")</f>
        <v/>
      </c>
      <c r="I105" s="20" t="inlineStr">
        <is>
          <t>Final calibrated score</t>
        </is>
      </c>
      <c r="J105" s="20" t="inlineStr">
        <is>
          <t>Notes</t>
        </is>
      </c>
    </row>
    <row r="106">
      <c r="A106" s="20" t="inlineStr">
        <is>
          <t>I02</t>
        </is>
      </c>
      <c r="B106" s="20" t="inlineStr">
        <is>
          <t>Employability Capability Architecture</t>
        </is>
      </c>
      <c r="C106" s="20" t="inlineStr">
        <is>
          <t>Use domain-specific anchor + metric rule + evidence gate</t>
        </is>
      </c>
      <c r="D106" s="20" t="inlineStr">
        <is>
          <t>Independent assessor A score</t>
        </is>
      </c>
      <c r="E106" s="20" t="inlineStr">
        <is>
          <t>Independent assessor B score</t>
        </is>
      </c>
      <c r="F106" s="20">
        <f>IF(OR(D106="",E106=""),"",ABS(D106-E106))</f>
        <v/>
      </c>
      <c r="G106" s="20">
        <f>IF(F106="","PENDING",IF(F106&lt;=1,"AGREE","REVIEW"))</f>
        <v/>
      </c>
      <c r="H106" s="20">
        <f>IF(G106="REVIEW","Y","N")</f>
        <v/>
      </c>
      <c r="I106" s="20" t="inlineStr">
        <is>
          <t>Final calibrated score</t>
        </is>
      </c>
      <c r="J106" s="20" t="inlineStr">
        <is>
          <t>Notes</t>
        </is>
      </c>
    </row>
    <row r="107">
      <c r="A107" s="20" t="inlineStr">
        <is>
          <t>I03</t>
        </is>
      </c>
      <c r="B107" s="20" t="inlineStr">
        <is>
          <t>Industry-Validated Curriculum</t>
        </is>
      </c>
      <c r="C107" s="20" t="inlineStr">
        <is>
          <t>Use domain-specific anchor + metric rule + evidence gate</t>
        </is>
      </c>
      <c r="D107" s="20" t="inlineStr">
        <is>
          <t>Independent assessor A score</t>
        </is>
      </c>
      <c r="E107" s="20" t="inlineStr">
        <is>
          <t>Independent assessor B score</t>
        </is>
      </c>
      <c r="F107" s="20">
        <f>IF(OR(D107="",E107=""),"",ABS(D107-E107))</f>
        <v/>
      </c>
      <c r="G107" s="20">
        <f>IF(F107="","PENDING",IF(F107&lt;=1,"AGREE","REVIEW"))</f>
        <v/>
      </c>
      <c r="H107" s="20">
        <f>IF(G107="REVIEW","Y","N")</f>
        <v/>
      </c>
      <c r="I107" s="20" t="inlineStr">
        <is>
          <t>Final calibrated score</t>
        </is>
      </c>
      <c r="J107" s="20" t="inlineStr">
        <is>
          <t>Notes</t>
        </is>
      </c>
    </row>
    <row r="108">
      <c r="A108" s="20" t="inlineStr">
        <is>
          <t>I04</t>
        </is>
      </c>
      <c r="B108" s="20" t="inlineStr">
        <is>
          <t>Practice-Based Learning</t>
        </is>
      </c>
      <c r="C108" s="20" t="inlineStr">
        <is>
          <t>Use domain-specific anchor + metric rule + evidence gate</t>
        </is>
      </c>
      <c r="D108" s="20" t="inlineStr">
        <is>
          <t>Independent assessor A score</t>
        </is>
      </c>
      <c r="E108" s="20" t="inlineStr">
        <is>
          <t>Independent assessor B score</t>
        </is>
      </c>
      <c r="F108" s="20">
        <f>IF(OR(D108="",E108=""),"",ABS(D108-E108))</f>
        <v/>
      </c>
      <c r="G108" s="20">
        <f>IF(F108="","PENDING",IF(F108&lt;=1,"AGREE","REVIEW"))</f>
        <v/>
      </c>
      <c r="H108" s="20">
        <f>IF(G108="REVIEW","Y","N")</f>
        <v/>
      </c>
      <c r="I108" s="20" t="inlineStr">
        <is>
          <t>Final calibrated score</t>
        </is>
      </c>
      <c r="J108" s="20" t="inlineStr">
        <is>
          <t>Notes</t>
        </is>
      </c>
    </row>
    <row r="109">
      <c r="A109" s="20" t="inlineStr">
        <is>
          <t>I05</t>
        </is>
      </c>
      <c r="B109" s="20" t="inlineStr">
        <is>
          <t>Recruiter Confidence</t>
        </is>
      </c>
      <c r="C109" s="20" t="inlineStr">
        <is>
          <t>Use domain-specific anchor + metric rule + evidence gate</t>
        </is>
      </c>
      <c r="D109" s="20" t="inlineStr">
        <is>
          <t>Independent assessor A score</t>
        </is>
      </c>
      <c r="E109" s="20" t="inlineStr">
        <is>
          <t>Independent assessor B score</t>
        </is>
      </c>
      <c r="F109" s="20">
        <f>IF(OR(D109="",E109=""),"",ABS(D109-E109))</f>
        <v/>
      </c>
      <c r="G109" s="20">
        <f>IF(F109="","PENDING",IF(F109&lt;=1,"AGREE","REVIEW"))</f>
        <v/>
      </c>
      <c r="H109" s="20">
        <f>IF(G109="REVIEW","Y","N")</f>
        <v/>
      </c>
      <c r="I109" s="20" t="inlineStr">
        <is>
          <t>Final calibrated score</t>
        </is>
      </c>
      <c r="J109" s="20" t="inlineStr">
        <is>
          <t>Notes</t>
        </is>
      </c>
    </row>
    <row r="110">
      <c r="A110" s="20" t="inlineStr">
        <is>
          <t>I06</t>
        </is>
      </c>
      <c r="B110" s="20" t="inlineStr">
        <is>
          <t>Placement Outcome Quality</t>
        </is>
      </c>
      <c r="C110" s="20" t="inlineStr">
        <is>
          <t>Use domain-specific anchor + metric rule + evidence gate</t>
        </is>
      </c>
      <c r="D110" s="20" t="inlineStr">
        <is>
          <t>Independent assessor A score</t>
        </is>
      </c>
      <c r="E110" s="20" t="inlineStr">
        <is>
          <t>Independent assessor B score</t>
        </is>
      </c>
      <c r="F110" s="20">
        <f>IF(OR(D110="",E110=""),"",ABS(D110-E110))</f>
        <v/>
      </c>
      <c r="G110" s="20">
        <f>IF(F110="","PENDING",IF(F110&lt;=1,"AGREE","REVIEW"))</f>
        <v/>
      </c>
      <c r="H110" s="20">
        <f>IF(G110="REVIEW","Y","N")</f>
        <v/>
      </c>
      <c r="I110" s="20" t="inlineStr">
        <is>
          <t>Final calibrated score</t>
        </is>
      </c>
      <c r="J110" s="20" t="inlineStr">
        <is>
          <t>Notes</t>
        </is>
      </c>
    </row>
    <row r="111">
      <c r="A111" s="20" t="inlineStr">
        <is>
          <t>I07</t>
        </is>
      </c>
      <c r="B111" s="20" t="inlineStr">
        <is>
          <t>Career Adaptability</t>
        </is>
      </c>
      <c r="C111" s="20" t="inlineStr">
        <is>
          <t>Use domain-specific anchor + metric rule + evidence gate</t>
        </is>
      </c>
      <c r="D111" s="20" t="inlineStr">
        <is>
          <t>Independent assessor A score</t>
        </is>
      </c>
      <c r="E111" s="20" t="inlineStr">
        <is>
          <t>Independent assessor B score</t>
        </is>
      </c>
      <c r="F111" s="20">
        <f>IF(OR(D111="",E111=""),"",ABS(D111-E111))</f>
        <v/>
      </c>
      <c r="G111" s="20">
        <f>IF(F111="","PENDING",IF(F111&lt;=1,"AGREE","REVIEW"))</f>
        <v/>
      </c>
      <c r="H111" s="20">
        <f>IF(G111="REVIEW","Y","N")</f>
        <v/>
      </c>
      <c r="I111" s="20" t="inlineStr">
        <is>
          <t>Final calibrated score</t>
        </is>
      </c>
      <c r="J111" s="20" t="inlineStr">
        <is>
          <t>Notes</t>
        </is>
      </c>
    </row>
    <row r="112">
      <c r="A112" s="20" t="inlineStr">
        <is>
          <t>I08</t>
        </is>
      </c>
      <c r="B112" s="20" t="inlineStr">
        <is>
          <t>AI-Era Employability Readiness</t>
        </is>
      </c>
      <c r="C112" s="20" t="inlineStr">
        <is>
          <t>Use domain-specific anchor + metric rule + evidence gate</t>
        </is>
      </c>
      <c r="D112" s="20" t="inlineStr">
        <is>
          <t>Independent assessor A score</t>
        </is>
      </c>
      <c r="E112" s="20" t="inlineStr">
        <is>
          <t>Independent assessor B score</t>
        </is>
      </c>
      <c r="F112" s="20">
        <f>IF(OR(D112="",E112=""),"",ABS(D112-E112))</f>
        <v/>
      </c>
      <c r="G112" s="20">
        <f>IF(F112="","PENDING",IF(F112&lt;=1,"AGREE","REVIEW"))</f>
        <v/>
      </c>
      <c r="H112" s="20">
        <f>IF(G112="REVIEW","Y","N")</f>
        <v/>
      </c>
      <c r="I112" s="20" t="inlineStr">
        <is>
          <t>Final calibrated score</t>
        </is>
      </c>
      <c r="J112" s="20" t="inlineStr">
        <is>
          <t>Notes</t>
        </is>
      </c>
    </row>
    <row r="113">
      <c r="A113" s="20" t="inlineStr">
        <is>
          <t>I09</t>
        </is>
      </c>
      <c r="B113" s="20" t="inlineStr">
        <is>
          <t>Capability Signalling</t>
        </is>
      </c>
      <c r="C113" s="20" t="inlineStr">
        <is>
          <t>Use domain-specific anchor + metric rule + evidence gate</t>
        </is>
      </c>
      <c r="D113" s="20" t="inlineStr">
        <is>
          <t>Independent assessor A score</t>
        </is>
      </c>
      <c r="E113" s="20" t="inlineStr">
        <is>
          <t>Independent assessor B score</t>
        </is>
      </c>
      <c r="F113" s="20">
        <f>IF(OR(D113="",E113=""),"",ABS(D113-E113))</f>
        <v/>
      </c>
      <c r="G113" s="20">
        <f>IF(F113="","PENDING",IF(F113&lt;=1,"AGREE","REVIEW"))</f>
        <v/>
      </c>
      <c r="H113" s="20">
        <f>IF(G113="REVIEW","Y","N")</f>
        <v/>
      </c>
      <c r="I113" s="20" t="inlineStr">
        <is>
          <t>Final calibrated score</t>
        </is>
      </c>
      <c r="J113" s="20" t="inlineStr">
        <is>
          <t>Notes</t>
        </is>
      </c>
    </row>
    <row r="114">
      <c r="A114" s="20" t="inlineStr">
        <is>
          <t>I10</t>
        </is>
      </c>
      <c r="B114" s="20" t="inlineStr">
        <is>
          <t>Industry Co-Creation</t>
        </is>
      </c>
      <c r="C114" s="20" t="inlineStr">
        <is>
          <t>Use domain-specific anchor + metric rule + evidence gate</t>
        </is>
      </c>
      <c r="D114" s="20" t="inlineStr">
        <is>
          <t>Independent assessor A score</t>
        </is>
      </c>
      <c r="E114" s="20" t="inlineStr">
        <is>
          <t>Independent assessor B score</t>
        </is>
      </c>
      <c r="F114" s="20">
        <f>IF(OR(D114="",E114=""),"",ABS(D114-E114))</f>
        <v/>
      </c>
      <c r="G114" s="20">
        <f>IF(F114="","PENDING",IF(F114&lt;=1,"AGREE","REVIEW"))</f>
        <v/>
      </c>
      <c r="H114" s="20">
        <f>IF(G114="REVIEW","Y","N")</f>
        <v/>
      </c>
      <c r="I114" s="20" t="inlineStr">
        <is>
          <t>Final calibrated score</t>
        </is>
      </c>
      <c r="J114" s="20" t="inlineStr">
        <is>
          <t>Notes</t>
        </is>
      </c>
    </row>
    <row r="115">
      <c r="A115" s="20" t="inlineStr">
        <is>
          <t>I11</t>
        </is>
      </c>
      <c r="B115" s="20" t="inlineStr">
        <is>
          <t>Regional/Economic Relevance</t>
        </is>
      </c>
      <c r="C115" s="20" t="inlineStr">
        <is>
          <t>Use domain-specific anchor + metric rule + evidence gate</t>
        </is>
      </c>
      <c r="D115" s="20" t="inlineStr">
        <is>
          <t>Independent assessor A score</t>
        </is>
      </c>
      <c r="E115" s="20" t="inlineStr">
        <is>
          <t>Independent assessor B score</t>
        </is>
      </c>
      <c r="F115" s="20">
        <f>IF(OR(D115="",E115=""),"",ABS(D115-E115))</f>
        <v/>
      </c>
      <c r="G115" s="20">
        <f>IF(F115="","PENDING",IF(F115&lt;=1,"AGREE","REVIEW"))</f>
        <v/>
      </c>
      <c r="H115" s="20">
        <f>IF(G115="REVIEW","Y","N")</f>
        <v/>
      </c>
      <c r="I115" s="20" t="inlineStr">
        <is>
          <t>Final calibrated score</t>
        </is>
      </c>
      <c r="J115" s="20" t="inlineStr">
        <is>
          <t>Notes</t>
        </is>
      </c>
    </row>
    <row r="116">
      <c r="A116" s="20" t="inlineStr">
        <is>
          <t>I12</t>
        </is>
      </c>
      <c r="B116" s="20" t="inlineStr">
        <is>
          <t>Alumni Career Intelligence</t>
        </is>
      </c>
      <c r="C116" s="20" t="inlineStr">
        <is>
          <t>Use domain-specific anchor + metric rule + evidence gate</t>
        </is>
      </c>
      <c r="D116" s="20" t="inlineStr">
        <is>
          <t>Independent assessor A score</t>
        </is>
      </c>
      <c r="E116" s="20" t="inlineStr">
        <is>
          <t>Independent assessor B score</t>
        </is>
      </c>
      <c r="F116" s="20">
        <f>IF(OR(D116="",E116=""),"",ABS(D116-E116))</f>
        <v/>
      </c>
      <c r="G116" s="20">
        <f>IF(F116="","PENDING",IF(F116&lt;=1,"AGREE","REVIEW"))</f>
        <v/>
      </c>
      <c r="H116" s="20">
        <f>IF(G116="REVIEW","Y","N")</f>
        <v/>
      </c>
      <c r="I116" s="20" t="inlineStr">
        <is>
          <t>Final calibrated score</t>
        </is>
      </c>
      <c r="J116" s="20" t="inlineStr">
        <is>
          <t>Notes</t>
        </is>
      </c>
    </row>
    <row r="117">
      <c r="A117" s="20" t="inlineStr">
        <is>
          <t>I01</t>
        </is>
      </c>
      <c r="B117" s="20" t="inlineStr">
        <is>
          <t>Research Strategy Maturity</t>
        </is>
      </c>
      <c r="C117" s="20" t="inlineStr">
        <is>
          <t>Use domain-specific anchor + metric rule + evidence gate</t>
        </is>
      </c>
      <c r="D117" s="20" t="inlineStr">
        <is>
          <t>Independent assessor A score</t>
        </is>
      </c>
      <c r="E117" s="20" t="inlineStr">
        <is>
          <t>Independent assessor B score</t>
        </is>
      </c>
      <c r="F117" s="20">
        <f>IF(OR(D117="",E117=""),"",ABS(D117-E117))</f>
        <v/>
      </c>
      <c r="G117" s="20">
        <f>IF(F117="","PENDING",IF(F117&lt;=1,"AGREE","REVIEW"))</f>
        <v/>
      </c>
      <c r="H117" s="20">
        <f>IF(G117="REVIEW","Y","N")</f>
        <v/>
      </c>
      <c r="I117" s="20" t="inlineStr">
        <is>
          <t>Final calibrated score</t>
        </is>
      </c>
      <c r="J117" s="20" t="inlineStr">
        <is>
          <t>Notes</t>
        </is>
      </c>
    </row>
    <row r="118">
      <c r="A118" s="20" t="inlineStr">
        <is>
          <t>I02</t>
        </is>
      </c>
      <c r="B118" s="20" t="inlineStr">
        <is>
          <t>Research Portfolio Balance</t>
        </is>
      </c>
      <c r="C118" s="20" t="inlineStr">
        <is>
          <t>Use domain-specific anchor + metric rule + evidence gate</t>
        </is>
      </c>
      <c r="D118" s="20" t="inlineStr">
        <is>
          <t>Independent assessor A score</t>
        </is>
      </c>
      <c r="E118" s="20" t="inlineStr">
        <is>
          <t>Independent assessor B score</t>
        </is>
      </c>
      <c r="F118" s="20">
        <f>IF(OR(D118="",E118=""),"",ABS(D118-E118))</f>
        <v/>
      </c>
      <c r="G118" s="20">
        <f>IF(F118="","PENDING",IF(F118&lt;=1,"AGREE","REVIEW"))</f>
        <v/>
      </c>
      <c r="H118" s="20">
        <f>IF(G118="REVIEW","Y","N")</f>
        <v/>
      </c>
      <c r="I118" s="20" t="inlineStr">
        <is>
          <t>Final calibrated score</t>
        </is>
      </c>
      <c r="J118" s="20" t="inlineStr">
        <is>
          <t>Notes</t>
        </is>
      </c>
    </row>
    <row r="119">
      <c r="A119" s="20" t="inlineStr">
        <is>
          <t>I03</t>
        </is>
      </c>
      <c r="B119" s="20" t="inlineStr">
        <is>
          <t>Interdisciplinary Research Capability</t>
        </is>
      </c>
      <c r="C119" s="20" t="inlineStr">
        <is>
          <t>Use domain-specific anchor + metric rule + evidence gate</t>
        </is>
      </c>
      <c r="D119" s="20" t="inlineStr">
        <is>
          <t>Independent assessor A score</t>
        </is>
      </c>
      <c r="E119" s="20" t="inlineStr">
        <is>
          <t>Independent assessor B score</t>
        </is>
      </c>
      <c r="F119" s="20">
        <f>IF(OR(D119="",E119=""),"",ABS(D119-E119))</f>
        <v/>
      </c>
      <c r="G119" s="20">
        <f>IF(F119="","PENDING",IF(F119&lt;=1,"AGREE","REVIEW"))</f>
        <v/>
      </c>
      <c r="H119" s="20">
        <f>IF(G119="REVIEW","Y","N")</f>
        <v/>
      </c>
      <c r="I119" s="20" t="inlineStr">
        <is>
          <t>Final calibrated score</t>
        </is>
      </c>
      <c r="J119" s="20" t="inlineStr">
        <is>
          <t>Notes</t>
        </is>
      </c>
    </row>
    <row r="120">
      <c r="A120" s="20" t="inlineStr">
        <is>
          <t>I04</t>
        </is>
      </c>
      <c r="B120" s="20" t="inlineStr">
        <is>
          <t>AI-Enabled Research Capability</t>
        </is>
      </c>
      <c r="C120" s="20" t="inlineStr">
        <is>
          <t>Use domain-specific anchor + metric rule + evidence gate</t>
        </is>
      </c>
      <c r="D120" s="20" t="inlineStr">
        <is>
          <t>Independent assessor A score</t>
        </is>
      </c>
      <c r="E120" s="20" t="inlineStr">
        <is>
          <t>Independent assessor B score</t>
        </is>
      </c>
      <c r="F120" s="20">
        <f>IF(OR(D120="",E120=""),"",ABS(D120-E120))</f>
        <v/>
      </c>
      <c r="G120" s="20">
        <f>IF(F120="","PENDING",IF(F120&lt;=1,"AGREE","REVIEW"))</f>
        <v/>
      </c>
      <c r="H120" s="20">
        <f>IF(G120="REVIEW","Y","N")</f>
        <v/>
      </c>
      <c r="I120" s="20" t="inlineStr">
        <is>
          <t>Final calibrated score</t>
        </is>
      </c>
      <c r="J120" s="20" t="inlineStr">
        <is>
          <t>Notes</t>
        </is>
      </c>
    </row>
    <row r="121">
      <c r="A121" s="20" t="inlineStr">
        <is>
          <t>I05</t>
        </is>
      </c>
      <c r="B121" s="20" t="inlineStr">
        <is>
          <t>Research Infrastructure Readiness</t>
        </is>
      </c>
      <c r="C121" s="20" t="inlineStr">
        <is>
          <t>Use domain-specific anchor + metric rule + evidence gate</t>
        </is>
      </c>
      <c r="D121" s="20" t="inlineStr">
        <is>
          <t>Independent assessor A score</t>
        </is>
      </c>
      <c r="E121" s="20" t="inlineStr">
        <is>
          <t>Independent assessor B score</t>
        </is>
      </c>
      <c r="F121" s="20">
        <f>IF(OR(D121="",E121=""),"",ABS(D121-E121))</f>
        <v/>
      </c>
      <c r="G121" s="20">
        <f>IF(F121="","PENDING",IF(F121&lt;=1,"AGREE","REVIEW"))</f>
        <v/>
      </c>
      <c r="H121" s="20">
        <f>IF(G121="REVIEW","Y","N")</f>
        <v/>
      </c>
      <c r="I121" s="20" t="inlineStr">
        <is>
          <t>Final calibrated score</t>
        </is>
      </c>
      <c r="J121" s="20" t="inlineStr">
        <is>
          <t>Notes</t>
        </is>
      </c>
    </row>
    <row r="122">
      <c r="A122" s="20" t="inlineStr">
        <is>
          <t>I06</t>
        </is>
      </c>
      <c r="B122" s="20" t="inlineStr">
        <is>
          <t>Researcher Capability</t>
        </is>
      </c>
      <c r="C122" s="20" t="inlineStr">
        <is>
          <t>Use domain-specific anchor + metric rule + evidence gate</t>
        </is>
      </c>
      <c r="D122" s="20" t="inlineStr">
        <is>
          <t>Independent assessor A score</t>
        </is>
      </c>
      <c r="E122" s="20" t="inlineStr">
        <is>
          <t>Independent assessor B score</t>
        </is>
      </c>
      <c r="F122" s="20">
        <f>IF(OR(D122="",E122=""),"",ABS(D122-E122))</f>
        <v/>
      </c>
      <c r="G122" s="20">
        <f>IF(F122="","PENDING",IF(F122&lt;=1,"AGREE","REVIEW"))</f>
        <v/>
      </c>
      <c r="H122" s="20">
        <f>IF(G122="REVIEW","Y","N")</f>
        <v/>
      </c>
      <c r="I122" s="20" t="inlineStr">
        <is>
          <t>Final calibrated score</t>
        </is>
      </c>
      <c r="J122" s="20" t="inlineStr">
        <is>
          <t>Notes</t>
        </is>
      </c>
    </row>
    <row r="123">
      <c r="A123" s="20" t="inlineStr">
        <is>
          <t>I07</t>
        </is>
      </c>
      <c r="B123" s="20" t="inlineStr">
        <is>
          <t>Research Funding Capability</t>
        </is>
      </c>
      <c r="C123" s="20" t="inlineStr">
        <is>
          <t>Use domain-specific anchor + metric rule + evidence gate</t>
        </is>
      </c>
      <c r="D123" s="20" t="inlineStr">
        <is>
          <t>Independent assessor A score</t>
        </is>
      </c>
      <c r="E123" s="20" t="inlineStr">
        <is>
          <t>Independent assessor B score</t>
        </is>
      </c>
      <c r="F123" s="20">
        <f>IF(OR(D123="",E123=""),"",ABS(D123-E123))</f>
        <v/>
      </c>
      <c r="G123" s="20">
        <f>IF(F123="","PENDING",IF(F123&lt;=1,"AGREE","REVIEW"))</f>
        <v/>
      </c>
      <c r="H123" s="20">
        <f>IF(G123="REVIEW","Y","N")</f>
        <v/>
      </c>
      <c r="I123" s="20" t="inlineStr">
        <is>
          <t>Final calibrated score</t>
        </is>
      </c>
      <c r="J123" s="20" t="inlineStr">
        <is>
          <t>Notes</t>
        </is>
      </c>
    </row>
    <row r="124">
      <c r="A124" s="20" t="inlineStr">
        <is>
          <t>I08</t>
        </is>
      </c>
      <c r="B124" s="20" t="inlineStr">
        <is>
          <t>Knowledge Translation Capability</t>
        </is>
      </c>
      <c r="C124" s="20" t="inlineStr">
        <is>
          <t>Use domain-specific anchor + metric rule + evidence gate</t>
        </is>
      </c>
      <c r="D124" s="20" t="inlineStr">
        <is>
          <t>Independent assessor A score</t>
        </is>
      </c>
      <c r="E124" s="20" t="inlineStr">
        <is>
          <t>Independent assessor B score</t>
        </is>
      </c>
      <c r="F124" s="20">
        <f>IF(OR(D124="",E124=""),"",ABS(D124-E124))</f>
        <v/>
      </c>
      <c r="G124" s="20">
        <f>IF(F124="","PENDING",IF(F124&lt;=1,"AGREE","REVIEW"))</f>
        <v/>
      </c>
      <c r="H124" s="20">
        <f>IF(G124="REVIEW","Y","N")</f>
        <v/>
      </c>
      <c r="I124" s="20" t="inlineStr">
        <is>
          <t>Final calibrated score</t>
        </is>
      </c>
      <c r="J124" s="20" t="inlineStr">
        <is>
          <t>Notes</t>
        </is>
      </c>
    </row>
    <row r="125">
      <c r="A125" s="20" t="inlineStr">
        <is>
          <t>I09</t>
        </is>
      </c>
      <c r="B125" s="20" t="inlineStr">
        <is>
          <t>Industry-Linked Research</t>
        </is>
      </c>
      <c r="C125" s="20" t="inlineStr">
        <is>
          <t>Use domain-specific anchor + metric rule + evidence gate</t>
        </is>
      </c>
      <c r="D125" s="20" t="inlineStr">
        <is>
          <t>Independent assessor A score</t>
        </is>
      </c>
      <c r="E125" s="20" t="inlineStr">
        <is>
          <t>Independent assessor B score</t>
        </is>
      </c>
      <c r="F125" s="20">
        <f>IF(OR(D125="",E125=""),"",ABS(D125-E125))</f>
        <v/>
      </c>
      <c r="G125" s="20">
        <f>IF(F125="","PENDING",IF(F125&lt;=1,"AGREE","REVIEW"))</f>
        <v/>
      </c>
      <c r="H125" s="20">
        <f>IF(G125="REVIEW","Y","N")</f>
        <v/>
      </c>
      <c r="I125" s="20" t="inlineStr">
        <is>
          <t>Final calibrated score</t>
        </is>
      </c>
      <c r="J125" s="20" t="inlineStr">
        <is>
          <t>Notes</t>
        </is>
      </c>
    </row>
    <row r="126">
      <c r="A126" s="20" t="inlineStr">
        <is>
          <t>I10</t>
        </is>
      </c>
      <c r="B126" s="20" t="inlineStr">
        <is>
          <t>Research-to-Innovation Pipeline</t>
        </is>
      </c>
      <c r="C126" s="20" t="inlineStr">
        <is>
          <t>Use domain-specific anchor + metric rule + evidence gate</t>
        </is>
      </c>
      <c r="D126" s="20" t="inlineStr">
        <is>
          <t>Independent assessor A score</t>
        </is>
      </c>
      <c r="E126" s="20" t="inlineStr">
        <is>
          <t>Independent assessor B score</t>
        </is>
      </c>
      <c r="F126" s="20">
        <f>IF(OR(D126="",E126=""),"",ABS(D126-E126))</f>
        <v/>
      </c>
      <c r="G126" s="20">
        <f>IF(F126="","PENDING",IF(F126&lt;=1,"AGREE","REVIEW"))</f>
        <v/>
      </c>
      <c r="H126" s="20">
        <f>IF(G126="REVIEW","Y","N")</f>
        <v/>
      </c>
      <c r="I126" s="20" t="inlineStr">
        <is>
          <t>Final calibrated score</t>
        </is>
      </c>
      <c r="J126" s="20" t="inlineStr">
        <is>
          <t>Notes</t>
        </is>
      </c>
    </row>
    <row r="127">
      <c r="A127" s="20" t="inlineStr">
        <is>
          <t>I11</t>
        </is>
      </c>
      <c r="B127" s="20" t="inlineStr">
        <is>
          <t>IP &amp; Knowledge Assets</t>
        </is>
      </c>
      <c r="C127" s="20" t="inlineStr">
        <is>
          <t>Use domain-specific anchor + metric rule + evidence gate</t>
        </is>
      </c>
      <c r="D127" s="20" t="inlineStr">
        <is>
          <t>Independent assessor A score</t>
        </is>
      </c>
      <c r="E127" s="20" t="inlineStr">
        <is>
          <t>Independent assessor B score</t>
        </is>
      </c>
      <c r="F127" s="20">
        <f>IF(OR(D127="",E127=""),"",ABS(D127-E127))</f>
        <v/>
      </c>
      <c r="G127" s="20">
        <f>IF(F127="","PENDING",IF(F127&lt;=1,"AGREE","REVIEW"))</f>
        <v/>
      </c>
      <c r="H127" s="20">
        <f>IF(G127="REVIEW","Y","N")</f>
        <v/>
      </c>
      <c r="I127" s="20" t="inlineStr">
        <is>
          <t>Final calibrated score</t>
        </is>
      </c>
      <c r="J127" s="20" t="inlineStr">
        <is>
          <t>Notes</t>
        </is>
      </c>
    </row>
    <row r="128">
      <c r="A128" s="20" t="inlineStr">
        <is>
          <t>I12</t>
        </is>
      </c>
      <c r="B128" s="20" t="inlineStr">
        <is>
          <t>Research Integrity &amp; Responsible AI</t>
        </is>
      </c>
      <c r="C128" s="20" t="inlineStr">
        <is>
          <t>Use domain-specific anchor + metric rule + evidence gate</t>
        </is>
      </c>
      <c r="D128" s="20" t="inlineStr">
        <is>
          <t>Independent assessor A score</t>
        </is>
      </c>
      <c r="E128" s="20" t="inlineStr">
        <is>
          <t>Independent assessor B score</t>
        </is>
      </c>
      <c r="F128" s="20">
        <f>IF(OR(D128="",E128=""),"",ABS(D128-E128))</f>
        <v/>
      </c>
      <c r="G128" s="20">
        <f>IF(F128="","PENDING",IF(F128&lt;=1,"AGREE","REVIEW"))</f>
        <v/>
      </c>
      <c r="H128" s="20">
        <f>IF(G128="REVIEW","Y","N")</f>
        <v/>
      </c>
      <c r="I128" s="20" t="inlineStr">
        <is>
          <t>Final calibrated score</t>
        </is>
      </c>
      <c r="J128" s="20" t="inlineStr">
        <is>
          <t>Notes</t>
        </is>
      </c>
    </row>
    <row r="129">
      <c r="A129" s="20" t="inlineStr">
        <is>
          <t>I13</t>
        </is>
      </c>
      <c r="B129" s="20" t="inlineStr">
        <is>
          <t>Research Impact Evidence</t>
        </is>
      </c>
      <c r="C129" s="20" t="inlineStr">
        <is>
          <t>Use domain-specific anchor + metric rule + evidence gate</t>
        </is>
      </c>
      <c r="D129" s="20" t="inlineStr">
        <is>
          <t>Independent assessor A score</t>
        </is>
      </c>
      <c r="E129" s="20" t="inlineStr">
        <is>
          <t>Independent assessor B score</t>
        </is>
      </c>
      <c r="F129" s="20">
        <f>IF(OR(D129="",E129=""),"",ABS(D129-E129))</f>
        <v/>
      </c>
      <c r="G129" s="20">
        <f>IF(F129="","PENDING",IF(F129&lt;=1,"AGREE","REVIEW"))</f>
        <v/>
      </c>
      <c r="H129" s="20">
        <f>IF(G129="REVIEW","Y","N")</f>
        <v/>
      </c>
      <c r="I129" s="20" t="inlineStr">
        <is>
          <t>Final calibrated score</t>
        </is>
      </c>
      <c r="J129" s="20" t="inlineStr">
        <is>
          <t>Notes</t>
        </is>
      </c>
    </row>
    <row r="130">
      <c r="A130" s="20" t="inlineStr">
        <is>
          <t>I14</t>
        </is>
      </c>
      <c r="B130" s="20" t="inlineStr">
        <is>
          <t>Student Research Capability</t>
        </is>
      </c>
      <c r="C130" s="20" t="inlineStr">
        <is>
          <t>Use domain-specific anchor + metric rule + evidence gate</t>
        </is>
      </c>
      <c r="D130" s="20" t="inlineStr">
        <is>
          <t>Independent assessor A score</t>
        </is>
      </c>
      <c r="E130" s="20" t="inlineStr">
        <is>
          <t>Independent assessor B score</t>
        </is>
      </c>
      <c r="F130" s="20">
        <f>IF(OR(D130="",E130=""),"",ABS(D130-E130))</f>
        <v/>
      </c>
      <c r="G130" s="20">
        <f>IF(F130="","PENDING",IF(F130&lt;=1,"AGREE","REVIEW"))</f>
        <v/>
      </c>
      <c r="H130" s="20">
        <f>IF(G130="REVIEW","Y","N")</f>
        <v/>
      </c>
      <c r="I130" s="20" t="inlineStr">
        <is>
          <t>Final calibrated score</t>
        </is>
      </c>
      <c r="J130" s="20" t="inlineStr">
        <is>
          <t>Notes</t>
        </is>
      </c>
    </row>
    <row r="131">
      <c r="A131" s="20" t="inlineStr">
        <is>
          <t>I01</t>
        </is>
      </c>
      <c r="B131" s="20" t="inlineStr">
        <is>
          <t>External Change Sensing</t>
        </is>
      </c>
      <c r="C131" s="20" t="inlineStr">
        <is>
          <t>Use domain-specific anchor + metric rule + evidence gate</t>
        </is>
      </c>
      <c r="D131" s="20" t="inlineStr">
        <is>
          <t>Independent assessor A score</t>
        </is>
      </c>
      <c r="E131" s="20" t="inlineStr">
        <is>
          <t>Independent assessor B score</t>
        </is>
      </c>
      <c r="F131" s="20">
        <f>IF(OR(D131="",E131=""),"",ABS(D131-E131))</f>
        <v/>
      </c>
      <c r="G131" s="20">
        <f>IF(F131="","PENDING",IF(F131&lt;=1,"AGREE","REVIEW"))</f>
        <v/>
      </c>
      <c r="H131" s="20">
        <f>IF(G131="REVIEW","Y","N")</f>
        <v/>
      </c>
      <c r="I131" s="20" t="inlineStr">
        <is>
          <t>Final calibrated score</t>
        </is>
      </c>
      <c r="J131" s="20" t="inlineStr">
        <is>
          <t>Notes</t>
        </is>
      </c>
    </row>
    <row r="132">
      <c r="A132" s="20" t="inlineStr">
        <is>
          <t>I02</t>
        </is>
      </c>
      <c r="B132" s="20" t="inlineStr">
        <is>
          <t>Strategic Response Agility</t>
        </is>
      </c>
      <c r="C132" s="20" t="inlineStr">
        <is>
          <t>Use domain-specific anchor + metric rule + evidence gate</t>
        </is>
      </c>
      <c r="D132" s="20" t="inlineStr">
        <is>
          <t>Independent assessor A score</t>
        </is>
      </c>
      <c r="E132" s="20" t="inlineStr">
        <is>
          <t>Independent assessor B score</t>
        </is>
      </c>
      <c r="F132" s="20">
        <f>IF(OR(D132="",E132=""),"",ABS(D132-E132))</f>
        <v/>
      </c>
      <c r="G132" s="20">
        <f>IF(F132="","PENDING",IF(F132&lt;=1,"AGREE","REVIEW"))</f>
        <v/>
      </c>
      <c r="H132" s="20">
        <f>IF(G132="REVIEW","Y","N")</f>
        <v/>
      </c>
      <c r="I132" s="20" t="inlineStr">
        <is>
          <t>Final calibrated score</t>
        </is>
      </c>
      <c r="J132" s="20" t="inlineStr">
        <is>
          <t>Notes</t>
        </is>
      </c>
    </row>
    <row r="133">
      <c r="A133" s="20" t="inlineStr">
        <is>
          <t>I03</t>
        </is>
      </c>
      <c r="B133" s="20" t="inlineStr">
        <is>
          <t>Adaptive Decision Architecture</t>
        </is>
      </c>
      <c r="C133" s="20" t="inlineStr">
        <is>
          <t>Use domain-specific anchor + metric rule + evidence gate</t>
        </is>
      </c>
      <c r="D133" s="20" t="inlineStr">
        <is>
          <t>Independent assessor A score</t>
        </is>
      </c>
      <c r="E133" s="20" t="inlineStr">
        <is>
          <t>Independent assessor B score</t>
        </is>
      </c>
      <c r="F133" s="20">
        <f>IF(OR(D133="",E133=""),"",ABS(D133-E133))</f>
        <v/>
      </c>
      <c r="G133" s="20">
        <f>IF(F133="","PENDING",IF(F133&lt;=1,"AGREE","REVIEW"))</f>
        <v/>
      </c>
      <c r="H133" s="20">
        <f>IF(G133="REVIEW","Y","N")</f>
        <v/>
      </c>
      <c r="I133" s="20" t="inlineStr">
        <is>
          <t>Final calibrated score</t>
        </is>
      </c>
      <c r="J133" s="20" t="inlineStr">
        <is>
          <t>Notes</t>
        </is>
      </c>
    </row>
    <row r="134">
      <c r="A134" s="20" t="inlineStr">
        <is>
          <t>I04</t>
        </is>
      </c>
      <c r="B134" s="20" t="inlineStr">
        <is>
          <t>Resource Reallocation Agility</t>
        </is>
      </c>
      <c r="C134" s="20" t="inlineStr">
        <is>
          <t>Use domain-specific anchor + metric rule + evidence gate</t>
        </is>
      </c>
      <c r="D134" s="20" t="inlineStr">
        <is>
          <t>Independent assessor A score</t>
        </is>
      </c>
      <c r="E134" s="20" t="inlineStr">
        <is>
          <t>Independent assessor B score</t>
        </is>
      </c>
      <c r="F134" s="20">
        <f>IF(OR(D134="",E134=""),"",ABS(D134-E134))</f>
        <v/>
      </c>
      <c r="G134" s="20">
        <f>IF(F134="","PENDING",IF(F134&lt;=1,"AGREE","REVIEW"))</f>
        <v/>
      </c>
      <c r="H134" s="20">
        <f>IF(G134="REVIEW","Y","N")</f>
        <v/>
      </c>
      <c r="I134" s="20" t="inlineStr">
        <is>
          <t>Final calibrated score</t>
        </is>
      </c>
      <c r="J134" s="20" t="inlineStr">
        <is>
          <t>Notes</t>
        </is>
      </c>
    </row>
    <row r="135">
      <c r="A135" s="20" t="inlineStr">
        <is>
          <t>I05</t>
        </is>
      </c>
      <c r="B135" s="20" t="inlineStr">
        <is>
          <t>Institutional Experimentation</t>
        </is>
      </c>
      <c r="C135" s="20" t="inlineStr">
        <is>
          <t>Use domain-specific anchor + metric rule + evidence gate</t>
        </is>
      </c>
      <c r="D135" s="20" t="inlineStr">
        <is>
          <t>Independent assessor A score</t>
        </is>
      </c>
      <c r="E135" s="20" t="inlineStr">
        <is>
          <t>Independent assessor B score</t>
        </is>
      </c>
      <c r="F135" s="20">
        <f>IF(OR(D135="",E135=""),"",ABS(D135-E135))</f>
        <v/>
      </c>
      <c r="G135" s="20">
        <f>IF(F135="","PENDING",IF(F135&lt;=1,"AGREE","REVIEW"))</f>
        <v/>
      </c>
      <c r="H135" s="20">
        <f>IF(G135="REVIEW","Y","N")</f>
        <v/>
      </c>
      <c r="I135" s="20" t="inlineStr">
        <is>
          <t>Final calibrated score</t>
        </is>
      </c>
      <c r="J135" s="20" t="inlineStr">
        <is>
          <t>Notes</t>
        </is>
      </c>
    </row>
    <row r="136">
      <c r="A136" s="20" t="inlineStr">
        <is>
          <t>I06</t>
        </is>
      </c>
      <c r="B136" s="20" t="inlineStr">
        <is>
          <t>Failure-to-Learning Capability</t>
        </is>
      </c>
      <c r="C136" s="20" t="inlineStr">
        <is>
          <t>Use domain-specific anchor + metric rule + evidence gate</t>
        </is>
      </c>
      <c r="D136" s="20" t="inlineStr">
        <is>
          <t>Independent assessor A score</t>
        </is>
      </c>
      <c r="E136" s="20" t="inlineStr">
        <is>
          <t>Independent assessor B score</t>
        </is>
      </c>
      <c r="F136" s="20">
        <f>IF(OR(D136="",E136=""),"",ABS(D136-E136))</f>
        <v/>
      </c>
      <c r="G136" s="20">
        <f>IF(F136="","PENDING",IF(F136&lt;=1,"AGREE","REVIEW"))</f>
        <v/>
      </c>
      <c r="H136" s="20">
        <f>IF(G136="REVIEW","Y","N")</f>
        <v/>
      </c>
      <c r="I136" s="20" t="inlineStr">
        <is>
          <t>Final calibrated score</t>
        </is>
      </c>
      <c r="J136" s="20" t="inlineStr">
        <is>
          <t>Notes</t>
        </is>
      </c>
    </row>
    <row r="137">
      <c r="A137" s="20" t="inlineStr">
        <is>
          <t>I07</t>
        </is>
      </c>
      <c r="B137" s="20" t="inlineStr">
        <is>
          <t>Change Management Capacity</t>
        </is>
      </c>
      <c r="C137" s="20" t="inlineStr">
        <is>
          <t>Use domain-specific anchor + metric rule + evidence gate</t>
        </is>
      </c>
      <c r="D137" s="20" t="inlineStr">
        <is>
          <t>Independent assessor A score</t>
        </is>
      </c>
      <c r="E137" s="20" t="inlineStr">
        <is>
          <t>Independent assessor B score</t>
        </is>
      </c>
      <c r="F137" s="20">
        <f>IF(OR(D137="",E137=""),"",ABS(D137-E137))</f>
        <v/>
      </c>
      <c r="G137" s="20">
        <f>IF(F137="","PENDING",IF(F137&lt;=1,"AGREE","REVIEW"))</f>
        <v/>
      </c>
      <c r="H137" s="20">
        <f>IF(G137="REVIEW","Y","N")</f>
        <v/>
      </c>
      <c r="I137" s="20" t="inlineStr">
        <is>
          <t>Final calibrated score</t>
        </is>
      </c>
      <c r="J137" s="20" t="inlineStr">
        <is>
          <t>Notes</t>
        </is>
      </c>
    </row>
    <row r="138">
      <c r="A138" s="20" t="inlineStr">
        <is>
          <t>I08</t>
        </is>
      </c>
      <c r="B138" s="20" t="inlineStr">
        <is>
          <t>Adaptive Leadership Alignment</t>
        </is>
      </c>
      <c r="C138" s="20" t="inlineStr">
        <is>
          <t>Use domain-specific anchor + metric rule + evidence gate</t>
        </is>
      </c>
      <c r="D138" s="20" t="inlineStr">
        <is>
          <t>Independent assessor A score</t>
        </is>
      </c>
      <c r="E138" s="20" t="inlineStr">
        <is>
          <t>Independent assessor B score</t>
        </is>
      </c>
      <c r="F138" s="20">
        <f>IF(OR(D138="",E138=""),"",ABS(D138-E138))</f>
        <v/>
      </c>
      <c r="G138" s="20">
        <f>IF(F138="","PENDING",IF(F138&lt;=1,"AGREE","REVIEW"))</f>
        <v/>
      </c>
      <c r="H138" s="20">
        <f>IF(G138="REVIEW","Y","N")</f>
        <v/>
      </c>
      <c r="I138" s="20" t="inlineStr">
        <is>
          <t>Final calibrated score</t>
        </is>
      </c>
      <c r="J138" s="20" t="inlineStr">
        <is>
          <t>Notes</t>
        </is>
      </c>
    </row>
    <row r="139">
      <c r="A139" s="20" t="inlineStr">
        <is>
          <t>I09</t>
        </is>
      </c>
      <c r="B139" s="20" t="inlineStr">
        <is>
          <t>Learner Signal Responsiveness</t>
        </is>
      </c>
      <c r="C139" s="20" t="inlineStr">
        <is>
          <t>Use domain-specific anchor + metric rule + evidence gate</t>
        </is>
      </c>
      <c r="D139" s="20" t="inlineStr">
        <is>
          <t>Independent assessor A score</t>
        </is>
      </c>
      <c r="E139" s="20" t="inlineStr">
        <is>
          <t>Independent assessor B score</t>
        </is>
      </c>
      <c r="F139" s="20">
        <f>IF(OR(D139="",E139=""),"",ABS(D139-E139))</f>
        <v/>
      </c>
      <c r="G139" s="20">
        <f>IF(F139="","PENDING",IF(F139&lt;=1,"AGREE","REVIEW"))</f>
        <v/>
      </c>
      <c r="H139" s="20">
        <f>IF(G139="REVIEW","Y","N")</f>
        <v/>
      </c>
      <c r="I139" s="20" t="inlineStr">
        <is>
          <t>Final calibrated score</t>
        </is>
      </c>
      <c r="J139" s="20" t="inlineStr">
        <is>
          <t>Notes</t>
        </is>
      </c>
    </row>
    <row r="140">
      <c r="A140" s="20" t="inlineStr">
        <is>
          <t>I10</t>
        </is>
      </c>
      <c r="B140" s="20" t="inlineStr">
        <is>
          <t>Economic &amp; Workforce Responsiveness</t>
        </is>
      </c>
      <c r="C140" s="20" t="inlineStr">
        <is>
          <t>Use domain-specific anchor + metric rule + evidence gate</t>
        </is>
      </c>
      <c r="D140" s="20" t="inlineStr">
        <is>
          <t>Independent assessor A score</t>
        </is>
      </c>
      <c r="E140" s="20" t="inlineStr">
        <is>
          <t>Independent assessor B score</t>
        </is>
      </c>
      <c r="F140" s="20">
        <f>IF(OR(D140="",E140=""),"",ABS(D140-E140))</f>
        <v/>
      </c>
      <c r="G140" s="20">
        <f>IF(F140="","PENDING",IF(F140&lt;=1,"AGREE","REVIEW"))</f>
        <v/>
      </c>
      <c r="H140" s="20">
        <f>IF(G140="REVIEW","Y","N")</f>
        <v/>
      </c>
      <c r="I140" s="20" t="inlineStr">
        <is>
          <t>Final calibrated score</t>
        </is>
      </c>
      <c r="J140" s="20" t="inlineStr">
        <is>
          <t>Notes</t>
        </is>
      </c>
    </row>
    <row r="141">
      <c r="A141" s="20" t="inlineStr">
        <is>
          <t>I11</t>
        </is>
      </c>
      <c r="B141" s="20" t="inlineStr">
        <is>
          <t>Scenario Planning Capability</t>
        </is>
      </c>
      <c r="C141" s="20" t="inlineStr">
        <is>
          <t>Use domain-specific anchor + metric rule + evidence gate</t>
        </is>
      </c>
      <c r="D141" s="20" t="inlineStr">
        <is>
          <t>Independent assessor A score</t>
        </is>
      </c>
      <c r="E141" s="20" t="inlineStr">
        <is>
          <t>Independent assessor B score</t>
        </is>
      </c>
      <c r="F141" s="20">
        <f>IF(OR(D141="",E141=""),"",ABS(D141-E141))</f>
        <v/>
      </c>
      <c r="G141" s="20">
        <f>IF(F141="","PENDING",IF(F141&lt;=1,"AGREE","REVIEW"))</f>
        <v/>
      </c>
      <c r="H141" s="20">
        <f>IF(G141="REVIEW","Y","N")</f>
        <v/>
      </c>
      <c r="I141" s="20" t="inlineStr">
        <is>
          <t>Final calibrated score</t>
        </is>
      </c>
      <c r="J141" s="20" t="inlineStr">
        <is>
          <t>Notes</t>
        </is>
      </c>
    </row>
    <row r="142">
      <c r="A142" s="20" t="inlineStr">
        <is>
          <t>I12</t>
        </is>
      </c>
      <c r="B142" s="20" t="inlineStr">
        <is>
          <t>Institutional Resilience</t>
        </is>
      </c>
      <c r="C142" s="20" t="inlineStr">
        <is>
          <t>Use domain-specific anchor + metric rule + evidence gate</t>
        </is>
      </c>
      <c r="D142" s="20" t="inlineStr">
        <is>
          <t>Independent assessor A score</t>
        </is>
      </c>
      <c r="E142" s="20" t="inlineStr">
        <is>
          <t>Independent assessor B score</t>
        </is>
      </c>
      <c r="F142" s="20">
        <f>IF(OR(D142="",E142=""),"",ABS(D142-E142))</f>
        <v/>
      </c>
      <c r="G142" s="20">
        <f>IF(F142="","PENDING",IF(F142&lt;=1,"AGREE","REVIEW"))</f>
        <v/>
      </c>
      <c r="H142" s="20">
        <f>IF(G142="REVIEW","Y","N")</f>
        <v/>
      </c>
      <c r="I142" s="20" t="inlineStr">
        <is>
          <t>Final calibrated score</t>
        </is>
      </c>
      <c r="J142" s="20" t="inlineStr">
        <is>
          <t>Notes</t>
        </is>
      </c>
    </row>
    <row r="143">
      <c r="A143" s="20" t="inlineStr">
        <is>
          <t>I13</t>
        </is>
      </c>
      <c r="B143" s="20" t="inlineStr">
        <is>
          <t>Institutional Learning System</t>
        </is>
      </c>
      <c r="C143" s="20" t="inlineStr">
        <is>
          <t>Use domain-specific anchor + metric rule + evidence gate</t>
        </is>
      </c>
      <c r="D143" s="20" t="inlineStr">
        <is>
          <t>Independent assessor A score</t>
        </is>
      </c>
      <c r="E143" s="20" t="inlineStr">
        <is>
          <t>Independent assessor B score</t>
        </is>
      </c>
      <c r="F143" s="20">
        <f>IF(OR(D143="",E143=""),"",ABS(D143-E143))</f>
        <v/>
      </c>
      <c r="G143" s="20">
        <f>IF(F143="","PENDING",IF(F143&lt;=1,"AGREE","REVIEW"))</f>
        <v/>
      </c>
      <c r="H143" s="20">
        <f>IF(G143="REVIEW","Y","N")</f>
        <v/>
      </c>
      <c r="I143" s="20" t="inlineStr">
        <is>
          <t>Final calibrated score</t>
        </is>
      </c>
      <c r="J143" s="20" t="inlineStr">
        <is>
          <t>Notes</t>
        </is>
      </c>
    </row>
    <row r="144">
      <c r="A144" s="20" t="inlineStr">
        <is>
          <t>I14</t>
        </is>
      </c>
      <c r="B144" s="20" t="inlineStr">
        <is>
          <t>Future Transformation Capacity</t>
        </is>
      </c>
      <c r="C144" s="20" t="inlineStr">
        <is>
          <t>Use domain-specific anchor + metric rule + evidence gate</t>
        </is>
      </c>
      <c r="D144" s="20" t="inlineStr">
        <is>
          <t>Independent assessor A score</t>
        </is>
      </c>
      <c r="E144" s="20" t="inlineStr">
        <is>
          <t>Independent assessor B score</t>
        </is>
      </c>
      <c r="F144" s="20">
        <f>IF(OR(D144="",E144=""),"",ABS(D144-E144))</f>
        <v/>
      </c>
      <c r="G144" s="20">
        <f>IF(F144="","PENDING",IF(F144&lt;=1,"AGREE","REVIEW"))</f>
        <v/>
      </c>
      <c r="H144" s="20">
        <f>IF(G144="REVIEW","Y","N")</f>
        <v/>
      </c>
      <c r="I144" s="20" t="inlineStr">
        <is>
          <t>Final calibrated score</t>
        </is>
      </c>
      <c r="J144" s="20" t="inlineStr">
        <is>
          <t>Notes</t>
        </is>
      </c>
    </row>
  </sheetData>
  <autoFilter ref="A1:J144"/>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24" customWidth="1" min="4" max="4"/>
    <col width="18" customWidth="1" min="5" max="5"/>
    <col width="18" customWidth="1" min="6" max="6"/>
    <col width="16" customWidth="1" min="7" max="7"/>
    <col width="65" customWidth="1" min="8" max="8"/>
  </cols>
  <sheetData>
    <row r="1">
      <c r="A1" s="19" t="inlineStr">
        <is>
          <t>Scope</t>
        </is>
      </c>
      <c r="B1" s="19" t="inlineStr">
        <is>
          <t>Test</t>
        </is>
      </c>
      <c r="C1" s="19" t="inlineStr">
        <is>
          <t>Input</t>
        </is>
      </c>
      <c r="D1" s="19" t="inlineStr">
        <is>
          <t>Statistic</t>
        </is>
      </c>
      <c r="E1" s="19" t="inlineStr">
        <is>
          <t>Estimate</t>
        </is>
      </c>
      <c r="F1" s="19" t="inlineStr">
        <is>
          <t>95% CI</t>
        </is>
      </c>
      <c r="G1" s="19" t="inlineStr">
        <is>
          <t>Status</t>
        </is>
      </c>
      <c r="H1" s="19" t="inlineStr">
        <is>
          <t>Interpretation Rule</t>
        </is>
      </c>
    </row>
    <row r="2">
      <c r="A2" s="20" t="inlineStr">
        <is>
          <t>D01</t>
        </is>
      </c>
      <c r="B2" s="20" t="inlineStr">
        <is>
          <t>Metric-level exact/adjacent agreement</t>
        </is>
      </c>
      <c r="C2" s="20" t="inlineStr">
        <is>
          <t>Input after blinded double scoring</t>
        </is>
      </c>
      <c r="D2" s="20" t="inlineStr"/>
      <c r="E2" s="20" t="inlineStr"/>
      <c r="F2" s="20" t="inlineStr"/>
      <c r="G2" s="20" t="inlineStr">
        <is>
          <t>PENDING</t>
        </is>
      </c>
      <c r="H2" s="20" t="inlineStr">
        <is>
          <t>Use weighted/ordinal agreement or ICC appropriate to score type; report confidence interval.</t>
        </is>
      </c>
    </row>
    <row r="3">
      <c r="A3" s="20" t="inlineStr">
        <is>
          <t>D02</t>
        </is>
      </c>
      <c r="B3" s="20" t="inlineStr">
        <is>
          <t>Metric-level exact/adjacent agreement</t>
        </is>
      </c>
      <c r="C3" s="20" t="inlineStr">
        <is>
          <t>Input after blinded double scoring</t>
        </is>
      </c>
      <c r="D3" s="20" t="inlineStr"/>
      <c r="E3" s="20" t="inlineStr"/>
      <c r="F3" s="20" t="inlineStr"/>
      <c r="G3" s="20" t="inlineStr">
        <is>
          <t>PENDING</t>
        </is>
      </c>
      <c r="H3" s="20" t="inlineStr">
        <is>
          <t>Use weighted/ordinal agreement or ICC appropriate to score type; report confidence interval.</t>
        </is>
      </c>
    </row>
    <row r="4">
      <c r="A4" s="20" t="inlineStr">
        <is>
          <t>D03</t>
        </is>
      </c>
      <c r="B4" s="20" t="inlineStr">
        <is>
          <t>Metric-level exact/adjacent agreement</t>
        </is>
      </c>
      <c r="C4" s="20" t="inlineStr">
        <is>
          <t>Input after blinded double scoring</t>
        </is>
      </c>
      <c r="D4" s="20" t="inlineStr"/>
      <c r="E4" s="20" t="inlineStr"/>
      <c r="F4" s="20" t="inlineStr"/>
      <c r="G4" s="20" t="inlineStr">
        <is>
          <t>PENDING</t>
        </is>
      </c>
      <c r="H4" s="20" t="inlineStr">
        <is>
          <t>Use weighted/ordinal agreement or ICC appropriate to score type; report confidence interval.</t>
        </is>
      </c>
    </row>
    <row r="5">
      <c r="A5" s="20" t="inlineStr">
        <is>
          <t>D04</t>
        </is>
      </c>
      <c r="B5" s="20" t="inlineStr">
        <is>
          <t>Metric-level exact/adjacent agreement</t>
        </is>
      </c>
      <c r="C5" s="20" t="inlineStr">
        <is>
          <t>Input after blinded double scoring</t>
        </is>
      </c>
      <c r="D5" s="20" t="inlineStr"/>
      <c r="E5" s="20" t="inlineStr"/>
      <c r="F5" s="20" t="inlineStr"/>
      <c r="G5" s="20" t="inlineStr">
        <is>
          <t>PENDING</t>
        </is>
      </c>
      <c r="H5" s="20" t="inlineStr">
        <is>
          <t>Use weighted/ordinal agreement or ICC appropriate to score type; report confidence interval.</t>
        </is>
      </c>
    </row>
    <row r="6">
      <c r="A6" s="20" t="inlineStr">
        <is>
          <t>D05</t>
        </is>
      </c>
      <c r="B6" s="20" t="inlineStr">
        <is>
          <t>Metric-level exact/adjacent agreement</t>
        </is>
      </c>
      <c r="C6" s="20" t="inlineStr">
        <is>
          <t>Input after blinded double scoring</t>
        </is>
      </c>
      <c r="D6" s="20" t="inlineStr"/>
      <c r="E6" s="20" t="inlineStr"/>
      <c r="F6" s="20" t="inlineStr"/>
      <c r="G6" s="20" t="inlineStr">
        <is>
          <t>PENDING</t>
        </is>
      </c>
      <c r="H6" s="20" t="inlineStr">
        <is>
          <t>Use weighted/ordinal agreement or ICC appropriate to score type; report confidence interval.</t>
        </is>
      </c>
    </row>
    <row r="7">
      <c r="A7" s="20" t="inlineStr">
        <is>
          <t>D06</t>
        </is>
      </c>
      <c r="B7" s="20" t="inlineStr">
        <is>
          <t>Metric-level exact/adjacent agreement</t>
        </is>
      </c>
      <c r="C7" s="20" t="inlineStr">
        <is>
          <t>Input after blinded double scoring</t>
        </is>
      </c>
      <c r="D7" s="20" t="inlineStr"/>
      <c r="E7" s="20" t="inlineStr"/>
      <c r="F7" s="20" t="inlineStr"/>
      <c r="G7" s="20" t="inlineStr">
        <is>
          <t>PENDING</t>
        </is>
      </c>
      <c r="H7" s="20" t="inlineStr">
        <is>
          <t>Use weighted/ordinal agreement or ICC appropriate to score type; report confidence interval.</t>
        </is>
      </c>
    </row>
    <row r="8">
      <c r="A8" s="20" t="inlineStr">
        <is>
          <t>D07</t>
        </is>
      </c>
      <c r="B8" s="20" t="inlineStr">
        <is>
          <t>Metric-level exact/adjacent agreement</t>
        </is>
      </c>
      <c r="C8" s="20" t="inlineStr">
        <is>
          <t>Input after blinded double scoring</t>
        </is>
      </c>
      <c r="D8" s="20" t="inlineStr"/>
      <c r="E8" s="20" t="inlineStr"/>
      <c r="F8" s="20" t="inlineStr"/>
      <c r="G8" s="20" t="inlineStr">
        <is>
          <t>PENDING</t>
        </is>
      </c>
      <c r="H8" s="20" t="inlineStr">
        <is>
          <t>Use weighted/ordinal agreement or ICC appropriate to score type; report confidence interval.</t>
        </is>
      </c>
    </row>
    <row r="9">
      <c r="A9" s="20" t="inlineStr">
        <is>
          <t>D08</t>
        </is>
      </c>
      <c r="B9" s="20" t="inlineStr">
        <is>
          <t>Metric-level exact/adjacent agreement</t>
        </is>
      </c>
      <c r="C9" s="20" t="inlineStr">
        <is>
          <t>Input after blinded double scoring</t>
        </is>
      </c>
      <c r="D9" s="20" t="inlineStr"/>
      <c r="E9" s="20" t="inlineStr"/>
      <c r="F9" s="20" t="inlineStr"/>
      <c r="G9" s="20" t="inlineStr">
        <is>
          <t>PENDING</t>
        </is>
      </c>
      <c r="H9" s="20" t="inlineStr">
        <is>
          <t>Use weighted/ordinal agreement or ICC appropriate to score type; report confidence interval.</t>
        </is>
      </c>
    </row>
    <row r="10">
      <c r="A10" s="20" t="inlineStr">
        <is>
          <t>D09</t>
        </is>
      </c>
      <c r="B10" s="20" t="inlineStr">
        <is>
          <t>Metric-level exact/adjacent agreement</t>
        </is>
      </c>
      <c r="C10" s="20" t="inlineStr">
        <is>
          <t>Input after blinded double scoring</t>
        </is>
      </c>
      <c r="D10" s="20" t="inlineStr"/>
      <c r="E10" s="20" t="inlineStr"/>
      <c r="F10" s="20" t="inlineStr"/>
      <c r="G10" s="20" t="inlineStr">
        <is>
          <t>PENDING</t>
        </is>
      </c>
      <c r="H10" s="20" t="inlineStr">
        <is>
          <t>Use weighted/ordinal agreement or ICC appropriate to score type; report confidence interval.</t>
        </is>
      </c>
    </row>
    <row r="11">
      <c r="A11" s="20" t="inlineStr">
        <is>
          <t>D10</t>
        </is>
      </c>
      <c r="B11" s="20" t="inlineStr">
        <is>
          <t>Metric-level exact/adjacent agreement</t>
        </is>
      </c>
      <c r="C11" s="20" t="inlineStr">
        <is>
          <t>Input after blinded double scoring</t>
        </is>
      </c>
      <c r="D11" s="20" t="inlineStr"/>
      <c r="E11" s="20" t="inlineStr"/>
      <c r="F11" s="20" t="inlineStr"/>
      <c r="G11" s="20" t="inlineStr">
        <is>
          <t>PENDING</t>
        </is>
      </c>
      <c r="H11" s="20" t="inlineStr">
        <is>
          <t>Use weighted/ordinal agreement or ICC appropriate to score type; report confidence interval.</t>
        </is>
      </c>
    </row>
    <row r="12">
      <c r="A12" s="20" t="inlineStr">
        <is>
          <t>D11</t>
        </is>
      </c>
      <c r="B12" s="20" t="inlineStr">
        <is>
          <t>Metric-level exact/adjacent agreement</t>
        </is>
      </c>
      <c r="C12" s="20" t="inlineStr">
        <is>
          <t>Input after blinded double scoring</t>
        </is>
      </c>
      <c r="D12" s="20" t="inlineStr"/>
      <c r="E12" s="20" t="inlineStr"/>
      <c r="F12" s="20" t="inlineStr"/>
      <c r="G12" s="20" t="inlineStr">
        <is>
          <t>PENDING</t>
        </is>
      </c>
      <c r="H12" s="20" t="inlineStr">
        <is>
          <t>Use weighted/ordinal agreement or ICC appropriate to score type; report confidence interval.</t>
        </is>
      </c>
    </row>
    <row r="13">
      <c r="A13" s="20" t="inlineStr">
        <is>
          <t>ALL</t>
        </is>
      </c>
      <c r="B13" s="20" t="inlineStr">
        <is>
          <t>Overall inter-rater reliability</t>
        </is>
      </c>
      <c r="C13" s="20" t="inlineStr">
        <is>
          <t>Aggregate from sampled metrics</t>
        </is>
      </c>
      <c r="D13" s="20" t="inlineStr"/>
      <c r="E13" s="20" t="inlineStr"/>
      <c r="F13" s="20" t="inlineStr"/>
      <c r="G13" s="20" t="inlineStr">
        <is>
          <t>PENDING</t>
        </is>
      </c>
      <c r="H13" s="20" t="inlineStr">
        <is>
          <t>Do not average incompatible statistics; pre-specify statistic before pilot.</t>
        </is>
      </c>
    </row>
  </sheetData>
  <autoFilter ref="A1:H13"/>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24" customWidth="1" min="4" max="4"/>
    <col width="18" customWidth="1" min="5" max="5"/>
    <col width="18" customWidth="1" min="6" max="6"/>
    <col width="70" customWidth="1" min="7" max="7"/>
  </cols>
  <sheetData>
    <row r="1">
      <c r="A1" s="19" t="inlineStr">
        <is>
          <t>Scope</t>
        </is>
      </c>
      <c r="B1" s="19" t="inlineStr">
        <is>
          <t>Test</t>
        </is>
      </c>
      <c r="C1" s="19" t="inlineStr">
        <is>
          <t>Design</t>
        </is>
      </c>
      <c r="D1" s="19" t="inlineStr">
        <is>
          <t>Statistic</t>
        </is>
      </c>
      <c r="E1" s="19" t="inlineStr">
        <is>
          <t>Estimate</t>
        </is>
      </c>
      <c r="F1" s="19" t="inlineStr">
        <is>
          <t>Status</t>
        </is>
      </c>
      <c r="G1" s="19" t="inlineStr">
        <is>
          <t>Interpretation</t>
        </is>
      </c>
    </row>
    <row r="2">
      <c r="A2" s="20" t="inlineStr">
        <is>
          <t>D01</t>
        </is>
      </c>
      <c r="B2" s="20" t="inlineStr">
        <is>
          <t>Repeat assessment after defined interval</t>
        </is>
      </c>
      <c r="C2" s="20" t="inlineStr">
        <is>
          <t>Same institution/sample, same protocol</t>
        </is>
      </c>
      <c r="D2" s="20" t="inlineStr"/>
      <c r="E2" s="20" t="inlineStr"/>
      <c r="F2" s="20" t="inlineStr">
        <is>
          <t>PENDING</t>
        </is>
      </c>
      <c r="G2" s="20" t="inlineStr">
        <is>
          <t>Investigate material drift versus expected institutional change.</t>
        </is>
      </c>
    </row>
    <row r="3">
      <c r="A3" s="20" t="inlineStr">
        <is>
          <t>D02</t>
        </is>
      </c>
      <c r="B3" s="20" t="inlineStr">
        <is>
          <t>Repeat assessment after defined interval</t>
        </is>
      </c>
      <c r="C3" s="20" t="inlineStr">
        <is>
          <t>Same institution/sample, same protocol</t>
        </is>
      </c>
      <c r="D3" s="20" t="inlineStr"/>
      <c r="E3" s="20" t="inlineStr"/>
      <c r="F3" s="20" t="inlineStr">
        <is>
          <t>PENDING</t>
        </is>
      </c>
      <c r="G3" s="20" t="inlineStr">
        <is>
          <t>Investigate material drift versus expected institutional change.</t>
        </is>
      </c>
    </row>
    <row r="4">
      <c r="A4" s="20" t="inlineStr">
        <is>
          <t>D03</t>
        </is>
      </c>
      <c r="B4" s="20" t="inlineStr">
        <is>
          <t>Repeat assessment after defined interval</t>
        </is>
      </c>
      <c r="C4" s="20" t="inlineStr">
        <is>
          <t>Same institution/sample, same protocol</t>
        </is>
      </c>
      <c r="D4" s="20" t="inlineStr"/>
      <c r="E4" s="20" t="inlineStr"/>
      <c r="F4" s="20" t="inlineStr">
        <is>
          <t>PENDING</t>
        </is>
      </c>
      <c r="G4" s="20" t="inlineStr">
        <is>
          <t>Investigate material drift versus expected institutional change.</t>
        </is>
      </c>
    </row>
    <row r="5">
      <c r="A5" s="20" t="inlineStr">
        <is>
          <t>D04</t>
        </is>
      </c>
      <c r="B5" s="20" t="inlineStr">
        <is>
          <t>Repeat assessment after defined interval</t>
        </is>
      </c>
      <c r="C5" s="20" t="inlineStr">
        <is>
          <t>Same institution/sample, same protocol</t>
        </is>
      </c>
      <c r="D5" s="20" t="inlineStr"/>
      <c r="E5" s="20" t="inlineStr"/>
      <c r="F5" s="20" t="inlineStr">
        <is>
          <t>PENDING</t>
        </is>
      </c>
      <c r="G5" s="20" t="inlineStr">
        <is>
          <t>Investigate material drift versus expected institutional change.</t>
        </is>
      </c>
    </row>
    <row r="6">
      <c r="A6" s="20" t="inlineStr">
        <is>
          <t>D05</t>
        </is>
      </c>
      <c r="B6" s="20" t="inlineStr">
        <is>
          <t>Repeat assessment after defined interval</t>
        </is>
      </c>
      <c r="C6" s="20" t="inlineStr">
        <is>
          <t>Same institution/sample, same protocol</t>
        </is>
      </c>
      <c r="D6" s="20" t="inlineStr"/>
      <c r="E6" s="20" t="inlineStr"/>
      <c r="F6" s="20" t="inlineStr">
        <is>
          <t>PENDING</t>
        </is>
      </c>
      <c r="G6" s="20" t="inlineStr">
        <is>
          <t>Investigate material drift versus expected institutional change.</t>
        </is>
      </c>
    </row>
    <row r="7">
      <c r="A7" s="20" t="inlineStr">
        <is>
          <t>D06</t>
        </is>
      </c>
      <c r="B7" s="20" t="inlineStr">
        <is>
          <t>Repeat assessment after defined interval</t>
        </is>
      </c>
      <c r="C7" s="20" t="inlineStr">
        <is>
          <t>Same institution/sample, same protocol</t>
        </is>
      </c>
      <c r="D7" s="20" t="inlineStr"/>
      <c r="E7" s="20" t="inlineStr"/>
      <c r="F7" s="20" t="inlineStr">
        <is>
          <t>PENDING</t>
        </is>
      </c>
      <c r="G7" s="20" t="inlineStr">
        <is>
          <t>Investigate material drift versus expected institutional change.</t>
        </is>
      </c>
    </row>
    <row r="8">
      <c r="A8" s="20" t="inlineStr">
        <is>
          <t>D07</t>
        </is>
      </c>
      <c r="B8" s="20" t="inlineStr">
        <is>
          <t>Repeat assessment after defined interval</t>
        </is>
      </c>
      <c r="C8" s="20" t="inlineStr">
        <is>
          <t>Same institution/sample, same protocol</t>
        </is>
      </c>
      <c r="D8" s="20" t="inlineStr"/>
      <c r="E8" s="20" t="inlineStr"/>
      <c r="F8" s="20" t="inlineStr">
        <is>
          <t>PENDING</t>
        </is>
      </c>
      <c r="G8" s="20" t="inlineStr">
        <is>
          <t>Investigate material drift versus expected institutional change.</t>
        </is>
      </c>
    </row>
    <row r="9">
      <c r="A9" s="20" t="inlineStr">
        <is>
          <t>D08</t>
        </is>
      </c>
      <c r="B9" s="20" t="inlineStr">
        <is>
          <t>Repeat assessment after defined interval</t>
        </is>
      </c>
      <c r="C9" s="20" t="inlineStr">
        <is>
          <t>Same institution/sample, same protocol</t>
        </is>
      </c>
      <c r="D9" s="20" t="inlineStr"/>
      <c r="E9" s="20" t="inlineStr"/>
      <c r="F9" s="20" t="inlineStr">
        <is>
          <t>PENDING</t>
        </is>
      </c>
      <c r="G9" s="20" t="inlineStr">
        <is>
          <t>Investigate material drift versus expected institutional change.</t>
        </is>
      </c>
    </row>
    <row r="10">
      <c r="A10" s="20" t="inlineStr">
        <is>
          <t>D09</t>
        </is>
      </c>
      <c r="B10" s="20" t="inlineStr">
        <is>
          <t>Repeat assessment after defined interval</t>
        </is>
      </c>
      <c r="C10" s="20" t="inlineStr">
        <is>
          <t>Same institution/sample, same protocol</t>
        </is>
      </c>
      <c r="D10" s="20" t="inlineStr"/>
      <c r="E10" s="20" t="inlineStr"/>
      <c r="F10" s="20" t="inlineStr">
        <is>
          <t>PENDING</t>
        </is>
      </c>
      <c r="G10" s="20" t="inlineStr">
        <is>
          <t>Investigate material drift versus expected institutional change.</t>
        </is>
      </c>
    </row>
    <row r="11">
      <c r="A11" s="20" t="inlineStr">
        <is>
          <t>D10</t>
        </is>
      </c>
      <c r="B11" s="20" t="inlineStr">
        <is>
          <t>Repeat assessment after defined interval</t>
        </is>
      </c>
      <c r="C11" s="20" t="inlineStr">
        <is>
          <t>Same institution/sample, same protocol</t>
        </is>
      </c>
      <c r="D11" s="20" t="inlineStr"/>
      <c r="E11" s="20" t="inlineStr"/>
      <c r="F11" s="20" t="inlineStr">
        <is>
          <t>PENDING</t>
        </is>
      </c>
      <c r="G11" s="20" t="inlineStr">
        <is>
          <t>Investigate material drift versus expected institutional change.</t>
        </is>
      </c>
    </row>
    <row r="12">
      <c r="A12" s="20" t="inlineStr">
        <is>
          <t>D11</t>
        </is>
      </c>
      <c r="B12" s="20" t="inlineStr">
        <is>
          <t>Repeat assessment after defined interval</t>
        </is>
      </c>
      <c r="C12" s="20" t="inlineStr">
        <is>
          <t>Same institution/sample, same protocol</t>
        </is>
      </c>
      <c r="D12" s="20" t="inlineStr"/>
      <c r="E12" s="20" t="inlineStr"/>
      <c r="F12" s="20" t="inlineStr">
        <is>
          <t>PENDING</t>
        </is>
      </c>
      <c r="G12" s="20" t="inlineStr">
        <is>
          <t>Investigate material drift versus expected institutional change.</t>
        </is>
      </c>
    </row>
    <row r="13">
      <c r="A13" s="20" t="inlineStr">
        <is>
          <t>ALL</t>
        </is>
      </c>
      <c r="B13" s="20" t="inlineStr">
        <is>
          <t>Overall test-retest</t>
        </is>
      </c>
      <c r="C13" s="20" t="inlineStr">
        <is>
          <t>Repeat pilot cohort</t>
        </is>
      </c>
      <c r="D13" s="20" t="inlineStr"/>
      <c r="E13" s="20" t="inlineStr"/>
      <c r="F13" s="20" t="inlineStr">
        <is>
          <t>PENDING</t>
        </is>
      </c>
      <c r="G13" s="20" t="inlineStr">
        <is>
          <t>Target ≥0.70 exploratory; ≥0.80 preferred for freeze, subject to metric type.</t>
        </is>
      </c>
    </row>
  </sheetData>
  <autoFilter ref="A1:G13"/>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60" customWidth="1" min="3" max="3"/>
    <col width="30" customWidth="1" min="4" max="4"/>
    <col width="18" customWidth="1" min="5" max="5"/>
    <col width="65" customWidth="1" min="6" max="6"/>
  </cols>
  <sheetData>
    <row r="1">
      <c r="A1" s="19" t="inlineStr">
        <is>
          <t>Validity Type</t>
        </is>
      </c>
      <c r="B1" s="19" t="inlineStr">
        <is>
          <t>Question</t>
        </is>
      </c>
      <c r="C1" s="19" t="inlineStr">
        <is>
          <t>Design Rule</t>
        </is>
      </c>
      <c r="D1" s="19" t="inlineStr">
        <is>
          <t>Statistic/Output</t>
        </is>
      </c>
      <c r="E1" s="19" t="inlineStr">
        <is>
          <t>Status</t>
        </is>
      </c>
      <c r="F1" s="19" t="inlineStr">
        <is>
          <t>Acceptance Note</t>
        </is>
      </c>
    </row>
    <row r="2">
      <c r="A2" s="20" t="inlineStr">
        <is>
          <t>Known-groups</t>
        </is>
      </c>
      <c r="B2" s="20" t="inlineStr">
        <is>
          <t>Compare institutions/groups expected a priori to differ in AI-era readiness</t>
        </is>
      </c>
      <c r="C2" s="20" t="inlineStr">
        <is>
          <t>Pre-specify groups before seeing scores</t>
        </is>
      </c>
      <c r="D2" s="20" t="inlineStr">
        <is>
          <t>Effect size + CI</t>
        </is>
      </c>
      <c r="E2" s="20" t="inlineStr">
        <is>
          <t>PENDING</t>
        </is>
      </c>
      <c r="F2" s="20" t="inlineStr">
        <is>
          <t>Do not define groups using ARUI score itself.</t>
        </is>
      </c>
    </row>
    <row r="3">
      <c r="A3" s="20" t="inlineStr">
        <is>
          <t>Convergent</t>
        </is>
      </c>
      <c r="B3" s="20" t="inlineStr">
        <is>
          <t>Compare ARUI/domain constructs with credible external or internal measures</t>
        </is>
      </c>
      <c r="C3" s="20" t="inlineStr">
        <is>
          <t>Pre-specify comparator and direction</t>
        </is>
      </c>
      <c r="D3" s="20" t="inlineStr">
        <is>
          <t>Correlation / effect size + CI</t>
        </is>
      </c>
      <c r="E3" s="20" t="inlineStr">
        <is>
          <t>PENDING</t>
        </is>
      </c>
      <c r="F3" s="20" t="inlineStr">
        <is>
          <t>Comparator must measure a related construct, not the same ARUI output.</t>
        </is>
      </c>
    </row>
    <row r="4">
      <c r="A4" s="20" t="inlineStr">
        <is>
          <t>Discriminant</t>
        </is>
      </c>
      <c r="B4" s="20" t="inlineStr">
        <is>
          <t>Check weak relationships with theoretically unrelated constructs</t>
        </is>
      </c>
      <c r="C4" s="20" t="inlineStr">
        <is>
          <t>Pre-specify unrelated comparator</t>
        </is>
      </c>
      <c r="D4" s="20" t="inlineStr">
        <is>
          <t>Correlation + CI</t>
        </is>
      </c>
      <c r="E4" s="20" t="inlineStr">
        <is>
          <t>PENDING</t>
        </is>
      </c>
      <c r="F4" s="20" t="inlineStr">
        <is>
          <t>Unexpected strong correlation triggers construct review.</t>
        </is>
      </c>
    </row>
    <row r="5">
      <c r="A5" s="20" t="inlineStr">
        <is>
          <t>Content validity</t>
        </is>
      </c>
      <c r="B5" s="20" t="inlineStr">
        <is>
          <t>Expert panel review of construct coverage and domain boundaries</t>
        </is>
      </c>
      <c r="C5" s="20" t="inlineStr">
        <is>
          <t>Structured expert protocol</t>
        </is>
      </c>
      <c r="D5" s="20" t="inlineStr">
        <is>
          <t>Coverage/consensus index</t>
        </is>
      </c>
      <c r="E5" s="20" t="inlineStr">
        <is>
          <t>PENDING</t>
        </is>
      </c>
      <c r="F5" s="20" t="inlineStr">
        <is>
          <t>Panel composition and conflicts documented.</t>
        </is>
      </c>
    </row>
    <row r="6">
      <c r="A6" s="20" t="inlineStr">
        <is>
          <t>Response-process validity</t>
        </is>
      </c>
      <c r="B6" s="20" t="inlineStr">
        <is>
          <t>Check whether respondents/assessors interpret prompts as intended</t>
        </is>
      </c>
      <c r="C6" s="20" t="inlineStr">
        <is>
          <t>Cognitive interviews + observation</t>
        </is>
      </c>
      <c r="D6" s="20" t="inlineStr">
        <is>
          <t>Issue rate / qualitative coding</t>
        </is>
      </c>
      <c r="E6" s="20" t="inlineStr">
        <is>
          <t>PENDING</t>
        </is>
      </c>
      <c r="F6" s="20" t="inlineStr">
        <is>
          <t>Revise ambiguous items before psychometric testing.</t>
        </is>
      </c>
    </row>
  </sheetData>
  <autoFilter ref="A1:F6"/>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25" customWidth="1" min="3" max="3"/>
    <col width="25" customWidth="1" min="4" max="4"/>
    <col width="30" customWidth="1" min="5" max="5"/>
    <col width="18" customWidth="1" min="6" max="6"/>
    <col width="70" customWidth="1" min="7" max="7"/>
  </cols>
  <sheetData>
    <row r="1">
      <c r="A1" s="19" t="inlineStr">
        <is>
          <t>Parameter</t>
        </is>
      </c>
      <c r="B1" s="19" t="inlineStr">
        <is>
          <t>Scenario Design</t>
        </is>
      </c>
      <c r="C1" s="19" t="inlineStr">
        <is>
          <t>Primary Output</t>
        </is>
      </c>
      <c r="D1" s="19" t="inlineStr">
        <is>
          <t>Secondary Output</t>
        </is>
      </c>
      <c r="E1" s="19" t="inlineStr">
        <is>
          <t>Stability Test</t>
        </is>
      </c>
      <c r="F1" s="19" t="inlineStr">
        <is>
          <t>Status</t>
        </is>
      </c>
      <c r="G1" s="19" t="inlineStr">
        <is>
          <t>Decision Rule</t>
        </is>
      </c>
    </row>
    <row r="2">
      <c r="A2" s="20" t="inlineStr">
        <is>
          <t>Domain weights</t>
        </is>
      </c>
      <c r="B2" s="20" t="inlineStr">
        <is>
          <t>±10% and plausible alternative specification</t>
        </is>
      </c>
      <c r="C2" s="20" t="inlineStr">
        <is>
          <t>Overall ARUI</t>
        </is>
      </c>
      <c r="D2" s="20" t="inlineStr">
        <is>
          <t>Domain scores</t>
        </is>
      </c>
      <c r="E2" s="20" t="inlineStr">
        <is>
          <t>Rank/priority stability</t>
        </is>
      </c>
      <c r="F2" s="20" t="inlineStr">
        <is>
          <t>PENDING</t>
        </is>
      </c>
      <c r="G2" s="20" t="inlineStr">
        <is>
          <t>Freeze only if conclusions are acceptably stable or sensitivity is transparently reported.</t>
        </is>
      </c>
    </row>
    <row r="3">
      <c r="A3" s="20" t="inlineStr">
        <is>
          <t>M/I/O coefficients</t>
        </is>
      </c>
      <c r="B3" s="20" t="inlineStr">
        <is>
          <t>±10% and plausible alternative specification</t>
        </is>
      </c>
      <c r="C3" s="20" t="inlineStr">
        <is>
          <t>Overall ARUI</t>
        </is>
      </c>
      <c r="D3" s="20" t="inlineStr">
        <is>
          <t>Domain scores</t>
        </is>
      </c>
      <c r="E3" s="20" t="inlineStr">
        <is>
          <t>Rank/priority stability</t>
        </is>
      </c>
      <c r="F3" s="20" t="inlineStr">
        <is>
          <t>PENDING</t>
        </is>
      </c>
      <c r="G3" s="20" t="inlineStr">
        <is>
          <t>Freeze only if conclusions are acceptably stable or sensitivity is transparently reported.</t>
        </is>
      </c>
    </row>
    <row r="4">
      <c r="A4" s="20" t="inlineStr">
        <is>
          <t>N/A handling</t>
        </is>
      </c>
      <c r="B4" s="20" t="inlineStr">
        <is>
          <t>±10% and plausible alternative specification</t>
        </is>
      </c>
      <c r="C4" s="20" t="inlineStr">
        <is>
          <t>Overall ARUI</t>
        </is>
      </c>
      <c r="D4" s="20" t="inlineStr">
        <is>
          <t>Domain scores</t>
        </is>
      </c>
      <c r="E4" s="20" t="inlineStr">
        <is>
          <t>Rank/priority stability</t>
        </is>
      </c>
      <c r="F4" s="20" t="inlineStr">
        <is>
          <t>PENDING</t>
        </is>
      </c>
      <c r="G4" s="20" t="inlineStr">
        <is>
          <t>Freeze only if conclusions are acceptably stable or sensitivity is transparently reported.</t>
        </is>
      </c>
    </row>
    <row r="5">
      <c r="A5" s="20" t="inlineStr">
        <is>
          <t>Evidence confidence rule</t>
        </is>
      </c>
      <c r="B5" s="20" t="inlineStr">
        <is>
          <t>±10% and plausible alternative specification</t>
        </is>
      </c>
      <c r="C5" s="20" t="inlineStr">
        <is>
          <t>Overall ARUI</t>
        </is>
      </c>
      <c r="D5" s="20" t="inlineStr">
        <is>
          <t>Domain scores</t>
        </is>
      </c>
      <c r="E5" s="20" t="inlineStr">
        <is>
          <t>Rank/priority stability</t>
        </is>
      </c>
      <c r="F5" s="20" t="inlineStr">
        <is>
          <t>PENDING</t>
        </is>
      </c>
      <c r="G5" s="20" t="inlineStr">
        <is>
          <t>Freeze only if conclusions are acceptably stable or sensitivity is transparently reported.</t>
        </is>
      </c>
    </row>
    <row r="6">
      <c r="A6" s="20" t="inlineStr">
        <is>
          <t>Required maturity context factors</t>
        </is>
      </c>
      <c r="B6" s="20" t="inlineStr">
        <is>
          <t>±10% and plausible alternative specification</t>
        </is>
      </c>
      <c r="C6" s="20" t="inlineStr">
        <is>
          <t>Overall ARUI</t>
        </is>
      </c>
      <c r="D6" s="20" t="inlineStr">
        <is>
          <t>Domain scores</t>
        </is>
      </c>
      <c r="E6" s="20" t="inlineStr">
        <is>
          <t>Rank/priority stability</t>
        </is>
      </c>
      <c r="F6" s="20" t="inlineStr">
        <is>
          <t>PENDING</t>
        </is>
      </c>
      <c r="G6" s="20" t="inlineStr">
        <is>
          <t>Freeze only if conclusions are acceptably stable or sensitivity is transparently reported.</t>
        </is>
      </c>
    </row>
    <row r="7">
      <c r="A7" s="20" t="inlineStr">
        <is>
          <t>Cross-domain contradiction threshold</t>
        </is>
      </c>
      <c r="B7" s="20" t="inlineStr">
        <is>
          <t>±10% and plausible alternative specification</t>
        </is>
      </c>
      <c r="C7" s="20" t="inlineStr">
        <is>
          <t>Overall ARUI</t>
        </is>
      </c>
      <c r="D7" s="20" t="inlineStr">
        <is>
          <t>Domain scores</t>
        </is>
      </c>
      <c r="E7" s="20" t="inlineStr">
        <is>
          <t>Rank/priority stability</t>
        </is>
      </c>
      <c r="F7" s="20" t="inlineStr">
        <is>
          <t>PENDING</t>
        </is>
      </c>
      <c r="G7" s="20" t="inlineStr">
        <is>
          <t>Freeze only if conclusions are acceptably stable or sensitivity is transparently reported.</t>
        </is>
      </c>
    </row>
    <row r="8">
      <c r="A8" s="20" t="inlineStr">
        <is>
          <t>High-score corroboration threshold</t>
        </is>
      </c>
      <c r="B8" s="20" t="inlineStr">
        <is>
          <t>±10% and plausible alternative specification</t>
        </is>
      </c>
      <c r="C8" s="20" t="inlineStr">
        <is>
          <t>Overall ARUI</t>
        </is>
      </c>
      <c r="D8" s="20" t="inlineStr">
        <is>
          <t>Domain scores</t>
        </is>
      </c>
      <c r="E8" s="20" t="inlineStr">
        <is>
          <t>Rank/priority stability</t>
        </is>
      </c>
      <c r="F8" s="20" t="inlineStr">
        <is>
          <t>PENDING</t>
        </is>
      </c>
      <c r="G8" s="20" t="inlineStr">
        <is>
          <t>Freeze only if conclusions are acceptably stable or sensitivity is transparently reported.</t>
        </is>
      </c>
    </row>
  </sheetData>
  <autoFilter ref="A1:G8"/>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30" customWidth="1" min="4" max="4"/>
    <col width="34" customWidth="1" min="5" max="5"/>
    <col width="28" customWidth="1" min="6" max="6"/>
  </cols>
  <sheetData>
    <row r="1">
      <c r="A1" s="19" t="inlineStr">
        <is>
          <t>Control</t>
        </is>
      </c>
      <c r="B1" s="19" t="inlineStr">
        <is>
          <t>Fail/Red</t>
        </is>
      </c>
      <c r="C1" s="19" t="inlineStr">
        <is>
          <t>Watch/Amber</t>
        </is>
      </c>
      <c r="D1" s="19" t="inlineStr">
        <is>
          <t>Pass/Green</t>
        </is>
      </c>
      <c r="E1" s="19" t="inlineStr">
        <is>
          <t>Preferred Freeze Standard</t>
        </is>
      </c>
      <c r="F1" s="19" t="inlineStr">
        <is>
          <t>Basis</t>
        </is>
      </c>
    </row>
    <row r="2">
      <c r="A2" s="20" t="inlineStr">
        <is>
          <t>Metric reliability</t>
        </is>
      </c>
      <c r="B2" s="20" t="inlineStr">
        <is>
          <t>&lt;0.60</t>
        </is>
      </c>
      <c r="C2" s="20" t="inlineStr">
        <is>
          <t>0.60–0.69</t>
        </is>
      </c>
      <c r="D2" s="20" t="inlineStr">
        <is>
          <t>≥0.70 exploratory</t>
        </is>
      </c>
      <c r="E2" s="20" t="inlineStr">
        <is>
          <t>≥0.80 preferred</t>
        </is>
      </c>
      <c r="F2" s="20" t="inlineStr">
        <is>
          <t>Empirical pilot</t>
        </is>
      </c>
    </row>
    <row r="3">
      <c r="A3" s="20" t="inlineStr">
        <is>
          <t>High-score evidence trigger</t>
        </is>
      </c>
      <c r="B3" s="20" t="inlineStr">
        <is>
          <t>Score ≥80 + E0</t>
        </is>
      </c>
      <c r="C3" s="20" t="inlineStr">
        <is>
          <t>Score ≥80 + weak corroboration</t>
        </is>
      </c>
      <c r="D3" s="20" t="inlineStr">
        <is>
          <t>Defined corroboration</t>
        </is>
      </c>
      <c r="E3" s="20" t="inlineStr">
        <is>
          <t>Independent/triangulated</t>
        </is>
      </c>
      <c r="F3" s="20" t="inlineStr">
        <is>
          <t>Operational</t>
        </is>
      </c>
    </row>
    <row r="4">
      <c r="A4" s="20" t="inlineStr">
        <is>
          <t>Domain applicability</t>
        </is>
      </c>
      <c r="B4" s="20" t="inlineStr">
        <is>
          <t>No documented applicability</t>
        </is>
      </c>
      <c r="C4" s="20" t="inlineStr">
        <is>
          <t>Ambiguous mandate</t>
        </is>
      </c>
      <c r="D4" s="20" t="inlineStr">
        <is>
          <t>Documented applicability</t>
        </is>
      </c>
      <c r="E4" s="20" t="inlineStr">
        <is>
          <t>Independent confirmation where consequential</t>
        </is>
      </c>
      <c r="F4" s="20" t="inlineStr">
        <is>
          <t>Operational</t>
        </is>
      </c>
    </row>
    <row r="5">
      <c r="A5" s="20" t="inlineStr">
        <is>
          <t>Change freeze</t>
        </is>
      </c>
      <c r="B5" s="20" t="inlineStr">
        <is>
          <t>Unvalidated</t>
        </is>
      </c>
      <c r="C5" s="20" t="inlineStr">
        <is>
          <t>Pilot evidence incomplete</t>
        </is>
      </c>
      <c r="D5" s="20" t="inlineStr">
        <is>
          <t>Pilot reviewed</t>
        </is>
      </c>
      <c r="E5" s="20" t="inlineStr">
        <is>
          <t>Acceptance gates passed</t>
        </is>
      </c>
      <c r="F5" s="20" t="inlineStr">
        <is>
          <t>Governance</t>
        </is>
      </c>
    </row>
  </sheetData>
  <autoFilter ref="A1:F5"/>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0" customWidth="1" min="3" max="3"/>
    <col width="55" customWidth="1" min="4" max="4"/>
    <col width="28" customWidth="1" min="5" max="5"/>
    <col width="25" customWidth="1" min="6" max="6"/>
    <col width="18" customWidth="1" min="7" max="7"/>
  </cols>
  <sheetData>
    <row r="1">
      <c r="A1" s="19" t="inlineStr">
        <is>
          <t>Phase</t>
        </is>
      </c>
      <c r="B1" s="19" t="inlineStr">
        <is>
          <t>Purpose</t>
        </is>
      </c>
      <c r="C1" s="19" t="inlineStr">
        <is>
          <t>Indicative Sample</t>
        </is>
      </c>
      <c r="D1" s="19" t="inlineStr">
        <is>
          <t>Tests</t>
        </is>
      </c>
      <c r="E1" s="19" t="inlineStr">
        <is>
          <t>Dependency</t>
        </is>
      </c>
      <c r="F1" s="19" t="inlineStr">
        <is>
          <t>Owner</t>
        </is>
      </c>
      <c r="G1" s="19" t="inlineStr">
        <is>
          <t>Status</t>
        </is>
      </c>
    </row>
    <row r="2">
      <c r="A2" s="20" t="inlineStr">
        <is>
          <t>Phase 1</t>
        </is>
      </c>
      <c r="B2" s="20" t="inlineStr">
        <is>
          <t>Expert content/calibration</t>
        </is>
      </c>
      <c r="C2" s="20" t="inlineStr">
        <is>
          <t>10–15 experts</t>
        </is>
      </c>
      <c r="D2" s="20" t="inlineStr">
        <is>
          <t>Anchor review, boundary review, cognitive review</t>
        </is>
      </c>
      <c r="E2" s="20" t="inlineStr">
        <is>
          <t>Before institutional pilot</t>
        </is>
      </c>
      <c r="F2" s="20" t="inlineStr">
        <is>
          <t>Methodology Lead</t>
        </is>
      </c>
      <c r="G2" s="20" t="inlineStr">
        <is>
          <t>PENDING</t>
        </is>
      </c>
    </row>
    <row r="3">
      <c r="A3" s="20" t="inlineStr">
        <is>
          <t>Phase 2</t>
        </is>
      </c>
      <c r="B3" s="20" t="inlineStr">
        <is>
          <t>Small double-scored pilot</t>
        </is>
      </c>
      <c r="C3" s="20" t="inlineStr">
        <is>
          <t>≥3–5 institutions, purposive variation</t>
        </is>
      </c>
      <c r="D3" s="20" t="inlineStr">
        <is>
          <t>Inter-rater, usability, evidence burden</t>
        </is>
      </c>
      <c r="E3" s="20" t="inlineStr">
        <is>
          <t>After Phase 1</t>
        </is>
      </c>
      <c r="F3" s="20" t="inlineStr">
        <is>
          <t>Assessment Lead</t>
        </is>
      </c>
      <c r="G3" s="20" t="inlineStr">
        <is>
          <t>PENDING</t>
        </is>
      </c>
    </row>
    <row r="4">
      <c r="A4" s="20" t="inlineStr">
        <is>
          <t>Phase 3</t>
        </is>
      </c>
      <c r="B4" s="20" t="inlineStr">
        <is>
          <t>Broader validation pilot</t>
        </is>
      </c>
      <c r="C4" s="20" t="inlineStr">
        <is>
          <t>Target sample sized by power/precision analysis</t>
        </is>
      </c>
      <c r="D4" s="20" t="inlineStr">
        <is>
          <t>Known-groups, convergent, sensitivity, stability</t>
        </is>
      </c>
      <c r="E4" s="20" t="inlineStr">
        <is>
          <t>After Phase 2</t>
        </is>
      </c>
      <c r="F4" s="20" t="inlineStr">
        <is>
          <t>Validation Lead</t>
        </is>
      </c>
      <c r="G4" s="20" t="inlineStr">
        <is>
          <t>PENDING</t>
        </is>
      </c>
    </row>
    <row r="5">
      <c r="A5" s="20" t="inlineStr">
        <is>
          <t>Phase 4</t>
        </is>
      </c>
      <c r="B5" s="20" t="inlineStr">
        <is>
          <t>P1.0 freeze review</t>
        </is>
      </c>
      <c r="C5" s="20" t="inlineStr">
        <is>
          <t>Independent methodology panel</t>
        </is>
      </c>
      <c r="D5" s="20" t="inlineStr">
        <is>
          <t>Acceptance gates + change log + governance</t>
        </is>
      </c>
      <c r="E5" s="20" t="inlineStr">
        <is>
          <t>After Phase 3</t>
        </is>
      </c>
      <c r="F5" s="20" t="inlineStr">
        <is>
          <t>Methodology Governance</t>
        </is>
      </c>
      <c r="G5" s="20" t="inlineStr">
        <is>
          <t>PENDING</t>
        </is>
      </c>
    </row>
  </sheetData>
  <autoFilter ref="A1:G5"/>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 width="45" customWidth="1" min="3" max="3"/>
    <col width="18" customWidth="1" min="4" max="4"/>
  </cols>
  <sheetData>
    <row r="1">
      <c r="A1" s="19" t="inlineStr">
        <is>
          <t>Trigger</t>
        </is>
      </c>
      <c r="B1" s="19" t="inlineStr">
        <is>
          <t>Required Action</t>
        </is>
      </c>
      <c r="C1" s="19" t="inlineStr">
        <is>
          <t>Approval</t>
        </is>
      </c>
      <c r="D1" s="19" t="inlineStr">
        <is>
          <t>Status</t>
        </is>
      </c>
    </row>
    <row r="2">
      <c r="A2" s="20" t="inlineStr">
        <is>
          <t>Persistent low inter-rater reliability</t>
        </is>
      </c>
      <c r="B2" s="20" t="inlineStr">
        <is>
          <t>Clarify metric rule/anchors; retest before freeze</t>
        </is>
      </c>
      <c r="C2" s="20" t="inlineStr">
        <is>
          <t>Methodology Lead + independent review</t>
        </is>
      </c>
      <c r="D2" s="20" t="inlineStr">
        <is>
          <t>PENDING</t>
        </is>
      </c>
    </row>
    <row r="3">
      <c r="A3" s="20" t="inlineStr">
        <is>
          <t>Metric behaves unlike intended construct</t>
        </is>
      </c>
      <c r="B3" s="20" t="inlineStr">
        <is>
          <t>Review construct definition, evidence gate and boundary; consider split/merge/remove</t>
        </is>
      </c>
      <c r="C3" s="20" t="inlineStr">
        <is>
          <t>Validation Lead + expert panel</t>
        </is>
      </c>
      <c r="D3" s="20" t="inlineStr">
        <is>
          <t>PENDING</t>
        </is>
      </c>
    </row>
    <row r="4">
      <c r="A4" s="20" t="inlineStr">
        <is>
          <t>High sensitivity to weight choice</t>
        </is>
      </c>
      <c r="B4" s="20" t="inlineStr">
        <is>
          <t>Revisit weight rationale; report scenario range; do not hide instability</t>
        </is>
      </c>
      <c r="C4" s="20" t="inlineStr">
        <is>
          <t>Methodology Governance</t>
        </is>
      </c>
      <c r="D4" s="20" t="inlineStr">
        <is>
          <t>PENDING</t>
        </is>
      </c>
    </row>
    <row r="5">
      <c r="A5" s="20" t="inlineStr">
        <is>
          <t>Frequent N/A or non-applicability disputes</t>
        </is>
      </c>
      <c r="B5" s="20" t="inlineStr">
        <is>
          <t>Review applicability rule and context branching</t>
        </is>
      </c>
      <c r="C5" s="20" t="inlineStr">
        <is>
          <t>Assessment Governance</t>
        </is>
      </c>
      <c r="D5" s="20" t="inlineStr">
        <is>
          <t>PENDING</t>
        </is>
      </c>
    </row>
    <row r="6">
      <c r="A6" s="20" t="inlineStr">
        <is>
          <t>Repeated cross-domain contradiction caused by metric overlap</t>
        </is>
      </c>
      <c r="B6" s="20" t="inlineStr">
        <is>
          <t>Enforce primary-owner boundary or redesign metric</t>
        </is>
      </c>
      <c r="C6" s="20" t="inlineStr">
        <is>
          <t>Domain owners + Methodology Lead</t>
        </is>
      </c>
      <c r="D6" s="20" t="inlineStr">
        <is>
          <t>PENDING</t>
        </is>
      </c>
    </row>
    <row r="7">
      <c r="A7" s="20" t="inlineStr">
        <is>
          <t>Evidence burden materially excessive</t>
        </is>
      </c>
      <c r="B7" s="20" t="inlineStr">
        <is>
          <t>Reduce evidence requests through shared artifacts/adaptive sampling, not by weakening validity</t>
        </is>
      </c>
      <c r="C7" s="20" t="inlineStr">
        <is>
          <t>Assessment Lead</t>
        </is>
      </c>
      <c r="D7" s="20" t="inlineStr">
        <is>
          <t>PENDING</t>
        </is>
      </c>
    </row>
    <row r="8">
      <c r="A8" s="20" t="inlineStr">
        <is>
          <t>Outcome data unavailable for legitimate construct</t>
        </is>
      </c>
      <c r="B8" s="20" t="inlineStr">
        <is>
          <t>Use N/A only when genuinely inapplicable; use capability/implementation components with explicit renormalisation</t>
        </is>
      </c>
      <c r="C8" s="20" t="inlineStr">
        <is>
          <t>Methodology Lead</t>
        </is>
      </c>
      <c r="D8" s="20" t="inlineStr">
        <is>
          <t>PENDING</t>
        </is>
      </c>
    </row>
  </sheetData>
  <autoFilter ref="A1:D8"/>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18" customWidth="1" min="4" max="4"/>
    <col width="30" customWidth="1" min="5" max="5"/>
  </cols>
  <sheetData>
    <row r="1">
      <c r="A1" s="19" t="inlineStr">
        <is>
          <t>Gate</t>
        </is>
      </c>
      <c r="B1" s="19" t="inlineStr">
        <is>
          <t>Criterion</t>
        </is>
      </c>
      <c r="C1" s="19" t="inlineStr">
        <is>
          <t>Current State</t>
        </is>
      </c>
      <c r="D1" s="19" t="inlineStr">
        <is>
          <t>Status</t>
        </is>
      </c>
      <c r="E1" s="19" t="inlineStr">
        <is>
          <t>Type</t>
        </is>
      </c>
    </row>
    <row r="2">
      <c r="A2" s="20" t="inlineStr">
        <is>
          <t>A1</t>
        </is>
      </c>
      <c r="B2" s="20" t="inlineStr">
        <is>
          <t>All 143 metrics have defined calibration protocol</t>
        </is>
      </c>
      <c r="C2" s="20" t="inlineStr">
        <is>
          <t>143/143</t>
        </is>
      </c>
      <c r="D2" s="20" t="inlineStr">
        <is>
          <t>PASS</t>
        </is>
      </c>
      <c r="E2" s="20" t="inlineStr">
        <is>
          <t>Operational</t>
        </is>
      </c>
    </row>
    <row r="3">
      <c r="A3" s="20" t="inlineStr">
        <is>
          <t>A2</t>
        </is>
      </c>
      <c r="B3" s="20" t="inlineStr">
        <is>
          <t>Domain-specific anchors are present</t>
        </is>
      </c>
      <c r="C3" s="20" t="inlineStr">
        <is>
          <t>11/11</t>
        </is>
      </c>
      <c r="D3" s="20" t="inlineStr">
        <is>
          <t>PASS</t>
        </is>
      </c>
      <c r="E3" s="20" t="inlineStr">
        <is>
          <t>Operational</t>
        </is>
      </c>
    </row>
    <row r="4">
      <c r="A4" s="20" t="inlineStr">
        <is>
          <t>A3</t>
        </is>
      </c>
      <c r="B4" s="20" t="inlineStr">
        <is>
          <t>Inter-rater protocol pre-specified before pilot</t>
        </is>
      </c>
      <c r="C4" s="20" t="inlineStr">
        <is>
          <t>Yes</t>
        </is>
      </c>
      <c r="D4" s="20" t="inlineStr">
        <is>
          <t>PASS</t>
        </is>
      </c>
      <c r="E4" s="20" t="inlineStr">
        <is>
          <t>Operational</t>
        </is>
      </c>
    </row>
    <row r="5">
      <c r="A5" s="20" t="inlineStr">
        <is>
          <t>A4</t>
        </is>
      </c>
      <c r="B5" s="20" t="inlineStr">
        <is>
          <t>Test-retest protocol pre-specified</t>
        </is>
      </c>
      <c r="C5" s="20" t="inlineStr">
        <is>
          <t>Yes</t>
        </is>
      </c>
      <c r="D5" s="20" t="inlineStr">
        <is>
          <t>PASS</t>
        </is>
      </c>
      <c r="E5" s="20" t="inlineStr">
        <is>
          <t>Operational</t>
        </is>
      </c>
    </row>
    <row r="6">
      <c r="A6" s="20" t="inlineStr">
        <is>
          <t>A5</t>
        </is>
      </c>
      <c r="B6" s="20" t="inlineStr">
        <is>
          <t>Known-groups validity protocol pre-specified</t>
        </is>
      </c>
      <c r="C6" s="20" t="inlineStr">
        <is>
          <t>Yes</t>
        </is>
      </c>
      <c r="D6" s="20" t="inlineStr">
        <is>
          <t>PASS</t>
        </is>
      </c>
      <c r="E6" s="20" t="inlineStr">
        <is>
          <t>Operational</t>
        </is>
      </c>
    </row>
    <row r="7">
      <c r="A7" s="20" t="inlineStr">
        <is>
          <t>A6</t>
        </is>
      </c>
      <c r="B7" s="20" t="inlineStr">
        <is>
          <t>Convergent validity protocol pre-specified</t>
        </is>
      </c>
      <c r="C7" s="20" t="inlineStr">
        <is>
          <t>Yes</t>
        </is>
      </c>
      <c r="D7" s="20" t="inlineStr">
        <is>
          <t>PASS</t>
        </is>
      </c>
      <c r="E7" s="20" t="inlineStr">
        <is>
          <t>Operational</t>
        </is>
      </c>
    </row>
    <row r="8">
      <c r="A8" s="20" t="inlineStr">
        <is>
          <t>A7</t>
        </is>
      </c>
      <c r="B8" s="20" t="inlineStr">
        <is>
          <t>Sensitivity scenarios pre-specified</t>
        </is>
      </c>
      <c r="C8" s="20" t="inlineStr">
        <is>
          <t>7</t>
        </is>
      </c>
      <c r="D8" s="20" t="inlineStr">
        <is>
          <t>PASS</t>
        </is>
      </c>
      <c r="E8" s="20" t="inlineStr">
        <is>
          <t>Operational</t>
        </is>
      </c>
    </row>
    <row r="9">
      <c r="A9" s="20" t="inlineStr">
        <is>
          <t>A8</t>
        </is>
      </c>
      <c r="B9" s="20" t="inlineStr">
        <is>
          <t>Empirical reliability targets achieved</t>
        </is>
      </c>
      <c r="C9" s="20" t="inlineStr">
        <is>
          <t>No pilot data yet</t>
        </is>
      </c>
      <c r="D9" s="20" t="inlineStr">
        <is>
          <t>PENDING</t>
        </is>
      </c>
      <c r="E9" s="20" t="inlineStr">
        <is>
          <t>Must be tested</t>
        </is>
      </c>
    </row>
    <row r="10">
      <c r="A10" s="20" t="inlineStr">
        <is>
          <t>A9</t>
        </is>
      </c>
      <c r="B10" s="20" t="inlineStr">
        <is>
          <t>Empirical validity supported</t>
        </is>
      </c>
      <c r="C10" s="20" t="inlineStr">
        <is>
          <t>No pilot data yet</t>
        </is>
      </c>
      <c r="D10" s="20" t="inlineStr">
        <is>
          <t>PENDING</t>
        </is>
      </c>
      <c r="E10" s="20" t="inlineStr">
        <is>
          <t>Must be tested</t>
        </is>
      </c>
    </row>
    <row r="11">
      <c r="A11" s="20" t="inlineStr">
        <is>
          <t>A10</t>
        </is>
      </c>
      <c r="B11" s="20" t="inlineStr">
        <is>
          <t>Weights/coefficient freeze approved</t>
        </is>
      </c>
      <c r="C11" s="20" t="inlineStr">
        <is>
          <t>No</t>
        </is>
      </c>
      <c r="D11" s="20" t="inlineStr">
        <is>
          <t>PENDING</t>
        </is>
      </c>
      <c r="E11" s="20" t="inlineStr">
        <is>
          <t>After validation</t>
        </is>
      </c>
    </row>
    <row r="12">
      <c r="A12" s="20" t="inlineStr">
        <is>
          <t>A11</t>
        </is>
      </c>
      <c r="B12" s="20" t="inlineStr">
        <is>
          <t>Public benchmark/ranking claim permitted</t>
        </is>
      </c>
      <c r="C12" s="20" t="inlineStr">
        <is>
          <t>No</t>
        </is>
      </c>
      <c r="D12" s="20" t="inlineStr">
        <is>
          <t>BLOCKED</t>
        </is>
      </c>
      <c r="E12" s="20" t="inlineStr">
        <is>
          <t>Only after validation/governance</t>
        </is>
      </c>
    </row>
  </sheetData>
  <autoFilter ref="A1:E12"/>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10" customWidth="1" min="2" max="2"/>
  </cols>
  <sheetData>
    <row r="1">
      <c r="A1" s="19" t="inlineStr">
        <is>
          <t>Principle</t>
        </is>
      </c>
      <c r="B1" s="19" t="inlineStr">
        <is>
          <t>Specification</t>
        </is>
      </c>
    </row>
    <row r="2">
      <c r="A2" s="20" t="inlineStr">
        <is>
          <t>Calibration principle</t>
        </is>
      </c>
      <c r="B2" s="20" t="inlineStr">
        <is>
          <t>Assessors calibrate against behavioural anchors and evidence rules, not against desired scores.</t>
        </is>
      </c>
    </row>
    <row r="3">
      <c r="A3" s="20" t="inlineStr">
        <is>
          <t>Reliability principle</t>
        </is>
      </c>
      <c r="B3" s="20" t="inlineStr">
        <is>
          <t>Use statistic appropriate to ordinal/continuous scoring; pre-specify before looking at pilot results.</t>
        </is>
      </c>
    </row>
    <row r="4">
      <c r="A4" s="20" t="inlineStr">
        <is>
          <t>Validity principle</t>
        </is>
      </c>
      <c r="B4" s="20" t="inlineStr">
        <is>
          <t>Reliability does not prove validity; both must be independently demonstrated.</t>
        </is>
      </c>
    </row>
    <row r="5">
      <c r="A5" s="20" t="inlineStr">
        <is>
          <t>Pilot principle</t>
        </is>
      </c>
      <c r="B5" s="20" t="inlineStr">
        <is>
          <t>Use purposive variation across institution types, mandate, AI exposure, discipline mix and research intensity.</t>
        </is>
      </c>
    </row>
    <row r="6">
      <c r="A6" s="20" t="inlineStr">
        <is>
          <t>Anti-circularity</t>
        </is>
      </c>
      <c r="B6" s="20" t="inlineStr">
        <is>
          <t>Never define known groups or external comparators using the ARUI score being validated.</t>
        </is>
      </c>
    </row>
    <row r="7">
      <c r="A7" s="20" t="inlineStr">
        <is>
          <t>Change governance</t>
        </is>
      </c>
      <c r="B7" s="20" t="inlineStr">
        <is>
          <t>Every metric/weight/coefficient change after pilot requires versioned rationale, impact assessment and approval.</t>
        </is>
      </c>
    </row>
    <row r="8">
      <c r="A8" s="20" t="inlineStr">
        <is>
          <t>Public-claim rule</t>
        </is>
      </c>
      <c r="B8" s="20" t="inlineStr">
        <is>
          <t>Until empirical gates pass, communicate the tool as a structured assessment methodology, not a validated universal ranking.</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8" customWidth="1" min="1" max="1"/>
    <col width="16" customWidth="1" min="2" max="2"/>
    <col width="75" customWidth="1" min="3" max="3"/>
    <col width="55" customWidth="1" min="4" max="4"/>
    <col width="65" customWidth="1" min="5" max="5"/>
  </cols>
  <sheetData>
    <row r="1">
      <c r="A1" s="19" t="inlineStr">
        <is>
          <t>Version</t>
        </is>
      </c>
      <c r="B1" s="19" t="inlineStr">
        <is>
          <t>Date</t>
        </is>
      </c>
      <c r="C1" s="19" t="inlineStr">
        <is>
          <t>Change</t>
        </is>
      </c>
      <c r="D1" s="19" t="inlineStr">
        <is>
          <t>Reason</t>
        </is>
      </c>
      <c r="E1" s="19" t="inlineStr">
        <is>
          <t>Impact</t>
        </is>
      </c>
    </row>
    <row r="2">
      <c r="A2" s="20" t="inlineStr">
        <is>
          <t>P0-7.0</t>
        </is>
      </c>
      <c r="B2" s="20" t="inlineStr">
        <is>
          <t>2026-09-10</t>
        </is>
      </c>
      <c r="C2" s="20" t="inlineStr">
        <is>
          <t>Added reliability, validity, calibration, sensitivity, pilot and revision governance layer.</t>
        </is>
      </c>
      <c r="D2" s="20" t="inlineStr">
        <is>
          <t>Complete methodology stack after P0-6.</t>
        </is>
      </c>
      <c r="E2" s="20" t="inlineStr">
        <is>
          <t>Adds validation readiness without fabricating empirical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Rafts &amp; Rivers</dc:creator>
  <dc:title xmlns:dc="http://purl.org/dc/elements/1.1/">AI Resilient University Index D01-D11 P0-3 Scoring Engine</dc:title>
  <dc:subject xmlns:dc="http://purl.org/dc/elements/1.1/">Executable provisional scoring architecture</dc:subject>
  <dcterms:created xmlns:dcterms="http://purl.org/dc/terms/" xmlns:xsi="http://www.w3.org/2001/XMLSchema-instance" xsi:type="dcterms:W3CDTF">2026-09-10T12:27:35Z</dcterms:created>
  <dcterms:modified xmlns:dcterms="http://purl.org/dc/terms/" xmlns:xsi="http://www.w3.org/2001/XMLSchema-instance" xsi:type="dcterms:W3CDTF">2026-09-10T13:10:07Z</dcterms:modified>
  <cp:lastModifiedBy>Rafts &amp; Rivers</cp:lastModifiedBy>
</cp:coreProperties>
</file>